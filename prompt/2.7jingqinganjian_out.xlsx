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40" windowHeight="12360"/>
  </bookViews>
  <sheets>
    <sheet name="警情数据" sheetId="1" r:id="rId1"/>
    <sheet name="附件3" sheetId="2" r:id="rId2"/>
    <sheet name="页面" sheetId="4" r:id="rId3"/>
  </sheets>
  <externalReferences>
    <externalReference r:id="rId4"/>
    <externalReference r:id="rId5"/>
  </externalReferences>
  <definedNames>
    <definedName name="_xlnm.Print_Titles" localSheetId="2">页面!$3:$4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<sst xmlns="http://schemas.openxmlformats.org/spreadsheetml/2006/main" count="412" uniqueCount="219">
  <si>
    <t>报警时间</t>
  </si>
  <si>
    <t>管辖单位名称</t>
  </si>
  <si>
    <t>所属分局名称</t>
  </si>
  <si>
    <t>警情标注</t>
  </si>
  <si>
    <t>警情地址</t>
  </si>
  <si>
    <t>报警内容</t>
  </si>
  <si>
    <t>2026-02-06 23:21:43</t>
  </si>
  <si>
    <t>B分局镇安派出所</t>
  </si>
  <si>
    <t>B分局</t>
  </si>
  <si>
    <t>盯办</t>
  </si>
  <si>
    <t>B区镇安镇星悦酒吧门口</t>
  </si>
  <si>
    <t>报警者称其在上址被多人殴打，其称只认识一人其他不认识，其称其手部腿部头部都有受伤情况，暂时不用120，其称现在其躲起来了，希望尽快到场处理。</t>
  </si>
  <si>
    <t>2026-02-06 17:22:10</t>
  </si>
  <si>
    <t>C市局shengjiang派出所</t>
  </si>
  <si>
    <t>C市公安局</t>
  </si>
  <si>
    <t>C市shengjiang榃康村</t>
  </si>
  <si>
    <t>报警人称：其在外地，家里起屋，邻居打了装修工人，工人的手部流血，具体情况报警人也不清楚。</t>
  </si>
  <si>
    <t>2026-02-06 12:22:22</t>
  </si>
  <si>
    <t>E县局dong'ba派出所</t>
  </si>
  <si>
    <t>E县公安局</t>
  </si>
  <si>
    <t>经济纠纷</t>
  </si>
  <si>
    <t>E县dong'ba镇申通快递对面</t>
  </si>
  <si>
    <t>报警者称在上址被人用手和脚用还用椅子打，报警人一直哭着，详细情况没有说明一直催促民警尽快到场，请派人处理。</t>
  </si>
  <si>
    <t>2026-02-06 10:15:29</t>
  </si>
  <si>
    <t>C市局chuanbu派出所</t>
  </si>
  <si>
    <t>未成年人（受害方）,未成年人（其他）</t>
  </si>
  <si>
    <t>chuanbu蓝村小学</t>
  </si>
  <si>
    <t>报称：其12岁男孩因挑逗对方狗只，被对方拍了一巴掌面部，无需120，请处理。</t>
  </si>
  <si>
    <t>2026-02-04 11:06:39</t>
  </si>
  <si>
    <t>C市局taiping派出所</t>
  </si>
  <si>
    <t/>
  </si>
  <si>
    <t>Ctaiping太西高田寨六队</t>
  </si>
  <si>
    <t>报警者称其邻居醉酒因土地纠纷打了其老公头部，暂不需要120。</t>
  </si>
  <si>
    <t>2026-02-04 07:35:39</t>
  </si>
  <si>
    <t>C市局sulong派出所</t>
  </si>
  <si>
    <t>C市二十四米街路口</t>
  </si>
  <si>
    <t>报称：其在上述地址被人打，头流血，不需要120，请处理。</t>
  </si>
  <si>
    <t>2026-02-03 16:16:26</t>
  </si>
  <si>
    <t>C市局langtang派出所</t>
  </si>
  <si>
    <t>盯办,未成年人（其他）</t>
  </si>
  <si>
    <t>Clangtang九座屋寨</t>
  </si>
  <si>
    <t>报警人欧铭城称与黎少奇发生口角后，双方发生肢体冲突，后对方持刀威胁，但是没有外伤，具体情况不详，需要派出所处理。</t>
  </si>
  <si>
    <t>2026-02-02 18:40:17</t>
  </si>
  <si>
    <t>B分局shicheng派出所</t>
  </si>
  <si>
    <t>未成年人（其他）</t>
  </si>
  <si>
    <t>B区shicheng镇连山脚</t>
  </si>
  <si>
    <t>路过上述地址看见有人打架，老人家叫其报警，头部受伤流血，不需要120，报警求助。</t>
  </si>
  <si>
    <t>2026-02-02 00:39:44</t>
  </si>
  <si>
    <t>Cshengjiang华侨中学西南方向</t>
  </si>
  <si>
    <t>报警称：在上述地址被别人打了，心口和头部受伤，需要救护车。通知C120。没有说明具体情况挂线。</t>
  </si>
  <si>
    <t>2026-02-01 22:27:12</t>
  </si>
  <si>
    <t>A分局hekou派出所</t>
  </si>
  <si>
    <t>A分局</t>
  </si>
  <si>
    <t>A区hekou余村鱼生馆</t>
  </si>
  <si>
    <t>报警人称：1月31日凌晨2时左右，其老公钱权伟于堂弟钱水坚喝了酒发生口角纠纷，后钱水坚刺伤钱权伟，伤者当时已经送到云浮市人民医院，现在云浮市人民医院10楼普通外科。</t>
  </si>
  <si>
    <t>2026-02-01 21:44:50</t>
  </si>
  <si>
    <t>D县局tiantang派出所</t>
  </si>
  <si>
    <t>D县公安局</t>
  </si>
  <si>
    <t>工人</t>
  </si>
  <si>
    <t>Dtiantang镇犁头岗</t>
  </si>
  <si>
    <t>报警人称在上述地址老板和工人打架，原因不清楚，一人手受伤，已送医院。</t>
  </si>
  <si>
    <t>2026-02-01 21:42:01</t>
  </si>
  <si>
    <t>C市局shuangdong派出所</t>
  </si>
  <si>
    <t>Cshuangdong罗寨村</t>
  </si>
  <si>
    <t>报警人称在上述地址因债务纠纷，对方打伤其眼角，暂不需要120。</t>
  </si>
  <si>
    <t>2026-02-01 21:34:03</t>
  </si>
  <si>
    <t>D县局rencun派出所</t>
  </si>
  <si>
    <t>纠纷已化解</t>
  </si>
  <si>
    <t>D县rencun镇芦村高地</t>
  </si>
  <si>
    <t>报警人称：因选票问题发生纠纷被人用凳子打到头部，不需要救护车。</t>
  </si>
  <si>
    <t>2026-02-01 20:51:55</t>
  </si>
  <si>
    <t>B分局gaocun派出所</t>
  </si>
  <si>
    <t>Bgaocun镇大磅岭</t>
  </si>
  <si>
    <t>报警人称在上述地址被人打，眼受伤，需要120。</t>
  </si>
  <si>
    <t>2026-02-01 18:03:20</t>
  </si>
  <si>
    <t>C市局fucheng派出所</t>
  </si>
  <si>
    <t>C市fucheng街道康任</t>
  </si>
  <si>
    <t>报称：不认识人用手打其，其跌倒，无需120。</t>
  </si>
  <si>
    <t>2026-02-01 11:00:00</t>
  </si>
  <si>
    <t>E县局nanjiangkou派出所</t>
  </si>
  <si>
    <t>劳资问题</t>
  </si>
  <si>
    <t>广东省云浮市E县nanjiangkou镇顺景路</t>
  </si>
  <si>
    <t>2026年2月1日11时，XXX报警称其在广东省云浮市E县nanjiangkou镇顺景路与XXX因劳资问题发生争执，XXX被自己的刀划伤，无他人伤亡。</t>
  </si>
  <si>
    <t>2026-01-31 03:38:28</t>
  </si>
  <si>
    <t>A分局tianma派出所</t>
  </si>
  <si>
    <t>时间标签</t>
  </si>
  <si>
    <t>A吾悦广场未来盒子酒吧</t>
  </si>
  <si>
    <t>事主报称被两三人殴打，没有用工具，不需要120。</t>
  </si>
  <si>
    <t>附件3：</t>
  </si>
  <si>
    <t>打架斗殴类打击效能情况表</t>
  </si>
  <si>
    <t>序号</t>
  </si>
  <si>
    <t>单位   指标</t>
  </si>
  <si>
    <t>刑事治安原始警情</t>
  </si>
  <si>
    <t>警情案件倒挂率</t>
  </si>
  <si>
    <t>行动以来</t>
  </si>
  <si>
    <t>去年同期</t>
  </si>
  <si>
    <t>同比（±%）</t>
  </si>
  <si>
    <t>环比（±%）</t>
  </si>
  <si>
    <t>占比</t>
  </si>
  <si>
    <t>警情</t>
  </si>
  <si>
    <t>案件</t>
  </si>
  <si>
    <t>倒挂率</t>
  </si>
  <si>
    <t>全市</t>
  </si>
  <si>
    <t>27.27%</t>
  </si>
  <si>
    <t>-26.32%</t>
  </si>
  <si>
    <t>92.86%</t>
  </si>
  <si>
    <t>A</t>
  </si>
  <si>
    <t>净增1宗</t>
  </si>
  <si>
    <t>-75.00%</t>
  </si>
  <si>
    <t>33.33%</t>
  </si>
  <si>
    <t>400.00%</t>
  </si>
  <si>
    <t>B</t>
  </si>
  <si>
    <t>100.00%</t>
  </si>
  <si>
    <t>净增2宗</t>
  </si>
  <si>
    <t>66.67%</t>
  </si>
  <si>
    <t>C</t>
  </si>
  <si>
    <t>持平</t>
  </si>
  <si>
    <t>-12.50%</t>
  </si>
  <si>
    <t>25.00%</t>
  </si>
  <si>
    <t>42.86%</t>
  </si>
  <si>
    <t>D</t>
  </si>
  <si>
    <t>-33.33%</t>
  </si>
  <si>
    <t>14.29%</t>
  </si>
  <si>
    <t>150.00%</t>
  </si>
  <si>
    <t>E</t>
  </si>
  <si>
    <t>-50.00%</t>
  </si>
  <si>
    <t>40.00%</t>
  </si>
  <si>
    <t>50.00%</t>
  </si>
  <si>
    <t>行政案件</t>
  </si>
  <si>
    <t>立案</t>
  </si>
  <si>
    <t>治安拘留人员</t>
  </si>
  <si>
    <t>20.00%</t>
  </si>
  <si>
    <t>-25.00%</t>
  </si>
  <si>
    <t>366.67%</t>
  </si>
  <si>
    <t>154.55%</t>
  </si>
  <si>
    <t>200.00%</t>
  </si>
  <si>
    <t>净增6人</t>
  </si>
  <si>
    <t>21.43%</t>
  </si>
  <si>
    <t>16.67%</t>
  </si>
  <si>
    <t>净增2人</t>
  </si>
  <si>
    <t>7.14%</t>
  </si>
  <si>
    <t>-62.50%</t>
  </si>
  <si>
    <t>1300.00%</t>
  </si>
  <si>
    <t>净增4人</t>
  </si>
  <si>
    <t>300.00%</t>
  </si>
  <si>
    <t>8.33%</t>
  </si>
  <si>
    <t>-60.00%</t>
  </si>
  <si>
    <t>-71.43%</t>
  </si>
  <si>
    <t>刑事案件</t>
  </si>
  <si>
    <t>刑事拘留人员</t>
  </si>
  <si>
    <t>净增1人</t>
  </si>
  <si>
    <t>0.00%</t>
  </si>
  <si>
    <t>-100.00%</t>
  </si>
  <si>
    <t>数据来源：警情数来自警情标准化汇聚分析系统、立案数、拘留数来自警综系统</t>
  </si>
  <si>
    <t>附件6：</t>
  </si>
  <si>
    <t>黄赌打击效能统计表(2026.1.1-2026.2.6)</t>
  </si>
  <si>
    <t>破案（全口径）</t>
  </si>
  <si>
    <t>立案（年内）</t>
  </si>
  <si>
    <t>破案（年内）</t>
  </si>
  <si>
    <t>补立年前案件</t>
  </si>
  <si>
    <t>破获年前案件</t>
  </si>
  <si>
    <t>撤案</t>
  </si>
  <si>
    <t>结案率</t>
  </si>
  <si>
    <t>结案率
对比</t>
  </si>
  <si>
    <t>抓获人员</t>
  </si>
  <si>
    <t>刑拘人员（人）</t>
  </si>
  <si>
    <t>刑拘人员（人次）</t>
  </si>
  <si>
    <t>刑拘入所</t>
  </si>
  <si>
    <t>取保人员（人）</t>
  </si>
  <si>
    <t>取保人员（人次）</t>
  </si>
  <si>
    <t>逮捕（提捕）</t>
  </si>
  <si>
    <t>逮捕（批捕）</t>
  </si>
  <si>
    <t>逮捕（实捕）</t>
  </si>
  <si>
    <t>移送起诉人员</t>
  </si>
  <si>
    <t>移送起诉案件</t>
  </si>
  <si>
    <t>数量
（起）</t>
  </si>
  <si>
    <t>同比</t>
  </si>
  <si>
    <t>上期</t>
  </si>
  <si>
    <t>环比</t>
  </si>
  <si>
    <t>破案比</t>
  </si>
  <si>
    <t>破案比
对比</t>
  </si>
  <si>
    <t>破案率</t>
  </si>
  <si>
    <t>破案率
对比</t>
  </si>
  <si>
    <t>补立案占比</t>
  </si>
  <si>
    <t>案件移诉率1</t>
  </si>
  <si>
    <t>案件移诉率1对比</t>
  </si>
  <si>
    <t>案件移诉率2</t>
  </si>
  <si>
    <t>案件移诉率2对比</t>
  </si>
  <si>
    <t>数量
（人）</t>
  </si>
  <si>
    <t>百起立案抓获人数（人）</t>
  </si>
  <si>
    <t>百起立案抓获人数对比</t>
  </si>
  <si>
    <t>百起立案抓获人数同比</t>
  </si>
  <si>
    <t>刑拘（人）率</t>
  </si>
  <si>
    <t>刑拘（人）率对比</t>
  </si>
  <si>
    <t>百起案件刑拘数（人）</t>
  </si>
  <si>
    <t>百起案件刑拘数（人）对比</t>
  </si>
  <si>
    <t>百起案件刑拘数（人）同比</t>
  </si>
  <si>
    <t>数量
（人次）</t>
  </si>
  <si>
    <t>刑拘（人次）率</t>
  </si>
  <si>
    <t>刑拘（人次）率对比</t>
  </si>
  <si>
    <t>百起案件刑拘数（人次）</t>
  </si>
  <si>
    <t>百起案件刑拘数（人次）对比</t>
  </si>
  <si>
    <t>百起案件刑拘数（人次）同比</t>
  </si>
  <si>
    <t>批捕率</t>
  </si>
  <si>
    <t>批捕率
对比</t>
  </si>
  <si>
    <t>百起案件批捕数（人）</t>
  </si>
  <si>
    <t>百起案件批捕数对比</t>
  </si>
  <si>
    <t>百起案件批捕数同比</t>
  </si>
  <si>
    <t>人员移诉率</t>
  </si>
  <si>
    <t>人员移诉率对比</t>
  </si>
  <si>
    <t>百起案件移送起诉人员数（人）</t>
  </si>
  <si>
    <t>百起案件移送起诉人员数对比</t>
  </si>
  <si>
    <t>百起案件移送起诉人员数同比</t>
  </si>
  <si>
    <t>2月28日目标</t>
  </si>
  <si>
    <t>治安</t>
  </si>
  <si>
    <t>2月15日目标</t>
  </si>
  <si>
    <t>2月10日目标</t>
  </si>
  <si>
    <t>目前进度
（距2月10日目标）</t>
  </si>
  <si>
    <t>完成率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</si>
</sst>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1"/>
      <name val="宋体"/>
      <charset val="134"/>
    </font>
    <font>
      <sz val="14"/>
      <color rgb="FF000000"/>
      <name val="黑体"/>
      <charset val="134"/>
    </font>
    <font>
      <b/>
      <sz val="48"/>
      <color rgb="FF000000"/>
      <name val="宋体"/>
      <charset val="134"/>
    </font>
    <font>
      <sz val="18"/>
      <color rgb="FF000000"/>
      <name val="宋体"/>
      <charset val="134"/>
    </font>
    <font>
      <sz val="16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24"/>
      <color theme="1"/>
      <name val="方正小标宋_GBK"/>
      <charset val="134"/>
    </font>
    <font>
      <sz val="12"/>
      <color theme="1"/>
      <name val="黑体"/>
      <charset val="134"/>
    </font>
    <font>
      <b/>
      <sz val="16"/>
      <color theme="1"/>
      <name val="黑体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3" borderId="1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9" applyNumberFormat="0" applyAlignment="0" applyProtection="0">
      <alignment vertical="center"/>
    </xf>
    <xf numFmtId="0" fontId="26" fillId="5" borderId="20" applyNumberFormat="0" applyAlignment="0" applyProtection="0">
      <alignment vertical="center"/>
    </xf>
    <xf numFmtId="0" fontId="27" fillId="5" borderId="19" applyNumberFormat="0" applyAlignment="0" applyProtection="0">
      <alignment vertical="center"/>
    </xf>
    <xf numFmtId="0" fontId="28" fillId="6" borderId="21" applyNumberFormat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59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0" fontId="5" fillId="0" borderId="2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0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10" fontId="8" fillId="0" borderId="5" xfId="0" applyNumberFormat="1" applyFont="1" applyFill="1" applyBorder="1" applyAlignment="1">
      <alignment horizontal="center" vertical="center"/>
    </xf>
    <xf numFmtId="10" fontId="7" fillId="0" borderId="6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10" fontId="2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9" fillId="0" borderId="0" xfId="0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9" fillId="0" borderId="11" xfId="0" applyFill="1" applyBorder="1" applyAlignment="1"/>
    <xf numFmtId="0" fontId="9" fillId="0" borderId="12" xfId="0" applyFill="1" applyBorder="1" applyAlignment="1"/>
    <xf numFmtId="0" fontId="13" fillId="0" borderId="5" xfId="0" applyFont="1" applyFill="1" applyBorder="1" applyAlignment="1">
      <alignment horizontal="center" vertical="center" wrapText="1"/>
    </xf>
    <xf numFmtId="0" fontId="9" fillId="0" borderId="3" xfId="0" applyFill="1" applyBorder="1" applyAlignment="1"/>
    <xf numFmtId="0" fontId="9" fillId="0" borderId="13" xfId="0" applyFill="1" applyBorder="1" applyAlignment="1"/>
    <xf numFmtId="0" fontId="9" fillId="0" borderId="1" xfId="0" applyFill="1" applyBorder="1" applyAlignment="1"/>
    <xf numFmtId="0" fontId="14" fillId="0" borderId="1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10" fontId="14" fillId="0" borderId="5" xfId="0" applyNumberFormat="1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10" fontId="14" fillId="0" borderId="15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o\Documents\WXWorkLocalGovPro\1688849901023421_1970325079031103\Cache\File\2026-02\&#38468;&#20214;1-5&#65306;&#8220;&#20445;&#24179;&#23433;%20&#36814;&#26032;&#24180;&#8221;&#19987;&#39033;&#34892;&#21160;&#24773;&#20917;&#34920;&#65288;2&#26376;6&#26085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20214;6&#65306;&#21009;&#20107;&#25171;&#20987;&#25928;&#33021;&#32479;&#35745;&#34920;(2026.1.1-2026.2.5)&#27835;&#234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附件1"/>
      <sheetName val="附件2"/>
      <sheetName val="附件3"/>
      <sheetName val="附件4"/>
      <sheetName val="附件5"/>
      <sheetName val="案件明细"/>
      <sheetName val="Sheet1"/>
      <sheetName val="附件5数据表"/>
    </sheetNames>
    <sheetDataSet>
      <sheetData sheetId="0">
        <row r="31">
          <cell r="A31" t="str">
            <v>数据日期：1月31日15时-2月6日15时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页面"/>
      <sheetName val="底表"/>
      <sheetName val="2023年全省（按主要类案）"/>
      <sheetName val="2023年全省（按21个地市）"/>
      <sheetName val="2019年全国（按主要类案） "/>
      <sheetName val="2019年全国及部分省"/>
    </sheetNames>
    <sheetDataSet>
      <sheetData sheetId="0"/>
      <sheetData sheetId="1">
        <row r="2">
          <cell r="A2" t="str">
            <v>案类</v>
          </cell>
          <cell r="B2" t="str">
            <v>单位</v>
          </cell>
        </row>
        <row r="11">
          <cell r="A11" t="str">
            <v>全量（剔除交通类）</v>
          </cell>
          <cell r="B11" t="str">
            <v>全省</v>
          </cell>
        </row>
        <row r="11">
          <cell r="AM11">
            <v>17762</v>
          </cell>
          <cell r="AN11">
            <v>11374</v>
          </cell>
          <cell r="AO11">
            <v>0.5616</v>
          </cell>
          <cell r="AP11">
            <v>33826</v>
          </cell>
          <cell r="AQ11">
            <v>-0.4749</v>
          </cell>
          <cell r="AR11">
            <v>0.6353</v>
          </cell>
          <cell r="AS11">
            <v>0.2594</v>
          </cell>
          <cell r="AT11">
            <v>16419</v>
          </cell>
          <cell r="AU11">
            <v>13762</v>
          </cell>
          <cell r="AV11">
            <v>0.1931</v>
          </cell>
          <cell r="AW11">
            <v>29500</v>
          </cell>
          <cell r="AX11">
            <v>-0.4434</v>
          </cell>
          <cell r="AY11">
            <v>7004</v>
          </cell>
          <cell r="AZ11">
            <v>4674</v>
          </cell>
          <cell r="BA11">
            <v>0.4985</v>
          </cell>
          <cell r="BB11">
            <v>16629</v>
          </cell>
          <cell r="BC11">
            <v>-0.5788</v>
          </cell>
          <cell r="BD11">
            <v>0.4266</v>
          </cell>
          <cell r="BE11">
            <v>0.0869</v>
          </cell>
          <cell r="BF11">
            <v>11539</v>
          </cell>
          <cell r="BG11">
            <v>16496</v>
          </cell>
          <cell r="BH11">
            <v>-0.3005</v>
          </cell>
          <cell r="BI11">
            <v>1831</v>
          </cell>
          <cell r="BJ11">
            <v>5.302</v>
          </cell>
          <cell r="BK11">
            <v>0.4127</v>
          </cell>
          <cell r="BL11">
            <v>10758</v>
          </cell>
          <cell r="BM11">
            <v>6700</v>
          </cell>
          <cell r="BN11">
            <v>0.6057</v>
          </cell>
          <cell r="BO11">
            <v>17197</v>
          </cell>
          <cell r="BP11">
            <v>-0.3744</v>
          </cell>
          <cell r="BQ11">
            <v>6267</v>
          </cell>
          <cell r="BR11">
            <v>4788</v>
          </cell>
          <cell r="BS11">
            <v>0.3089</v>
          </cell>
          <cell r="BT11">
            <v>11212</v>
          </cell>
          <cell r="BU11">
            <v>-0.441</v>
          </cell>
          <cell r="BV11">
            <v>0.2242</v>
          </cell>
          <cell r="BW11">
            <v>0.0659</v>
          </cell>
          <cell r="BX11">
            <v>0.3817</v>
          </cell>
          <cell r="BY11">
            <v>0.0338</v>
          </cell>
          <cell r="BZ11">
            <v>42</v>
          </cell>
          <cell r="CA11">
            <v>49</v>
          </cell>
          <cell r="CB11">
            <v>-0.1429</v>
          </cell>
          <cell r="CC11">
            <v>584</v>
          </cell>
          <cell r="CD11">
            <v>-0.9281</v>
          </cell>
          <cell r="CE11" t="str">
            <v/>
          </cell>
          <cell r="CF11" t="str">
            <v/>
          </cell>
          <cell r="CG11">
            <v>29304</v>
          </cell>
          <cell r="CH11">
            <v>18516</v>
          </cell>
          <cell r="CI11">
            <v>0.5826</v>
          </cell>
          <cell r="CJ11">
            <v>27365</v>
          </cell>
          <cell r="CK11">
            <v>0.0709</v>
          </cell>
          <cell r="CL11">
            <v>105</v>
          </cell>
          <cell r="CM11">
            <v>44</v>
          </cell>
          <cell r="CN11">
            <v>0.7128</v>
          </cell>
          <cell r="CO11">
            <v>27220</v>
          </cell>
          <cell r="CP11">
            <v>12509</v>
          </cell>
          <cell r="CQ11">
            <v>1.176</v>
          </cell>
          <cell r="CR11">
            <v>21816</v>
          </cell>
          <cell r="CS11">
            <v>0.2477</v>
          </cell>
          <cell r="CT11">
            <v>0.9289</v>
          </cell>
          <cell r="CU11">
            <v>0.2533</v>
          </cell>
          <cell r="CV11">
            <v>97</v>
          </cell>
          <cell r="CW11">
            <v>56</v>
          </cell>
          <cell r="CX11">
            <v>1.355</v>
          </cell>
          <cell r="CY11">
            <v>29862</v>
          </cell>
          <cell r="CZ11">
            <v>15015</v>
          </cell>
          <cell r="DA11">
            <v>0.9888</v>
          </cell>
          <cell r="DB11">
            <v>24788</v>
          </cell>
          <cell r="DC11">
            <v>0.2047</v>
          </cell>
          <cell r="DD11">
            <v>1.019</v>
          </cell>
          <cell r="DE11">
            <v>0.2081</v>
          </cell>
          <cell r="DF11">
            <v>107</v>
          </cell>
          <cell r="DG11">
            <v>57</v>
          </cell>
          <cell r="DH11">
            <v>1.1524</v>
          </cell>
        </row>
        <row r="11">
          <cell r="DL11">
            <v>23027</v>
          </cell>
          <cell r="DM11">
            <v>0.1941</v>
          </cell>
          <cell r="DN11">
            <v>14278</v>
          </cell>
          <cell r="DO11">
            <v>10174</v>
          </cell>
          <cell r="DP11">
            <v>0.4034</v>
          </cell>
          <cell r="DQ11">
            <v>14205</v>
          </cell>
          <cell r="DR11">
            <v>0.0051</v>
          </cell>
          <cell r="DS11">
            <v>14292</v>
          </cell>
          <cell r="DT11">
            <v>10180</v>
          </cell>
          <cell r="DU11">
            <v>0.4039</v>
          </cell>
          <cell r="DV11">
            <v>14223</v>
          </cell>
          <cell r="DW11">
            <v>0.0049</v>
          </cell>
          <cell r="DX11">
            <v>15269</v>
          </cell>
          <cell r="DY11">
            <v>10952</v>
          </cell>
          <cell r="DZ11">
            <v>0.3942</v>
          </cell>
          <cell r="EA11">
            <v>13663</v>
          </cell>
          <cell r="EB11">
            <v>0.1175</v>
          </cell>
          <cell r="EC11">
            <v>6714</v>
          </cell>
          <cell r="ED11">
            <v>6985</v>
          </cell>
          <cell r="EE11">
            <v>-0.0388</v>
          </cell>
          <cell r="EF11">
            <v>7854</v>
          </cell>
          <cell r="EG11">
            <v>-0.1451</v>
          </cell>
          <cell r="EH11">
            <v>0.2467</v>
          </cell>
          <cell r="EI11">
            <v>-0.3117</v>
          </cell>
          <cell r="EJ11">
            <v>24</v>
          </cell>
          <cell r="EK11">
            <v>1</v>
          </cell>
          <cell r="EL11">
            <v>0.0403</v>
          </cell>
          <cell r="EM11">
            <v>6978</v>
          </cell>
          <cell r="EN11">
            <v>7005</v>
          </cell>
          <cell r="EO11">
            <v>-0.0039</v>
          </cell>
          <cell r="EP11">
            <v>7994</v>
          </cell>
          <cell r="EQ11">
            <v>-0.1271</v>
          </cell>
          <cell r="ER11">
            <v>9940</v>
          </cell>
          <cell r="ES11">
            <v>7518</v>
          </cell>
          <cell r="ET11">
            <v>0.3222</v>
          </cell>
          <cell r="EU11">
            <v>16686</v>
          </cell>
          <cell r="EV11">
            <v>-0.4043</v>
          </cell>
          <cell r="EW11">
            <v>0.3652</v>
          </cell>
          <cell r="EX11">
            <v>-0.2358</v>
          </cell>
          <cell r="EY11">
            <v>36</v>
          </cell>
          <cell r="EZ11">
            <v>11</v>
          </cell>
          <cell r="FA11">
            <v>0.4309</v>
          </cell>
        </row>
        <row r="12">
          <cell r="A12" t="str">
            <v>全量（剔除交通类）</v>
          </cell>
          <cell r="B12" t="str">
            <v>云浮</v>
          </cell>
        </row>
        <row r="12">
          <cell r="AM12">
            <v>189</v>
          </cell>
          <cell r="AN12">
            <v>115</v>
          </cell>
          <cell r="AO12">
            <v>0.6435</v>
          </cell>
          <cell r="AP12">
            <v>265</v>
          </cell>
          <cell r="AQ12">
            <v>-0.2868</v>
          </cell>
          <cell r="AR12">
            <v>0.759</v>
          </cell>
          <cell r="AS12">
            <v>0.2676</v>
          </cell>
          <cell r="AT12">
            <v>124</v>
          </cell>
          <cell r="AU12">
            <v>122</v>
          </cell>
          <cell r="AV12">
            <v>0.0164</v>
          </cell>
          <cell r="AW12">
            <v>149</v>
          </cell>
          <cell r="AX12">
            <v>-0.1678</v>
          </cell>
          <cell r="AY12">
            <v>71</v>
          </cell>
          <cell r="AZ12">
            <v>54</v>
          </cell>
          <cell r="BA12">
            <v>0.3148</v>
          </cell>
          <cell r="BB12">
            <v>123</v>
          </cell>
          <cell r="BC12">
            <v>-0.4228</v>
          </cell>
          <cell r="BD12">
            <v>0.5726</v>
          </cell>
          <cell r="BE12">
            <v>0.13</v>
          </cell>
          <cell r="BF12">
            <v>125</v>
          </cell>
          <cell r="BG12">
            <v>112</v>
          </cell>
          <cell r="BH12">
            <v>0.1161</v>
          </cell>
          <cell r="BI12">
            <v>10</v>
          </cell>
          <cell r="BJ12">
            <v>11.5</v>
          </cell>
          <cell r="BK12">
            <v>0.502</v>
          </cell>
          <cell r="BL12">
            <v>118</v>
          </cell>
          <cell r="BM12">
            <v>61</v>
          </cell>
          <cell r="BN12">
            <v>0.9344</v>
          </cell>
          <cell r="BO12">
            <v>142</v>
          </cell>
          <cell r="BP12">
            <v>-0.169</v>
          </cell>
          <cell r="BQ12">
            <v>50</v>
          </cell>
          <cell r="BR12">
            <v>60</v>
          </cell>
          <cell r="BS12">
            <v>-0.1667</v>
          </cell>
          <cell r="BT12">
            <v>130</v>
          </cell>
          <cell r="BU12">
            <v>-0.6154</v>
          </cell>
          <cell r="BV12">
            <v>0.2008</v>
          </cell>
          <cell r="BW12">
            <v>-0.0556</v>
          </cell>
          <cell r="BX12">
            <v>0.4032</v>
          </cell>
          <cell r="BY12">
            <v>-0.0886</v>
          </cell>
          <cell r="BZ12">
            <v>0</v>
          </cell>
          <cell r="CA12">
            <v>0</v>
          </cell>
          <cell r="CB12" t="str">
            <v>持平</v>
          </cell>
          <cell r="CC12">
            <v>5</v>
          </cell>
          <cell r="CD12" t="str">
            <v>少5起</v>
          </cell>
          <cell r="CE12" t="str">
            <v/>
          </cell>
          <cell r="CF12" t="str">
            <v/>
          </cell>
          <cell r="CG12">
            <v>353</v>
          </cell>
          <cell r="CH12">
            <v>272</v>
          </cell>
          <cell r="CI12">
            <v>0.2978</v>
          </cell>
          <cell r="CJ12">
            <v>327</v>
          </cell>
          <cell r="CK12">
            <v>0.0795</v>
          </cell>
          <cell r="CL12">
            <v>142</v>
          </cell>
          <cell r="CM12">
            <v>26</v>
          </cell>
          <cell r="CN12">
            <v>0.2196</v>
          </cell>
          <cell r="CO12">
            <v>323</v>
          </cell>
          <cell r="CP12">
            <v>287</v>
          </cell>
          <cell r="CQ12">
            <v>0.1254</v>
          </cell>
          <cell r="CR12">
            <v>266</v>
          </cell>
          <cell r="CS12">
            <v>0.2143</v>
          </cell>
          <cell r="CT12">
            <v>0.915</v>
          </cell>
          <cell r="CU12">
            <v>-0.1401</v>
          </cell>
          <cell r="CV12">
            <v>130</v>
          </cell>
          <cell r="CW12">
            <v>7</v>
          </cell>
          <cell r="CX12">
            <v>0.0576</v>
          </cell>
          <cell r="CY12">
            <v>339</v>
          </cell>
          <cell r="CZ12">
            <v>313</v>
          </cell>
          <cell r="DA12">
            <v>0.0831</v>
          </cell>
          <cell r="DB12">
            <v>285</v>
          </cell>
          <cell r="DC12">
            <v>0.1895</v>
          </cell>
          <cell r="DD12">
            <v>0.9603</v>
          </cell>
          <cell r="DE12">
            <v>-0.1904</v>
          </cell>
          <cell r="DF12">
            <v>136</v>
          </cell>
          <cell r="DG12">
            <v>2</v>
          </cell>
          <cell r="DH12">
            <v>0.0178</v>
          </cell>
        </row>
        <row r="12">
          <cell r="DL12">
            <v>262</v>
          </cell>
          <cell r="DM12">
            <v>0.1298</v>
          </cell>
          <cell r="DN12">
            <v>120</v>
          </cell>
          <cell r="DO12">
            <v>88</v>
          </cell>
          <cell r="DP12">
            <v>0.3636</v>
          </cell>
          <cell r="DQ12">
            <v>118</v>
          </cell>
          <cell r="DR12">
            <v>0.0169</v>
          </cell>
          <cell r="DS12">
            <v>120</v>
          </cell>
          <cell r="DT12">
            <v>88</v>
          </cell>
          <cell r="DU12">
            <v>0.3636</v>
          </cell>
          <cell r="DV12">
            <v>119</v>
          </cell>
          <cell r="DW12">
            <v>0.0084</v>
          </cell>
          <cell r="DX12">
            <v>185</v>
          </cell>
          <cell r="DY12">
            <v>110</v>
          </cell>
          <cell r="DZ12">
            <v>0.6818</v>
          </cell>
          <cell r="EA12">
            <v>160</v>
          </cell>
          <cell r="EB12">
            <v>0.1563</v>
          </cell>
          <cell r="EC12">
            <v>115</v>
          </cell>
          <cell r="ED12">
            <v>79</v>
          </cell>
          <cell r="EE12">
            <v>0.4557</v>
          </cell>
          <cell r="EF12">
            <v>114</v>
          </cell>
          <cell r="EG12">
            <v>0.0088</v>
          </cell>
          <cell r="EH12">
            <v>0.356</v>
          </cell>
          <cell r="EI12">
            <v>0.0808</v>
          </cell>
          <cell r="EJ12">
            <v>46</v>
          </cell>
          <cell r="EK12">
            <v>12</v>
          </cell>
          <cell r="EL12">
            <v>0.368</v>
          </cell>
          <cell r="EM12">
            <v>116</v>
          </cell>
          <cell r="EN12">
            <v>79</v>
          </cell>
          <cell r="EO12">
            <v>0.4684</v>
          </cell>
          <cell r="EP12">
            <v>115</v>
          </cell>
          <cell r="EQ12">
            <v>0.0087</v>
          </cell>
          <cell r="ER12">
            <v>112</v>
          </cell>
          <cell r="ES12">
            <v>94</v>
          </cell>
          <cell r="ET12">
            <v>0.1915</v>
          </cell>
          <cell r="EU12">
            <v>223</v>
          </cell>
          <cell r="EV12">
            <v>-0.4978</v>
          </cell>
          <cell r="EW12">
            <v>0.3467</v>
          </cell>
          <cell r="EX12">
            <v>0.0192</v>
          </cell>
          <cell r="EY12">
            <v>45</v>
          </cell>
          <cell r="EZ12">
            <v>5</v>
          </cell>
          <cell r="FA12">
            <v>0.1197</v>
          </cell>
        </row>
        <row r="13">
          <cell r="A13" t="str">
            <v>全量（剔除交通类）</v>
          </cell>
          <cell r="B13" t="str">
            <v>云城区</v>
          </cell>
        </row>
        <row r="13">
          <cell r="AM13">
            <v>30</v>
          </cell>
          <cell r="AN13">
            <v>26</v>
          </cell>
          <cell r="AO13">
            <v>0.1538</v>
          </cell>
          <cell r="AP13">
            <v>78</v>
          </cell>
          <cell r="AQ13">
            <v>-0.6154</v>
          </cell>
          <cell r="AR13">
            <v>0.625</v>
          </cell>
          <cell r="AS13">
            <v>0.1843</v>
          </cell>
          <cell r="AT13">
            <v>17</v>
          </cell>
          <cell r="AU13">
            <v>26</v>
          </cell>
          <cell r="AV13">
            <v>-0.3462</v>
          </cell>
          <cell r="AW13">
            <v>35</v>
          </cell>
          <cell r="AX13">
            <v>-0.5143</v>
          </cell>
          <cell r="AY13">
            <v>13</v>
          </cell>
          <cell r="AZ13">
            <v>16</v>
          </cell>
          <cell r="BA13">
            <v>-0.1875</v>
          </cell>
          <cell r="BB13">
            <v>19</v>
          </cell>
          <cell r="BC13">
            <v>-0.3158</v>
          </cell>
          <cell r="BD13">
            <v>0.7647</v>
          </cell>
          <cell r="BE13">
            <v>0.1493</v>
          </cell>
          <cell r="BF13">
            <v>31</v>
          </cell>
          <cell r="BG13">
            <v>33</v>
          </cell>
          <cell r="BH13">
            <v>-0.0606</v>
          </cell>
          <cell r="BI13">
            <v>0</v>
          </cell>
          <cell r="BJ13" t="str">
            <v>多31起</v>
          </cell>
          <cell r="BK13">
            <v>0.6458</v>
          </cell>
          <cell r="BL13">
            <v>17</v>
          </cell>
          <cell r="BM13">
            <v>10</v>
          </cell>
          <cell r="BN13">
            <v>0.7</v>
          </cell>
          <cell r="BO13">
            <v>59</v>
          </cell>
          <cell r="BP13">
            <v>-0.7119</v>
          </cell>
          <cell r="BQ13">
            <v>4</v>
          </cell>
          <cell r="BR13">
            <v>13</v>
          </cell>
          <cell r="BS13">
            <v>-0.6923</v>
          </cell>
          <cell r="BT13">
            <v>34</v>
          </cell>
          <cell r="BU13">
            <v>-0.8824</v>
          </cell>
          <cell r="BV13">
            <v>0.0833</v>
          </cell>
          <cell r="BW13">
            <v>-0.137</v>
          </cell>
          <cell r="BX13">
            <v>0.2353</v>
          </cell>
          <cell r="BY13">
            <v>-0.2647</v>
          </cell>
          <cell r="BZ13">
            <v>0</v>
          </cell>
          <cell r="CA13">
            <v>0</v>
          </cell>
          <cell r="CB13" t="str">
            <v>持平</v>
          </cell>
          <cell r="CC13">
            <v>1</v>
          </cell>
          <cell r="CD13" t="str">
            <v>少1起</v>
          </cell>
          <cell r="CE13" t="str">
            <v/>
          </cell>
          <cell r="CF13" t="str">
            <v/>
          </cell>
          <cell r="CG13">
            <v>87</v>
          </cell>
          <cell r="CH13">
            <v>52</v>
          </cell>
          <cell r="CI13">
            <v>0.6731</v>
          </cell>
          <cell r="CJ13">
            <v>85</v>
          </cell>
          <cell r="CK13">
            <v>0.0235</v>
          </cell>
          <cell r="CL13">
            <v>181</v>
          </cell>
          <cell r="CM13">
            <v>93</v>
          </cell>
          <cell r="CN13">
            <v>1.0565</v>
          </cell>
          <cell r="CO13">
            <v>63</v>
          </cell>
          <cell r="CP13">
            <v>54</v>
          </cell>
          <cell r="CQ13">
            <v>0.1667</v>
          </cell>
          <cell r="CR13">
            <v>23</v>
          </cell>
          <cell r="CS13">
            <v>1.7391</v>
          </cell>
          <cell r="CT13">
            <v>0.7241</v>
          </cell>
          <cell r="CU13">
            <v>-0.3143</v>
          </cell>
          <cell r="CV13">
            <v>131</v>
          </cell>
          <cell r="CW13">
            <v>40</v>
          </cell>
          <cell r="CX13">
            <v>0.434</v>
          </cell>
          <cell r="CY13">
            <v>63</v>
          </cell>
          <cell r="CZ13">
            <v>55</v>
          </cell>
          <cell r="DA13">
            <v>0.1455</v>
          </cell>
          <cell r="DB13">
            <v>24</v>
          </cell>
          <cell r="DC13">
            <v>1.625</v>
          </cell>
          <cell r="DD13">
            <v>0.7241</v>
          </cell>
          <cell r="DE13">
            <v>-0.3336</v>
          </cell>
          <cell r="DF13">
            <v>131</v>
          </cell>
          <cell r="DG13">
            <v>38</v>
          </cell>
          <cell r="DH13">
            <v>0.408</v>
          </cell>
        </row>
        <row r="13">
          <cell r="DL13">
            <v>0</v>
          </cell>
          <cell r="DM13" t="str">
            <v>持平</v>
          </cell>
          <cell r="DN13">
            <v>17</v>
          </cell>
          <cell r="DO13">
            <v>3</v>
          </cell>
          <cell r="DP13">
            <v>4.6667</v>
          </cell>
          <cell r="DQ13">
            <v>10</v>
          </cell>
          <cell r="DR13">
            <v>0.7</v>
          </cell>
          <cell r="DS13">
            <v>17</v>
          </cell>
          <cell r="DT13">
            <v>3</v>
          </cell>
          <cell r="DU13">
            <v>4.6667</v>
          </cell>
          <cell r="DV13">
            <v>10</v>
          </cell>
          <cell r="DW13">
            <v>0.7</v>
          </cell>
          <cell r="DX13">
            <v>48</v>
          </cell>
          <cell r="DY13">
            <v>21</v>
          </cell>
          <cell r="DZ13">
            <v>1.2857</v>
          </cell>
          <cell r="EA13">
            <v>29</v>
          </cell>
          <cell r="EB13">
            <v>0.6552</v>
          </cell>
          <cell r="EC13">
            <v>34</v>
          </cell>
          <cell r="ED13">
            <v>19</v>
          </cell>
          <cell r="EE13">
            <v>0.7895</v>
          </cell>
          <cell r="EF13">
            <v>21</v>
          </cell>
          <cell r="EG13">
            <v>0.619</v>
          </cell>
          <cell r="EH13">
            <v>0.5397</v>
          </cell>
          <cell r="EI13">
            <v>0.1878</v>
          </cell>
          <cell r="EJ13">
            <v>71</v>
          </cell>
          <cell r="EK13">
            <v>39</v>
          </cell>
          <cell r="EL13">
            <v>1.1996</v>
          </cell>
          <cell r="EM13">
            <v>35</v>
          </cell>
          <cell r="EN13">
            <v>19</v>
          </cell>
          <cell r="EO13">
            <v>0.8421</v>
          </cell>
          <cell r="EP13">
            <v>21</v>
          </cell>
          <cell r="EQ13">
            <v>0.6667</v>
          </cell>
          <cell r="ER13">
            <v>4</v>
          </cell>
          <cell r="ES13">
            <v>24</v>
          </cell>
          <cell r="ET13">
            <v>-0.8333</v>
          </cell>
          <cell r="EU13">
            <v>57</v>
          </cell>
          <cell r="EV13">
            <v>-0.9298</v>
          </cell>
          <cell r="EW13">
            <v>0.0635</v>
          </cell>
          <cell r="EX13">
            <v>-0.381</v>
          </cell>
          <cell r="EY13">
            <v>8</v>
          </cell>
          <cell r="EZ13">
            <v>-32</v>
          </cell>
          <cell r="FA13">
            <v>-0.7951</v>
          </cell>
        </row>
        <row r="14">
          <cell r="A14" t="str">
            <v>全量（剔除交通类）</v>
          </cell>
          <cell r="B14" t="str">
            <v>云安区</v>
          </cell>
        </row>
        <row r="14">
          <cell r="AM14">
            <v>34</v>
          </cell>
          <cell r="AN14">
            <v>21</v>
          </cell>
          <cell r="AO14">
            <v>0.619</v>
          </cell>
          <cell r="AP14">
            <v>12</v>
          </cell>
          <cell r="AQ14">
            <v>1.8333</v>
          </cell>
          <cell r="AR14">
            <v>1.36</v>
          </cell>
          <cell r="AS14">
            <v>-0.04</v>
          </cell>
          <cell r="AT14">
            <v>14</v>
          </cell>
          <cell r="AU14">
            <v>13</v>
          </cell>
          <cell r="AV14">
            <v>0.0769</v>
          </cell>
          <cell r="AW14">
            <v>8</v>
          </cell>
          <cell r="AX14">
            <v>0.75</v>
          </cell>
          <cell r="AY14">
            <v>15</v>
          </cell>
          <cell r="AZ14">
            <v>10</v>
          </cell>
          <cell r="BA14">
            <v>0.5</v>
          </cell>
          <cell r="BB14">
            <v>8</v>
          </cell>
          <cell r="BC14">
            <v>0.875</v>
          </cell>
          <cell r="BD14">
            <v>1.0714</v>
          </cell>
          <cell r="BE14">
            <v>0.3022</v>
          </cell>
          <cell r="BF14">
            <v>11</v>
          </cell>
          <cell r="BG14">
            <v>2</v>
          </cell>
          <cell r="BH14">
            <v>4.5</v>
          </cell>
          <cell r="BI14">
            <v>3</v>
          </cell>
          <cell r="BJ14">
            <v>2.6667</v>
          </cell>
          <cell r="BK14">
            <v>0.44</v>
          </cell>
          <cell r="BL14">
            <v>19</v>
          </cell>
          <cell r="BM14">
            <v>11</v>
          </cell>
          <cell r="BN14">
            <v>0.7273</v>
          </cell>
          <cell r="BO14">
            <v>4</v>
          </cell>
          <cell r="BP14">
            <v>3.75</v>
          </cell>
          <cell r="BQ14">
            <v>8</v>
          </cell>
          <cell r="BR14">
            <v>8</v>
          </cell>
          <cell r="BS14">
            <v>0</v>
          </cell>
          <cell r="BT14">
            <v>12</v>
          </cell>
          <cell r="BU14">
            <v>-0.3333</v>
          </cell>
          <cell r="BV14">
            <v>0.32</v>
          </cell>
          <cell r="BW14">
            <v>-0.2133</v>
          </cell>
          <cell r="BX14">
            <v>0.5714</v>
          </cell>
          <cell r="BY14">
            <v>-0.044</v>
          </cell>
          <cell r="BZ14">
            <v>0</v>
          </cell>
          <cell r="CA14">
            <v>0</v>
          </cell>
          <cell r="CB14" t="str">
            <v>持平</v>
          </cell>
          <cell r="CC14">
            <v>0</v>
          </cell>
          <cell r="CD14" t="str">
            <v>持平</v>
          </cell>
          <cell r="CE14" t="str">
            <v/>
          </cell>
          <cell r="CF14" t="str">
            <v/>
          </cell>
          <cell r="CG14">
            <v>64</v>
          </cell>
          <cell r="CH14">
            <v>40</v>
          </cell>
          <cell r="CI14">
            <v>0.6</v>
          </cell>
          <cell r="CJ14">
            <v>75</v>
          </cell>
          <cell r="CK14">
            <v>-0.1467</v>
          </cell>
          <cell r="CL14">
            <v>256</v>
          </cell>
          <cell r="CM14">
            <v>-11</v>
          </cell>
          <cell r="CN14">
            <v>-0.04</v>
          </cell>
          <cell r="CO14">
            <v>46</v>
          </cell>
          <cell r="CP14">
            <v>49</v>
          </cell>
          <cell r="CQ14">
            <v>-0.0612</v>
          </cell>
          <cell r="CR14">
            <v>41</v>
          </cell>
          <cell r="CS14">
            <v>0.122</v>
          </cell>
          <cell r="CT14">
            <v>0.7188</v>
          </cell>
          <cell r="CU14">
            <v>-0.5063</v>
          </cell>
          <cell r="CV14">
            <v>184</v>
          </cell>
          <cell r="CW14">
            <v>-143</v>
          </cell>
          <cell r="CX14">
            <v>-0.4367</v>
          </cell>
          <cell r="CY14">
            <v>47</v>
          </cell>
          <cell r="CZ14">
            <v>49</v>
          </cell>
          <cell r="DA14">
            <v>-0.0408</v>
          </cell>
          <cell r="DB14">
            <v>44</v>
          </cell>
          <cell r="DC14">
            <v>0.0682</v>
          </cell>
          <cell r="DD14">
            <v>0.7344</v>
          </cell>
          <cell r="DE14">
            <v>-0.4906</v>
          </cell>
          <cell r="DF14">
            <v>188</v>
          </cell>
          <cell r="DG14">
            <v>-139</v>
          </cell>
          <cell r="DH14">
            <v>-0.4245</v>
          </cell>
        </row>
        <row r="14">
          <cell r="DL14">
            <v>0</v>
          </cell>
          <cell r="DM14" t="str">
            <v>持平</v>
          </cell>
          <cell r="DN14">
            <v>19</v>
          </cell>
          <cell r="DO14">
            <v>17</v>
          </cell>
          <cell r="DP14">
            <v>0.1176</v>
          </cell>
          <cell r="DQ14">
            <v>16</v>
          </cell>
          <cell r="DR14">
            <v>0.1875</v>
          </cell>
          <cell r="DS14">
            <v>19</v>
          </cell>
          <cell r="DT14">
            <v>17</v>
          </cell>
          <cell r="DU14">
            <v>0.1176</v>
          </cell>
          <cell r="DV14">
            <v>17</v>
          </cell>
          <cell r="DW14">
            <v>0.1176</v>
          </cell>
          <cell r="DX14">
            <v>30</v>
          </cell>
          <cell r="DY14">
            <v>19</v>
          </cell>
          <cell r="DZ14">
            <v>0.5789</v>
          </cell>
          <cell r="EA14">
            <v>14</v>
          </cell>
          <cell r="EB14">
            <v>1.1429</v>
          </cell>
          <cell r="EC14">
            <v>11</v>
          </cell>
          <cell r="ED14">
            <v>19</v>
          </cell>
          <cell r="EE14">
            <v>-0.4211</v>
          </cell>
          <cell r="EF14">
            <v>9</v>
          </cell>
          <cell r="EG14">
            <v>0.2222</v>
          </cell>
          <cell r="EH14">
            <v>0.2391</v>
          </cell>
          <cell r="EI14">
            <v>-0.1486</v>
          </cell>
          <cell r="EJ14">
            <v>44</v>
          </cell>
          <cell r="EK14">
            <v>-83</v>
          </cell>
          <cell r="EL14">
            <v>-0.6526</v>
          </cell>
          <cell r="EM14">
            <v>11</v>
          </cell>
          <cell r="EN14">
            <v>19</v>
          </cell>
          <cell r="EO14">
            <v>-0.4211</v>
          </cell>
          <cell r="EP14">
            <v>9</v>
          </cell>
          <cell r="EQ14">
            <v>0.2222</v>
          </cell>
          <cell r="ER14">
            <v>16</v>
          </cell>
          <cell r="ES14">
            <v>11</v>
          </cell>
          <cell r="ET14">
            <v>0.4545</v>
          </cell>
          <cell r="EU14">
            <v>23</v>
          </cell>
          <cell r="EV14">
            <v>-0.3043</v>
          </cell>
          <cell r="EW14">
            <v>0.3478</v>
          </cell>
          <cell r="EX14">
            <v>0.1233</v>
          </cell>
          <cell r="EY14">
            <v>64</v>
          </cell>
          <cell r="EZ14">
            <v>-9</v>
          </cell>
          <cell r="FA14">
            <v>-0.1273</v>
          </cell>
        </row>
        <row r="15">
          <cell r="A15" t="str">
            <v>全量（剔除交通类）</v>
          </cell>
          <cell r="B15" t="str">
            <v>新兴县</v>
          </cell>
        </row>
        <row r="15">
          <cell r="AM15">
            <v>35</v>
          </cell>
          <cell r="AN15">
            <v>20</v>
          </cell>
          <cell r="AO15">
            <v>0.75</v>
          </cell>
          <cell r="AP15">
            <v>65</v>
          </cell>
          <cell r="AQ15">
            <v>-0.4615</v>
          </cell>
          <cell r="AR15">
            <v>0.493</v>
          </cell>
          <cell r="AS15">
            <v>0.154</v>
          </cell>
          <cell r="AT15">
            <v>40</v>
          </cell>
          <cell r="AU15">
            <v>27</v>
          </cell>
          <cell r="AV15">
            <v>0.4815</v>
          </cell>
          <cell r="AW15">
            <v>41</v>
          </cell>
          <cell r="AX15">
            <v>-0.0244</v>
          </cell>
          <cell r="AY15">
            <v>12</v>
          </cell>
          <cell r="AZ15">
            <v>8</v>
          </cell>
          <cell r="BA15">
            <v>0.5</v>
          </cell>
          <cell r="BB15">
            <v>35</v>
          </cell>
          <cell r="BC15">
            <v>-0.6571</v>
          </cell>
          <cell r="BD15">
            <v>0.3</v>
          </cell>
          <cell r="BE15">
            <v>0.0037</v>
          </cell>
          <cell r="BF15">
            <v>31</v>
          </cell>
          <cell r="BG15">
            <v>32</v>
          </cell>
          <cell r="BH15">
            <v>-0.0313</v>
          </cell>
          <cell r="BI15">
            <v>3</v>
          </cell>
          <cell r="BJ15">
            <v>9.3333</v>
          </cell>
          <cell r="BK15">
            <v>0.4366</v>
          </cell>
          <cell r="BL15">
            <v>23</v>
          </cell>
          <cell r="BM15">
            <v>12</v>
          </cell>
          <cell r="BN15">
            <v>0.9167</v>
          </cell>
          <cell r="BO15">
            <v>30</v>
          </cell>
          <cell r="BP15">
            <v>-0.2333</v>
          </cell>
          <cell r="BQ15">
            <v>10</v>
          </cell>
          <cell r="BR15">
            <v>15</v>
          </cell>
          <cell r="BS15">
            <v>-0.3333</v>
          </cell>
          <cell r="BT15">
            <v>23</v>
          </cell>
          <cell r="BU15">
            <v>-0.5652</v>
          </cell>
          <cell r="BV15">
            <v>0.1408</v>
          </cell>
          <cell r="BW15">
            <v>-0.1134</v>
          </cell>
          <cell r="BX15">
            <v>0.25</v>
          </cell>
          <cell r="BY15">
            <v>-0.3056</v>
          </cell>
          <cell r="BZ15">
            <v>0</v>
          </cell>
          <cell r="CA15">
            <v>0</v>
          </cell>
          <cell r="CB15" t="str">
            <v>持平</v>
          </cell>
          <cell r="CC15">
            <v>1</v>
          </cell>
          <cell r="CD15" t="str">
            <v>少1起</v>
          </cell>
          <cell r="CE15" t="str">
            <v/>
          </cell>
          <cell r="CF15" t="str">
            <v/>
          </cell>
          <cell r="CG15">
            <v>68</v>
          </cell>
          <cell r="CH15">
            <v>69</v>
          </cell>
          <cell r="CI15">
            <v>-0.0145</v>
          </cell>
          <cell r="CJ15">
            <v>24</v>
          </cell>
          <cell r="CK15">
            <v>1.8333</v>
          </cell>
          <cell r="CL15">
            <v>96</v>
          </cell>
          <cell r="CM15">
            <v>-21</v>
          </cell>
          <cell r="CN15">
            <v>-0.1811</v>
          </cell>
          <cell r="CO15">
            <v>61</v>
          </cell>
          <cell r="CP15">
            <v>60</v>
          </cell>
          <cell r="CQ15">
            <v>0.0167</v>
          </cell>
          <cell r="CR15">
            <v>25</v>
          </cell>
          <cell r="CS15">
            <v>1.44</v>
          </cell>
          <cell r="CT15">
            <v>0.8971</v>
          </cell>
          <cell r="CU15">
            <v>0.0275</v>
          </cell>
          <cell r="CV15">
            <v>86</v>
          </cell>
          <cell r="CW15">
            <v>-16</v>
          </cell>
          <cell r="CX15">
            <v>-0.1552</v>
          </cell>
          <cell r="CY15">
            <v>66</v>
          </cell>
          <cell r="CZ15">
            <v>61</v>
          </cell>
          <cell r="DA15">
            <v>0.082</v>
          </cell>
          <cell r="DB15">
            <v>28</v>
          </cell>
          <cell r="DC15">
            <v>1.3571</v>
          </cell>
          <cell r="DD15">
            <v>0.9706</v>
          </cell>
          <cell r="DE15">
            <v>0.0865</v>
          </cell>
          <cell r="DF15">
            <v>93</v>
          </cell>
          <cell r="DG15">
            <v>-10</v>
          </cell>
          <cell r="DH15">
            <v>-0.1009</v>
          </cell>
        </row>
        <row r="15">
          <cell r="DL15">
            <v>35</v>
          </cell>
          <cell r="DM15">
            <v>0.3143</v>
          </cell>
          <cell r="DN15">
            <v>21</v>
          </cell>
          <cell r="DO15">
            <v>11</v>
          </cell>
          <cell r="DP15">
            <v>0.9091</v>
          </cell>
          <cell r="DQ15">
            <v>18</v>
          </cell>
          <cell r="DR15">
            <v>0.1667</v>
          </cell>
          <cell r="DS15">
            <v>21</v>
          </cell>
          <cell r="DT15">
            <v>11</v>
          </cell>
          <cell r="DU15">
            <v>0.9091</v>
          </cell>
          <cell r="DV15">
            <v>18</v>
          </cell>
          <cell r="DW15">
            <v>0.1667</v>
          </cell>
          <cell r="DX15">
            <v>29</v>
          </cell>
          <cell r="DY15">
            <v>18</v>
          </cell>
          <cell r="DZ15">
            <v>0.6111</v>
          </cell>
          <cell r="EA15">
            <v>18</v>
          </cell>
          <cell r="EB15">
            <v>0.6111</v>
          </cell>
          <cell r="EC15">
            <v>12</v>
          </cell>
          <cell r="ED15">
            <v>10</v>
          </cell>
          <cell r="EE15">
            <v>0.2</v>
          </cell>
          <cell r="EF15">
            <v>13</v>
          </cell>
          <cell r="EG15">
            <v>-0.0769</v>
          </cell>
          <cell r="EH15">
            <v>0.1967</v>
          </cell>
          <cell r="EI15">
            <v>0.0301</v>
          </cell>
          <cell r="EJ15">
            <v>17</v>
          </cell>
          <cell r="EK15">
            <v>0</v>
          </cell>
          <cell r="EL15">
            <v>-0.0028</v>
          </cell>
          <cell r="EM15">
            <v>12</v>
          </cell>
          <cell r="EN15">
            <v>10</v>
          </cell>
          <cell r="EO15">
            <v>0.2</v>
          </cell>
          <cell r="EP15">
            <v>13</v>
          </cell>
          <cell r="EQ15">
            <v>-0.0769</v>
          </cell>
          <cell r="ER15">
            <v>18</v>
          </cell>
          <cell r="ES15">
            <v>18</v>
          </cell>
          <cell r="ET15">
            <v>0</v>
          </cell>
          <cell r="EU15">
            <v>32</v>
          </cell>
          <cell r="EV15">
            <v>-0.4375</v>
          </cell>
          <cell r="EW15">
            <v>0.2951</v>
          </cell>
          <cell r="EX15">
            <v>-0.0049</v>
          </cell>
          <cell r="EY15">
            <v>25</v>
          </cell>
          <cell r="EZ15">
            <v>-5</v>
          </cell>
          <cell r="FA15">
            <v>-0.169</v>
          </cell>
        </row>
        <row r="16">
          <cell r="A16" t="str">
            <v>全量（剔除交通类）</v>
          </cell>
          <cell r="B16" t="str">
            <v>郁南县</v>
          </cell>
        </row>
        <row r="16">
          <cell r="AM16">
            <v>30</v>
          </cell>
          <cell r="AN16">
            <v>9</v>
          </cell>
          <cell r="AO16">
            <v>2.3333</v>
          </cell>
          <cell r="AP16">
            <v>13</v>
          </cell>
          <cell r="AQ16">
            <v>1.3077</v>
          </cell>
          <cell r="AR16">
            <v>0.8824</v>
          </cell>
          <cell r="AS16">
            <v>0.5074</v>
          </cell>
          <cell r="AT16">
            <v>23</v>
          </cell>
          <cell r="AU16">
            <v>17</v>
          </cell>
          <cell r="AV16">
            <v>0.3529</v>
          </cell>
          <cell r="AW16">
            <v>19</v>
          </cell>
          <cell r="AX16">
            <v>0.2105</v>
          </cell>
          <cell r="AY16">
            <v>19</v>
          </cell>
          <cell r="AZ16">
            <v>6</v>
          </cell>
          <cell r="BA16">
            <v>2.1667</v>
          </cell>
          <cell r="BB16">
            <v>11</v>
          </cell>
          <cell r="BC16">
            <v>0.7273</v>
          </cell>
          <cell r="BD16">
            <v>0.8261</v>
          </cell>
          <cell r="BE16">
            <v>0.4731</v>
          </cell>
          <cell r="BF16">
            <v>11</v>
          </cell>
          <cell r="BG16">
            <v>7</v>
          </cell>
          <cell r="BH16">
            <v>0.5714</v>
          </cell>
          <cell r="BI16">
            <v>1</v>
          </cell>
          <cell r="BJ16">
            <v>10</v>
          </cell>
          <cell r="BK16">
            <v>0.3235</v>
          </cell>
          <cell r="BL16">
            <v>11</v>
          </cell>
          <cell r="BM16">
            <v>3</v>
          </cell>
          <cell r="BN16">
            <v>2.6667</v>
          </cell>
          <cell r="BO16">
            <v>2</v>
          </cell>
          <cell r="BP16">
            <v>4.5</v>
          </cell>
          <cell r="BQ16">
            <v>5</v>
          </cell>
          <cell r="BR16">
            <v>4</v>
          </cell>
          <cell r="BS16">
            <v>0.25</v>
          </cell>
          <cell r="BT16">
            <v>17</v>
          </cell>
          <cell r="BU16">
            <v>-0.7059</v>
          </cell>
          <cell r="BV16">
            <v>0.1471</v>
          </cell>
          <cell r="BW16">
            <v>-0.0196</v>
          </cell>
          <cell r="BX16">
            <v>0.2174</v>
          </cell>
          <cell r="BY16">
            <v>-0.0179</v>
          </cell>
          <cell r="BZ16">
            <v>0</v>
          </cell>
          <cell r="CA16">
            <v>0</v>
          </cell>
          <cell r="CB16" t="str">
            <v>持平</v>
          </cell>
          <cell r="CC16">
            <v>0</v>
          </cell>
          <cell r="CD16" t="str">
            <v>持平</v>
          </cell>
          <cell r="CE16" t="str">
            <v/>
          </cell>
          <cell r="CF16" t="str">
            <v/>
          </cell>
          <cell r="CG16">
            <v>40</v>
          </cell>
          <cell r="CH16">
            <v>23</v>
          </cell>
          <cell r="CI16">
            <v>0.7391</v>
          </cell>
          <cell r="CJ16">
            <v>17</v>
          </cell>
          <cell r="CK16">
            <v>1.3529</v>
          </cell>
          <cell r="CL16">
            <v>118</v>
          </cell>
          <cell r="CM16">
            <v>22</v>
          </cell>
          <cell r="CN16">
            <v>0.2276</v>
          </cell>
          <cell r="CO16">
            <v>52</v>
          </cell>
          <cell r="CP16">
            <v>29</v>
          </cell>
          <cell r="CQ16">
            <v>0.7931</v>
          </cell>
          <cell r="CR16">
            <v>22</v>
          </cell>
          <cell r="CS16">
            <v>1.3636</v>
          </cell>
          <cell r="CT16">
            <v>1.3</v>
          </cell>
          <cell r="CU16">
            <v>0.0391</v>
          </cell>
          <cell r="CV16">
            <v>153</v>
          </cell>
          <cell r="CW16">
            <v>32</v>
          </cell>
          <cell r="CX16">
            <v>0.2657</v>
          </cell>
          <cell r="CY16">
            <v>56</v>
          </cell>
          <cell r="CZ16">
            <v>30</v>
          </cell>
          <cell r="DA16">
            <v>0.8667</v>
          </cell>
          <cell r="DB16">
            <v>22</v>
          </cell>
          <cell r="DC16">
            <v>1.5455</v>
          </cell>
          <cell r="DD16">
            <v>1.4</v>
          </cell>
          <cell r="DE16">
            <v>0.0957</v>
          </cell>
          <cell r="DF16">
            <v>165</v>
          </cell>
          <cell r="DG16">
            <v>40</v>
          </cell>
          <cell r="DH16">
            <v>0.3176</v>
          </cell>
        </row>
        <row r="16">
          <cell r="DL16">
            <v>33</v>
          </cell>
          <cell r="DM16">
            <v>0.3636</v>
          </cell>
          <cell r="DN16">
            <v>15</v>
          </cell>
          <cell r="DO16">
            <v>18</v>
          </cell>
          <cell r="DP16">
            <v>-0.1667</v>
          </cell>
          <cell r="DQ16">
            <v>16</v>
          </cell>
          <cell r="DR16">
            <v>-0.0625</v>
          </cell>
          <cell r="DS16">
            <v>15</v>
          </cell>
          <cell r="DT16">
            <v>18</v>
          </cell>
          <cell r="DU16">
            <v>-0.1667</v>
          </cell>
          <cell r="DV16">
            <v>16</v>
          </cell>
          <cell r="DW16">
            <v>-0.0625</v>
          </cell>
          <cell r="DX16">
            <v>28</v>
          </cell>
          <cell r="DY16">
            <v>13</v>
          </cell>
          <cell r="DZ16">
            <v>1.1538</v>
          </cell>
          <cell r="EA16">
            <v>33</v>
          </cell>
          <cell r="EB16">
            <v>-0.1515</v>
          </cell>
          <cell r="EC16">
            <v>24</v>
          </cell>
          <cell r="ED16">
            <v>10</v>
          </cell>
          <cell r="EE16">
            <v>1.4</v>
          </cell>
          <cell r="EF16">
            <v>16</v>
          </cell>
          <cell r="EG16">
            <v>0.5</v>
          </cell>
          <cell r="EH16">
            <v>0.4615</v>
          </cell>
          <cell r="EI16">
            <v>0.1167</v>
          </cell>
          <cell r="EJ16">
            <v>71</v>
          </cell>
          <cell r="EK16">
            <v>29</v>
          </cell>
          <cell r="EL16">
            <v>0.6941</v>
          </cell>
          <cell r="EM16">
            <v>24</v>
          </cell>
          <cell r="EN16">
            <v>10</v>
          </cell>
          <cell r="EO16">
            <v>1.4</v>
          </cell>
          <cell r="EP16">
            <v>16</v>
          </cell>
          <cell r="EQ16">
            <v>0.5</v>
          </cell>
          <cell r="ER16">
            <v>16</v>
          </cell>
          <cell r="ES16">
            <v>12</v>
          </cell>
          <cell r="ET16">
            <v>0.3333</v>
          </cell>
          <cell r="EU16">
            <v>34</v>
          </cell>
          <cell r="EV16">
            <v>-0.5294</v>
          </cell>
          <cell r="EW16">
            <v>0.3077</v>
          </cell>
          <cell r="EX16">
            <v>-0.1061</v>
          </cell>
          <cell r="EY16">
            <v>47</v>
          </cell>
          <cell r="EZ16">
            <v>-3</v>
          </cell>
          <cell r="FA16">
            <v>-0.0588</v>
          </cell>
        </row>
        <row r="17">
          <cell r="A17" t="str">
            <v>全量（剔除交通类）</v>
          </cell>
          <cell r="B17" t="str">
            <v>罗定市</v>
          </cell>
        </row>
        <row r="17">
          <cell r="AM17">
            <v>57</v>
          </cell>
          <cell r="AN17">
            <v>37</v>
          </cell>
          <cell r="AO17">
            <v>0.5405</v>
          </cell>
          <cell r="AP17">
            <v>86</v>
          </cell>
          <cell r="AQ17">
            <v>-0.3372</v>
          </cell>
          <cell r="AR17">
            <v>0.8636</v>
          </cell>
          <cell r="AS17">
            <v>0.3636</v>
          </cell>
          <cell r="AT17">
            <v>30</v>
          </cell>
          <cell r="AU17">
            <v>38</v>
          </cell>
          <cell r="AV17">
            <v>-0.2105</v>
          </cell>
          <cell r="AW17">
            <v>39</v>
          </cell>
          <cell r="AX17">
            <v>-0.2308</v>
          </cell>
          <cell r="AY17">
            <v>12</v>
          </cell>
          <cell r="AZ17">
            <v>14</v>
          </cell>
          <cell r="BA17">
            <v>-0.1429</v>
          </cell>
          <cell r="BB17">
            <v>44</v>
          </cell>
          <cell r="BC17">
            <v>-0.7273</v>
          </cell>
          <cell r="BD17">
            <v>0.4</v>
          </cell>
          <cell r="BE17">
            <v>0.0316</v>
          </cell>
          <cell r="BF17">
            <v>36</v>
          </cell>
          <cell r="BG17">
            <v>36</v>
          </cell>
          <cell r="BH17">
            <v>0</v>
          </cell>
          <cell r="BI17">
            <v>2</v>
          </cell>
          <cell r="BJ17">
            <v>17</v>
          </cell>
          <cell r="BK17">
            <v>0.5455</v>
          </cell>
          <cell r="BL17">
            <v>45</v>
          </cell>
          <cell r="BM17">
            <v>23</v>
          </cell>
          <cell r="BN17">
            <v>0.9565</v>
          </cell>
          <cell r="BO17">
            <v>42</v>
          </cell>
          <cell r="BP17">
            <v>0.0714</v>
          </cell>
          <cell r="BQ17">
            <v>21</v>
          </cell>
          <cell r="BR17">
            <v>18</v>
          </cell>
          <cell r="BS17">
            <v>0.1667</v>
          </cell>
          <cell r="BT17">
            <v>42</v>
          </cell>
          <cell r="BU17">
            <v>-0.5</v>
          </cell>
          <cell r="BV17">
            <v>0.3182</v>
          </cell>
          <cell r="BW17">
            <v>0.0749</v>
          </cell>
          <cell r="BX17">
            <v>0.7</v>
          </cell>
          <cell r="BY17">
            <v>0.2263</v>
          </cell>
          <cell r="BZ17">
            <v>0</v>
          </cell>
          <cell r="CA17">
            <v>0</v>
          </cell>
          <cell r="CB17" t="str">
            <v>持平</v>
          </cell>
          <cell r="CC17">
            <v>3</v>
          </cell>
          <cell r="CD17" t="str">
            <v>少3起</v>
          </cell>
          <cell r="CE17" t="str">
            <v/>
          </cell>
          <cell r="CF17" t="str">
            <v/>
          </cell>
          <cell r="CG17">
            <v>91</v>
          </cell>
          <cell r="CH17">
            <v>88</v>
          </cell>
          <cell r="CI17">
            <v>0.0341</v>
          </cell>
          <cell r="CJ17">
            <v>126</v>
          </cell>
          <cell r="CK17">
            <v>-0.2778</v>
          </cell>
          <cell r="CL17">
            <v>138</v>
          </cell>
          <cell r="CM17">
            <v>19</v>
          </cell>
          <cell r="CN17">
            <v>0.1594</v>
          </cell>
          <cell r="CO17">
            <v>83</v>
          </cell>
          <cell r="CP17">
            <v>68</v>
          </cell>
          <cell r="CQ17">
            <v>0.2206</v>
          </cell>
          <cell r="CR17">
            <v>37</v>
          </cell>
          <cell r="CS17">
            <v>1.2432</v>
          </cell>
          <cell r="CT17">
            <v>0.9121</v>
          </cell>
          <cell r="CU17">
            <v>0.1394</v>
          </cell>
          <cell r="CV17">
            <v>126</v>
          </cell>
          <cell r="CW17">
            <v>34</v>
          </cell>
          <cell r="CX17">
            <v>0.3685</v>
          </cell>
          <cell r="CY17">
            <v>87</v>
          </cell>
          <cell r="CZ17">
            <v>91</v>
          </cell>
          <cell r="DA17">
            <v>-0.044</v>
          </cell>
          <cell r="DB17">
            <v>41</v>
          </cell>
          <cell r="DC17">
            <v>1.122</v>
          </cell>
          <cell r="DD17">
            <v>0.956</v>
          </cell>
          <cell r="DE17">
            <v>-0.078</v>
          </cell>
          <cell r="DF17">
            <v>132</v>
          </cell>
          <cell r="DG17">
            <v>9</v>
          </cell>
          <cell r="DH17">
            <v>0.0719</v>
          </cell>
        </row>
        <row r="17">
          <cell r="DL17">
            <v>65</v>
          </cell>
          <cell r="DM17">
            <v>0.0769</v>
          </cell>
          <cell r="DN17">
            <v>20</v>
          </cell>
          <cell r="DO17">
            <v>38</v>
          </cell>
          <cell r="DP17">
            <v>-0.4737</v>
          </cell>
          <cell r="DQ17">
            <v>32</v>
          </cell>
          <cell r="DR17">
            <v>-0.375</v>
          </cell>
          <cell r="DS17">
            <v>20</v>
          </cell>
          <cell r="DT17">
            <v>38</v>
          </cell>
          <cell r="DU17">
            <v>-0.4737</v>
          </cell>
          <cell r="DV17">
            <v>32</v>
          </cell>
          <cell r="DW17">
            <v>-0.375</v>
          </cell>
          <cell r="DX17">
            <v>49</v>
          </cell>
          <cell r="DY17">
            <v>39</v>
          </cell>
          <cell r="DZ17">
            <v>0.2564</v>
          </cell>
          <cell r="EA17">
            <v>66</v>
          </cell>
          <cell r="EB17">
            <v>-0.2576</v>
          </cell>
          <cell r="EC17">
            <v>34</v>
          </cell>
          <cell r="ED17">
            <v>21</v>
          </cell>
          <cell r="EE17">
            <v>0.619</v>
          </cell>
          <cell r="EF17">
            <v>54</v>
          </cell>
          <cell r="EG17">
            <v>-0.3704</v>
          </cell>
          <cell r="EH17">
            <v>0.4096</v>
          </cell>
          <cell r="EI17">
            <v>0.1008</v>
          </cell>
          <cell r="EJ17">
            <v>52</v>
          </cell>
          <cell r="EK17">
            <v>23</v>
          </cell>
          <cell r="EL17">
            <v>0.8153</v>
          </cell>
          <cell r="EM17">
            <v>34</v>
          </cell>
          <cell r="EN17">
            <v>21</v>
          </cell>
          <cell r="EO17">
            <v>0.619</v>
          </cell>
          <cell r="EP17">
            <v>55</v>
          </cell>
          <cell r="EQ17">
            <v>-0.3818</v>
          </cell>
          <cell r="ER17">
            <v>54</v>
          </cell>
          <cell r="ES17">
            <v>23</v>
          </cell>
          <cell r="ET17">
            <v>1.3478</v>
          </cell>
          <cell r="EU17">
            <v>69</v>
          </cell>
          <cell r="EV17">
            <v>-0.2174</v>
          </cell>
          <cell r="EW17">
            <v>0.6506</v>
          </cell>
          <cell r="EX17">
            <v>0.3124</v>
          </cell>
          <cell r="EY17">
            <v>82</v>
          </cell>
          <cell r="EZ17">
            <v>51</v>
          </cell>
          <cell r="FA17">
            <v>1.6324</v>
          </cell>
        </row>
        <row r="18">
          <cell r="A18" t="str">
            <v>排除诈骗及关联犯罪</v>
          </cell>
          <cell r="B18" t="str">
            <v>全省</v>
          </cell>
        </row>
        <row r="18">
          <cell r="AM18">
            <v>13309</v>
          </cell>
          <cell r="AN18">
            <v>8762</v>
          </cell>
          <cell r="AO18">
            <v>0.5189</v>
          </cell>
          <cell r="AP18">
            <v>17007</v>
          </cell>
          <cell r="AQ18">
            <v>-0.2174</v>
          </cell>
          <cell r="AR18">
            <v>0.8452</v>
          </cell>
          <cell r="AS18">
            <v>0.204</v>
          </cell>
          <cell r="AT18">
            <v>9876</v>
          </cell>
          <cell r="AU18">
            <v>7636</v>
          </cell>
          <cell r="AV18">
            <v>0.2933</v>
          </cell>
          <cell r="AW18">
            <v>13984</v>
          </cell>
          <cell r="AX18">
            <v>-0.2938</v>
          </cell>
          <cell r="AY18">
            <v>7455</v>
          </cell>
          <cell r="AZ18">
            <v>4618</v>
          </cell>
          <cell r="BA18">
            <v>0.6143</v>
          </cell>
          <cell r="BB18">
            <v>14073</v>
          </cell>
          <cell r="BC18">
            <v>-0.4703</v>
          </cell>
          <cell r="BD18">
            <v>0.7549</v>
          </cell>
          <cell r="BE18">
            <v>0.1501</v>
          </cell>
          <cell r="BF18">
            <v>5871</v>
          </cell>
          <cell r="BG18">
            <v>6030</v>
          </cell>
          <cell r="BH18">
            <v>-0.0264</v>
          </cell>
          <cell r="BI18">
            <v>1057</v>
          </cell>
          <cell r="BJ18">
            <v>4.5544</v>
          </cell>
          <cell r="BK18">
            <v>0.3728</v>
          </cell>
          <cell r="BL18">
            <v>5854</v>
          </cell>
          <cell r="BM18">
            <v>4144</v>
          </cell>
          <cell r="BN18">
            <v>0.4126</v>
          </cell>
          <cell r="BO18">
            <v>2934</v>
          </cell>
          <cell r="BP18">
            <v>0.9952</v>
          </cell>
          <cell r="BQ18">
            <v>7654</v>
          </cell>
          <cell r="BR18">
            <v>5823</v>
          </cell>
          <cell r="BS18">
            <v>0.3144</v>
          </cell>
          <cell r="BT18">
            <v>12427</v>
          </cell>
          <cell r="BU18">
            <v>-0.3841</v>
          </cell>
          <cell r="BV18">
            <v>0.4861</v>
          </cell>
          <cell r="BW18">
            <v>0.06</v>
          </cell>
          <cell r="BX18">
            <v>0.775</v>
          </cell>
          <cell r="BY18">
            <v>0.0124</v>
          </cell>
          <cell r="BZ18">
            <v>47</v>
          </cell>
          <cell r="CA18">
            <v>107</v>
          </cell>
          <cell r="CB18">
            <v>-0.5607</v>
          </cell>
          <cell r="CC18">
            <v>468</v>
          </cell>
          <cell r="CD18">
            <v>-0.8996</v>
          </cell>
          <cell r="CE18" t="str">
            <v/>
          </cell>
          <cell r="CF18" t="str">
            <v/>
          </cell>
          <cell r="CG18">
            <v>24985</v>
          </cell>
          <cell r="CH18">
            <v>16430</v>
          </cell>
          <cell r="CI18">
            <v>0.5207</v>
          </cell>
          <cell r="CJ18">
            <v>22525</v>
          </cell>
          <cell r="CK18">
            <v>0.1092</v>
          </cell>
          <cell r="CL18">
            <v>159</v>
          </cell>
          <cell r="CM18">
            <v>38</v>
          </cell>
          <cell r="CN18">
            <v>0.3197</v>
          </cell>
          <cell r="CO18">
            <v>18955</v>
          </cell>
          <cell r="CP18">
            <v>8481</v>
          </cell>
          <cell r="CQ18">
            <v>1.235</v>
          </cell>
          <cell r="CR18">
            <v>15779</v>
          </cell>
          <cell r="CS18">
            <v>0.2013</v>
          </cell>
          <cell r="CT18">
            <v>0.7587</v>
          </cell>
          <cell r="CU18">
            <v>0.2425</v>
          </cell>
          <cell r="CV18">
            <v>120</v>
          </cell>
          <cell r="CW18">
            <v>58</v>
          </cell>
          <cell r="CX18">
            <v>0.9396</v>
          </cell>
          <cell r="CY18">
            <v>22853</v>
          </cell>
          <cell r="CZ18">
            <v>11805</v>
          </cell>
          <cell r="DA18">
            <v>0.9359</v>
          </cell>
          <cell r="DB18">
            <v>20232</v>
          </cell>
          <cell r="DC18">
            <v>0.1295</v>
          </cell>
          <cell r="DD18">
            <v>0.9147</v>
          </cell>
          <cell r="DE18">
            <v>0.1962</v>
          </cell>
          <cell r="DF18">
            <v>145</v>
          </cell>
          <cell r="DG18">
            <v>59</v>
          </cell>
          <cell r="DH18">
            <v>0.68</v>
          </cell>
        </row>
        <row r="18">
          <cell r="DL18">
            <v>19794</v>
          </cell>
          <cell r="DM18">
            <v>0.1101</v>
          </cell>
          <cell r="DN18">
            <v>12230</v>
          </cell>
          <cell r="DO18">
            <v>9062</v>
          </cell>
          <cell r="DP18">
            <v>0.3496</v>
          </cell>
          <cell r="DQ18">
            <v>12659</v>
          </cell>
          <cell r="DR18">
            <v>-0.0339</v>
          </cell>
          <cell r="DS18">
            <v>12244</v>
          </cell>
          <cell r="DT18">
            <v>9066</v>
          </cell>
          <cell r="DU18">
            <v>0.3505</v>
          </cell>
          <cell r="DV18">
            <v>12681</v>
          </cell>
          <cell r="DW18">
            <v>-0.0345</v>
          </cell>
          <cell r="DX18">
            <v>12077</v>
          </cell>
          <cell r="DY18">
            <v>8253</v>
          </cell>
          <cell r="DZ18">
            <v>0.4633</v>
          </cell>
          <cell r="EA18">
            <v>10866</v>
          </cell>
          <cell r="EB18">
            <v>0.1114</v>
          </cell>
          <cell r="EC18">
            <v>5461</v>
          </cell>
          <cell r="ED18">
            <v>5282</v>
          </cell>
          <cell r="EE18">
            <v>0.0339</v>
          </cell>
          <cell r="EF18">
            <v>6584</v>
          </cell>
          <cell r="EG18">
            <v>-0.1706</v>
          </cell>
          <cell r="EH18">
            <v>0.2881</v>
          </cell>
          <cell r="EI18">
            <v>-0.3347</v>
          </cell>
          <cell r="EJ18">
            <v>35</v>
          </cell>
          <cell r="EK18">
            <v>-4</v>
          </cell>
          <cell r="EL18">
            <v>-0.1027</v>
          </cell>
          <cell r="EM18">
            <v>5659</v>
          </cell>
          <cell r="EN18">
            <v>5353</v>
          </cell>
          <cell r="EO18">
            <v>0.0572</v>
          </cell>
          <cell r="EP18">
            <v>6729</v>
          </cell>
          <cell r="EQ18">
            <v>-0.159</v>
          </cell>
          <cell r="ER18">
            <v>10703</v>
          </cell>
          <cell r="ES18">
            <v>7973</v>
          </cell>
          <cell r="ET18">
            <v>0.3424</v>
          </cell>
          <cell r="EU18">
            <v>16649</v>
          </cell>
          <cell r="EV18">
            <v>-0.3571</v>
          </cell>
          <cell r="EW18">
            <v>0.5647</v>
          </cell>
          <cell r="EX18">
            <v>-0.3754</v>
          </cell>
          <cell r="EY18">
            <v>68</v>
          </cell>
          <cell r="EZ18">
            <v>10</v>
          </cell>
          <cell r="FA18">
            <v>0.165</v>
          </cell>
        </row>
        <row r="19">
          <cell r="A19" t="str">
            <v>排除诈骗及关联犯罪</v>
          </cell>
          <cell r="B19" t="str">
            <v>云浮</v>
          </cell>
        </row>
        <row r="19">
          <cell r="AM19">
            <v>153</v>
          </cell>
          <cell r="AN19">
            <v>94</v>
          </cell>
          <cell r="AO19">
            <v>0.6277</v>
          </cell>
          <cell r="AP19">
            <v>149</v>
          </cell>
          <cell r="AQ19">
            <v>0.0268</v>
          </cell>
          <cell r="AR19">
            <v>0.8315</v>
          </cell>
          <cell r="AS19">
            <v>0.1352</v>
          </cell>
          <cell r="AT19">
            <v>84</v>
          </cell>
          <cell r="AU19">
            <v>75</v>
          </cell>
          <cell r="AV19">
            <v>0.12</v>
          </cell>
          <cell r="AW19">
            <v>103</v>
          </cell>
          <cell r="AX19">
            <v>-0.1845</v>
          </cell>
          <cell r="AY19">
            <v>70</v>
          </cell>
          <cell r="AZ19">
            <v>44</v>
          </cell>
          <cell r="BA19">
            <v>0.5909</v>
          </cell>
          <cell r="BB19">
            <v>127</v>
          </cell>
          <cell r="BC19">
            <v>-0.4488</v>
          </cell>
          <cell r="BD19">
            <v>0.8333</v>
          </cell>
          <cell r="BE19">
            <v>0.2467</v>
          </cell>
          <cell r="BF19">
            <v>100</v>
          </cell>
          <cell r="BG19">
            <v>60</v>
          </cell>
          <cell r="BH19">
            <v>0.6667</v>
          </cell>
          <cell r="BI19">
            <v>8</v>
          </cell>
          <cell r="BJ19">
            <v>11.5</v>
          </cell>
          <cell r="BK19">
            <v>0.5435</v>
          </cell>
          <cell r="BL19">
            <v>83</v>
          </cell>
          <cell r="BM19">
            <v>50</v>
          </cell>
          <cell r="BN19">
            <v>0.66</v>
          </cell>
          <cell r="BO19">
            <v>22</v>
          </cell>
          <cell r="BP19">
            <v>2.7727</v>
          </cell>
          <cell r="BQ19">
            <v>51</v>
          </cell>
          <cell r="BR19">
            <v>79</v>
          </cell>
          <cell r="BS19">
            <v>-0.3544</v>
          </cell>
          <cell r="BT19">
            <v>158</v>
          </cell>
          <cell r="BU19">
            <v>-0.6772</v>
          </cell>
          <cell r="BV19">
            <v>0.2772</v>
          </cell>
          <cell r="BW19">
            <v>-0.308</v>
          </cell>
          <cell r="BX19">
            <v>0.6071</v>
          </cell>
          <cell r="BY19">
            <v>-0.4462</v>
          </cell>
          <cell r="BZ19">
            <v>0</v>
          </cell>
          <cell r="CA19">
            <v>0</v>
          </cell>
          <cell r="CB19" t="str">
            <v>持平</v>
          </cell>
          <cell r="CC19">
            <v>2</v>
          </cell>
          <cell r="CD19" t="str">
            <v>少2起</v>
          </cell>
          <cell r="CE19" t="str">
            <v/>
          </cell>
          <cell r="CF19" t="str">
            <v/>
          </cell>
          <cell r="CG19">
            <v>284</v>
          </cell>
          <cell r="CH19">
            <v>168</v>
          </cell>
          <cell r="CI19">
            <v>0.6905</v>
          </cell>
          <cell r="CJ19">
            <v>233</v>
          </cell>
          <cell r="CK19">
            <v>0.2189</v>
          </cell>
          <cell r="CL19">
            <v>154</v>
          </cell>
          <cell r="CM19">
            <v>30</v>
          </cell>
          <cell r="CN19">
            <v>0.2403</v>
          </cell>
          <cell r="CO19">
            <v>231</v>
          </cell>
          <cell r="CP19">
            <v>139</v>
          </cell>
          <cell r="CQ19">
            <v>0.6619</v>
          </cell>
          <cell r="CR19">
            <v>240</v>
          </cell>
          <cell r="CS19">
            <v>-0.0375</v>
          </cell>
          <cell r="CT19">
            <v>0.8134</v>
          </cell>
          <cell r="CU19">
            <v>-0.014</v>
          </cell>
          <cell r="CV19">
            <v>126</v>
          </cell>
          <cell r="CW19">
            <v>23</v>
          </cell>
          <cell r="CX19">
            <v>0.2193</v>
          </cell>
          <cell r="CY19">
            <v>246</v>
          </cell>
          <cell r="CZ19">
            <v>153</v>
          </cell>
          <cell r="DA19">
            <v>0.6078</v>
          </cell>
          <cell r="DB19">
            <v>267</v>
          </cell>
          <cell r="DC19">
            <v>-0.0787</v>
          </cell>
          <cell r="DD19">
            <v>0.8662</v>
          </cell>
          <cell r="DE19">
            <v>-0.0445</v>
          </cell>
          <cell r="DF19">
            <v>134</v>
          </cell>
          <cell r="DG19">
            <v>20</v>
          </cell>
          <cell r="DH19">
            <v>0.1797</v>
          </cell>
        </row>
        <row r="19">
          <cell r="DL19">
            <v>243</v>
          </cell>
          <cell r="DM19">
            <v>-0.107</v>
          </cell>
          <cell r="DN19">
            <v>114</v>
          </cell>
          <cell r="DO19">
            <v>69</v>
          </cell>
          <cell r="DP19">
            <v>0.6522</v>
          </cell>
          <cell r="DQ19">
            <v>131</v>
          </cell>
          <cell r="DR19">
            <v>-0.1298</v>
          </cell>
          <cell r="DS19">
            <v>114</v>
          </cell>
          <cell r="DT19">
            <v>69</v>
          </cell>
          <cell r="DU19">
            <v>0.6522</v>
          </cell>
          <cell r="DV19">
            <v>132</v>
          </cell>
          <cell r="DW19">
            <v>-0.1364</v>
          </cell>
          <cell r="DX19">
            <v>165</v>
          </cell>
          <cell r="DY19">
            <v>80</v>
          </cell>
          <cell r="DZ19">
            <v>1.0625</v>
          </cell>
          <cell r="EA19">
            <v>137</v>
          </cell>
          <cell r="EB19">
            <v>0.2044</v>
          </cell>
          <cell r="EC19">
            <v>104</v>
          </cell>
          <cell r="ED19">
            <v>58</v>
          </cell>
          <cell r="EE19">
            <v>0.7931</v>
          </cell>
          <cell r="EF19">
            <v>102</v>
          </cell>
          <cell r="EG19">
            <v>0.0196</v>
          </cell>
          <cell r="EH19">
            <v>0.4502</v>
          </cell>
          <cell r="EI19">
            <v>0.033</v>
          </cell>
          <cell r="EJ19">
            <v>57</v>
          </cell>
          <cell r="EK19">
            <v>14</v>
          </cell>
          <cell r="EL19">
            <v>0.3156</v>
          </cell>
          <cell r="EM19">
            <v>105</v>
          </cell>
          <cell r="EN19">
            <v>58</v>
          </cell>
          <cell r="EO19">
            <v>0.8103</v>
          </cell>
          <cell r="EP19">
            <v>103</v>
          </cell>
          <cell r="EQ19">
            <v>0.0194</v>
          </cell>
          <cell r="ER19">
            <v>88</v>
          </cell>
          <cell r="ES19">
            <v>105</v>
          </cell>
          <cell r="ET19">
            <v>-0.1619</v>
          </cell>
          <cell r="EU19">
            <v>225</v>
          </cell>
          <cell r="EV19">
            <v>-0.6089</v>
          </cell>
          <cell r="EW19">
            <v>0.381</v>
          </cell>
          <cell r="EX19">
            <v>-0.3744</v>
          </cell>
          <cell r="EY19">
            <v>48</v>
          </cell>
          <cell r="EZ19">
            <v>-30</v>
          </cell>
          <cell r="FA19">
            <v>-0.3851</v>
          </cell>
        </row>
        <row r="20">
          <cell r="A20" t="str">
            <v>排除诈骗及关联犯罪</v>
          </cell>
          <cell r="B20" t="str">
            <v>云城区</v>
          </cell>
        </row>
        <row r="20">
          <cell r="AM20">
            <v>18</v>
          </cell>
          <cell r="AN20">
            <v>17</v>
          </cell>
          <cell r="AO20">
            <v>0.0588</v>
          </cell>
          <cell r="AP20">
            <v>16</v>
          </cell>
          <cell r="AQ20">
            <v>0.125</v>
          </cell>
          <cell r="AR20">
            <v>0.8182</v>
          </cell>
          <cell r="AS20">
            <v>-0.0766</v>
          </cell>
          <cell r="AT20">
            <v>14</v>
          </cell>
          <cell r="AU20">
            <v>15</v>
          </cell>
          <cell r="AV20">
            <v>-0.0667</v>
          </cell>
          <cell r="AW20">
            <v>12</v>
          </cell>
          <cell r="AX20">
            <v>0.1667</v>
          </cell>
          <cell r="AY20">
            <v>13</v>
          </cell>
          <cell r="AZ20">
            <v>14</v>
          </cell>
          <cell r="BA20">
            <v>-0.0714</v>
          </cell>
          <cell r="BB20">
            <v>11</v>
          </cell>
          <cell r="BC20">
            <v>0.1818</v>
          </cell>
          <cell r="BD20">
            <v>0.9286</v>
          </cell>
          <cell r="BE20">
            <v>-0.0048</v>
          </cell>
          <cell r="BF20">
            <v>8</v>
          </cell>
          <cell r="BG20">
            <v>4</v>
          </cell>
          <cell r="BH20">
            <v>1</v>
          </cell>
          <cell r="BI20">
            <v>0</v>
          </cell>
          <cell r="BJ20" t="str">
            <v>多8起</v>
          </cell>
          <cell r="BK20">
            <v>0.3636</v>
          </cell>
          <cell r="BL20">
            <v>5</v>
          </cell>
          <cell r="BM20">
            <v>3</v>
          </cell>
          <cell r="BN20">
            <v>0.6667</v>
          </cell>
          <cell r="BO20">
            <v>5</v>
          </cell>
          <cell r="BP20">
            <v>0</v>
          </cell>
          <cell r="BQ20">
            <v>4</v>
          </cell>
          <cell r="BR20">
            <v>9</v>
          </cell>
          <cell r="BS20">
            <v>-0.5556</v>
          </cell>
          <cell r="BT20">
            <v>32</v>
          </cell>
          <cell r="BU20">
            <v>-0.875</v>
          </cell>
          <cell r="BV20">
            <v>0.1818</v>
          </cell>
          <cell r="BW20">
            <v>-0.2919</v>
          </cell>
          <cell r="BX20">
            <v>0.2857</v>
          </cell>
          <cell r="BY20">
            <v>-0.3143</v>
          </cell>
          <cell r="BZ20">
            <v>0</v>
          </cell>
          <cell r="CA20">
            <v>0</v>
          </cell>
          <cell r="CB20" t="str">
            <v>持平</v>
          </cell>
          <cell r="CC20">
            <v>0</v>
          </cell>
          <cell r="CD20" t="str">
            <v>持平</v>
          </cell>
          <cell r="CE20" t="str">
            <v/>
          </cell>
          <cell r="CF20" t="str">
            <v/>
          </cell>
          <cell r="CG20">
            <v>77</v>
          </cell>
          <cell r="CH20">
            <v>28</v>
          </cell>
          <cell r="CI20">
            <v>1.75</v>
          </cell>
          <cell r="CJ20">
            <v>61</v>
          </cell>
          <cell r="CK20">
            <v>0.2623</v>
          </cell>
          <cell r="CL20">
            <v>350</v>
          </cell>
          <cell r="CM20">
            <v>203</v>
          </cell>
          <cell r="CN20">
            <v>1.375</v>
          </cell>
          <cell r="CO20">
            <v>48</v>
          </cell>
          <cell r="CP20">
            <v>23</v>
          </cell>
          <cell r="CQ20">
            <v>1.087</v>
          </cell>
          <cell r="CR20">
            <v>18</v>
          </cell>
          <cell r="CS20">
            <v>1.6667</v>
          </cell>
          <cell r="CT20">
            <v>0.6234</v>
          </cell>
          <cell r="CU20">
            <v>-0.1981</v>
          </cell>
          <cell r="CV20">
            <v>218</v>
          </cell>
          <cell r="CW20">
            <v>97</v>
          </cell>
          <cell r="CX20">
            <v>0.8024</v>
          </cell>
          <cell r="CY20">
            <v>48</v>
          </cell>
          <cell r="CZ20">
            <v>24</v>
          </cell>
          <cell r="DA20">
            <v>1</v>
          </cell>
          <cell r="DB20">
            <v>19</v>
          </cell>
          <cell r="DC20">
            <v>1.5263</v>
          </cell>
          <cell r="DD20">
            <v>0.6234</v>
          </cell>
          <cell r="DE20">
            <v>-0.2338</v>
          </cell>
          <cell r="DF20">
            <v>218</v>
          </cell>
          <cell r="DG20">
            <v>92</v>
          </cell>
          <cell r="DH20">
            <v>0.7273</v>
          </cell>
        </row>
        <row r="20">
          <cell r="DL20">
            <v>0</v>
          </cell>
          <cell r="DM20" t="str">
            <v>持平</v>
          </cell>
          <cell r="DN20">
            <v>13</v>
          </cell>
          <cell r="DO20">
            <v>2</v>
          </cell>
          <cell r="DP20">
            <v>5.5</v>
          </cell>
          <cell r="DQ20">
            <v>8</v>
          </cell>
          <cell r="DR20">
            <v>0.625</v>
          </cell>
          <cell r="DS20">
            <v>13</v>
          </cell>
          <cell r="DT20">
            <v>2</v>
          </cell>
          <cell r="DU20">
            <v>5.5</v>
          </cell>
          <cell r="DV20">
            <v>8</v>
          </cell>
          <cell r="DW20">
            <v>0.625</v>
          </cell>
          <cell r="DX20">
            <v>43</v>
          </cell>
          <cell r="DY20">
            <v>16</v>
          </cell>
          <cell r="DZ20">
            <v>1.6875</v>
          </cell>
          <cell r="EA20">
            <v>28</v>
          </cell>
          <cell r="EB20">
            <v>0.5357</v>
          </cell>
          <cell r="EC20">
            <v>31</v>
          </cell>
          <cell r="ED20">
            <v>14</v>
          </cell>
          <cell r="EE20">
            <v>1.2143</v>
          </cell>
          <cell r="EF20">
            <v>21</v>
          </cell>
          <cell r="EG20">
            <v>0.4762</v>
          </cell>
          <cell r="EH20">
            <v>0.6458</v>
          </cell>
          <cell r="EI20">
            <v>0.0371</v>
          </cell>
          <cell r="EJ20">
            <v>141</v>
          </cell>
          <cell r="EK20">
            <v>67</v>
          </cell>
          <cell r="EL20">
            <v>0.9123</v>
          </cell>
          <cell r="EM20">
            <v>32</v>
          </cell>
          <cell r="EN20">
            <v>14</v>
          </cell>
          <cell r="EO20">
            <v>1.2857</v>
          </cell>
          <cell r="EP20">
            <v>21</v>
          </cell>
          <cell r="EQ20">
            <v>0.5238</v>
          </cell>
          <cell r="ER20">
            <v>4</v>
          </cell>
          <cell r="ES20">
            <v>17</v>
          </cell>
          <cell r="ET20">
            <v>-0.7647</v>
          </cell>
          <cell r="EU20">
            <v>46</v>
          </cell>
          <cell r="EV20">
            <v>-0.913</v>
          </cell>
          <cell r="EW20">
            <v>0.0833</v>
          </cell>
          <cell r="EX20">
            <v>-0.6558</v>
          </cell>
          <cell r="EY20">
            <v>18</v>
          </cell>
          <cell r="EZ20">
            <v>-71</v>
          </cell>
          <cell r="FA20">
            <v>-0.7968</v>
          </cell>
        </row>
        <row r="21">
          <cell r="A21" t="str">
            <v>排除诈骗及关联犯罪</v>
          </cell>
          <cell r="B21" t="str">
            <v>云安区</v>
          </cell>
        </row>
        <row r="21">
          <cell r="AM21">
            <v>23</v>
          </cell>
          <cell r="AN21">
            <v>13</v>
          </cell>
          <cell r="AO21">
            <v>0.7692</v>
          </cell>
          <cell r="AP21">
            <v>10</v>
          </cell>
          <cell r="AQ21">
            <v>1.3</v>
          </cell>
          <cell r="AR21">
            <v>1.0952</v>
          </cell>
          <cell r="AS21">
            <v>0.0119</v>
          </cell>
          <cell r="AT21">
            <v>10</v>
          </cell>
          <cell r="AU21">
            <v>9</v>
          </cell>
          <cell r="AV21">
            <v>0.1111</v>
          </cell>
          <cell r="AW21">
            <v>6</v>
          </cell>
          <cell r="AX21">
            <v>0.6667</v>
          </cell>
          <cell r="AY21">
            <v>13</v>
          </cell>
          <cell r="AZ21">
            <v>8</v>
          </cell>
          <cell r="BA21">
            <v>0.625</v>
          </cell>
          <cell r="BB21">
            <v>7</v>
          </cell>
          <cell r="BC21">
            <v>0.8571</v>
          </cell>
          <cell r="BD21">
            <v>1.3</v>
          </cell>
          <cell r="BE21">
            <v>0.4111</v>
          </cell>
          <cell r="BF21">
            <v>11</v>
          </cell>
          <cell r="BG21">
            <v>3</v>
          </cell>
          <cell r="BH21">
            <v>2.6667</v>
          </cell>
          <cell r="BI21">
            <v>1</v>
          </cell>
          <cell r="BJ21">
            <v>10</v>
          </cell>
          <cell r="BK21">
            <v>0.5238</v>
          </cell>
          <cell r="BL21">
            <v>10</v>
          </cell>
          <cell r="BM21">
            <v>5</v>
          </cell>
          <cell r="BN21">
            <v>1</v>
          </cell>
          <cell r="BO21">
            <v>3</v>
          </cell>
          <cell r="BP21">
            <v>2.3333</v>
          </cell>
          <cell r="BQ21">
            <v>5</v>
          </cell>
          <cell r="BR21">
            <v>8</v>
          </cell>
          <cell r="BS21">
            <v>-0.375</v>
          </cell>
          <cell r="BT21">
            <v>13</v>
          </cell>
          <cell r="BU21">
            <v>-0.6154</v>
          </cell>
          <cell r="BV21">
            <v>0.2381</v>
          </cell>
          <cell r="BW21">
            <v>-0.4286</v>
          </cell>
          <cell r="BX21">
            <v>0.5</v>
          </cell>
          <cell r="BY21">
            <v>-0.3889</v>
          </cell>
          <cell r="BZ21">
            <v>0</v>
          </cell>
          <cell r="CA21">
            <v>0</v>
          </cell>
          <cell r="CB21" t="str">
            <v>持平</v>
          </cell>
          <cell r="CC21">
            <v>0</v>
          </cell>
          <cell r="CD21" t="str">
            <v>持平</v>
          </cell>
          <cell r="CE21" t="str">
            <v/>
          </cell>
          <cell r="CF21" t="str">
            <v/>
          </cell>
          <cell r="CG21">
            <v>53</v>
          </cell>
          <cell r="CH21">
            <v>15</v>
          </cell>
          <cell r="CI21">
            <v>2.5333</v>
          </cell>
          <cell r="CJ21">
            <v>68</v>
          </cell>
          <cell r="CK21">
            <v>-0.2206</v>
          </cell>
          <cell r="CL21">
            <v>252</v>
          </cell>
          <cell r="CM21">
            <v>127</v>
          </cell>
          <cell r="CN21">
            <v>1.019</v>
          </cell>
          <cell r="CO21">
            <v>33</v>
          </cell>
          <cell r="CP21">
            <v>14</v>
          </cell>
          <cell r="CQ21">
            <v>1.3571</v>
          </cell>
          <cell r="CR21">
            <v>28</v>
          </cell>
          <cell r="CS21">
            <v>0.1786</v>
          </cell>
          <cell r="CT21">
            <v>0.6226</v>
          </cell>
          <cell r="CU21">
            <v>-0.3107</v>
          </cell>
          <cell r="CV21">
            <v>157</v>
          </cell>
          <cell r="CW21">
            <v>40</v>
          </cell>
          <cell r="CX21">
            <v>0.3469</v>
          </cell>
          <cell r="CY21">
            <v>33</v>
          </cell>
          <cell r="CZ21">
            <v>15</v>
          </cell>
          <cell r="DA21">
            <v>1.2</v>
          </cell>
          <cell r="DB21">
            <v>30</v>
          </cell>
          <cell r="DC21">
            <v>0.1</v>
          </cell>
          <cell r="DD21">
            <v>0.6226</v>
          </cell>
          <cell r="DE21">
            <v>-0.3774</v>
          </cell>
          <cell r="DF21">
            <v>157</v>
          </cell>
          <cell r="DG21">
            <v>32</v>
          </cell>
          <cell r="DH21">
            <v>0.2571</v>
          </cell>
        </row>
        <row r="21">
          <cell r="DL21">
            <v>0</v>
          </cell>
          <cell r="DM21" t="str">
            <v>持平</v>
          </cell>
          <cell r="DN21">
            <v>16</v>
          </cell>
          <cell r="DO21">
            <v>6</v>
          </cell>
          <cell r="DP21">
            <v>1.6667</v>
          </cell>
          <cell r="DQ21">
            <v>14</v>
          </cell>
          <cell r="DR21">
            <v>0.1429</v>
          </cell>
          <cell r="DS21">
            <v>16</v>
          </cell>
          <cell r="DT21">
            <v>6</v>
          </cell>
          <cell r="DU21">
            <v>1.6667</v>
          </cell>
          <cell r="DV21">
            <v>15</v>
          </cell>
          <cell r="DW21">
            <v>0.0667</v>
          </cell>
          <cell r="DX21">
            <v>22</v>
          </cell>
          <cell r="DY21">
            <v>13</v>
          </cell>
          <cell r="DZ21">
            <v>0.6923</v>
          </cell>
          <cell r="EA21">
            <v>12</v>
          </cell>
          <cell r="EB21">
            <v>0.8333</v>
          </cell>
          <cell r="EC21">
            <v>10</v>
          </cell>
          <cell r="ED21">
            <v>13</v>
          </cell>
          <cell r="EE21">
            <v>-0.2308</v>
          </cell>
          <cell r="EF21">
            <v>9</v>
          </cell>
          <cell r="EG21">
            <v>0.1111</v>
          </cell>
          <cell r="EH21">
            <v>0.303</v>
          </cell>
          <cell r="EI21">
            <v>-0.6255</v>
          </cell>
          <cell r="EJ21">
            <v>48</v>
          </cell>
          <cell r="EK21">
            <v>-61</v>
          </cell>
          <cell r="EL21">
            <v>-0.5604</v>
          </cell>
          <cell r="EM21">
            <v>10</v>
          </cell>
          <cell r="EN21">
            <v>13</v>
          </cell>
          <cell r="EO21">
            <v>-0.2308</v>
          </cell>
          <cell r="EP21">
            <v>9</v>
          </cell>
          <cell r="EQ21">
            <v>0.1111</v>
          </cell>
          <cell r="ER21">
            <v>8</v>
          </cell>
          <cell r="ES21">
            <v>11</v>
          </cell>
          <cell r="ET21">
            <v>-0.2727</v>
          </cell>
          <cell r="EU21">
            <v>20</v>
          </cell>
          <cell r="EV21">
            <v>-0.6</v>
          </cell>
          <cell r="EW21">
            <v>0.2424</v>
          </cell>
          <cell r="EX21">
            <v>-0.5433</v>
          </cell>
          <cell r="EY21">
            <v>38</v>
          </cell>
          <cell r="EZ21">
            <v>-54</v>
          </cell>
          <cell r="FA21">
            <v>-0.5844</v>
          </cell>
        </row>
        <row r="22">
          <cell r="A22" t="str">
            <v>排除诈骗及关联犯罪</v>
          </cell>
          <cell r="B22" t="str">
            <v>新兴县</v>
          </cell>
        </row>
        <row r="22">
          <cell r="AM22">
            <v>28</v>
          </cell>
          <cell r="AN22">
            <v>17</v>
          </cell>
          <cell r="AO22">
            <v>0.6471</v>
          </cell>
          <cell r="AP22">
            <v>34</v>
          </cell>
          <cell r="AQ22">
            <v>-0.1765</v>
          </cell>
          <cell r="AR22">
            <v>0.6829</v>
          </cell>
          <cell r="AS22">
            <v>0.0533</v>
          </cell>
          <cell r="AT22">
            <v>15</v>
          </cell>
          <cell r="AU22">
            <v>8</v>
          </cell>
          <cell r="AV22">
            <v>0.875</v>
          </cell>
          <cell r="AW22">
            <v>26</v>
          </cell>
          <cell r="AX22">
            <v>-0.4231</v>
          </cell>
          <cell r="AY22">
            <v>10</v>
          </cell>
          <cell r="AZ22">
            <v>6</v>
          </cell>
          <cell r="BA22">
            <v>0.6667</v>
          </cell>
          <cell r="BB22">
            <v>31</v>
          </cell>
          <cell r="BC22">
            <v>-0.6774</v>
          </cell>
          <cell r="BD22">
            <v>0.6667</v>
          </cell>
          <cell r="BE22">
            <v>-0.0833</v>
          </cell>
          <cell r="BF22">
            <v>26</v>
          </cell>
          <cell r="BG22">
            <v>19</v>
          </cell>
          <cell r="BH22">
            <v>0.3684</v>
          </cell>
          <cell r="BI22">
            <v>3</v>
          </cell>
          <cell r="BJ22">
            <v>7.6667</v>
          </cell>
          <cell r="BK22">
            <v>0.6341</v>
          </cell>
          <cell r="BL22">
            <v>18</v>
          </cell>
          <cell r="BM22">
            <v>11</v>
          </cell>
          <cell r="BN22">
            <v>0.6364</v>
          </cell>
          <cell r="BO22">
            <v>3</v>
          </cell>
          <cell r="BP22">
            <v>5</v>
          </cell>
          <cell r="BQ22">
            <v>9</v>
          </cell>
          <cell r="BR22">
            <v>16</v>
          </cell>
          <cell r="BS22">
            <v>-0.4375</v>
          </cell>
          <cell r="BT22">
            <v>33</v>
          </cell>
          <cell r="BU22">
            <v>-0.7273</v>
          </cell>
          <cell r="BV22">
            <v>0.2195</v>
          </cell>
          <cell r="BW22">
            <v>-0.3731</v>
          </cell>
          <cell r="BX22">
            <v>0.6</v>
          </cell>
          <cell r="BY22">
            <v>-1.4</v>
          </cell>
          <cell r="BZ22">
            <v>0</v>
          </cell>
          <cell r="CA22">
            <v>0</v>
          </cell>
          <cell r="CB22" t="str">
            <v>持平</v>
          </cell>
          <cell r="CC22">
            <v>1</v>
          </cell>
          <cell r="CD22" t="str">
            <v>少1起</v>
          </cell>
          <cell r="CE22" t="str">
            <v/>
          </cell>
          <cell r="CF22" t="str">
            <v/>
          </cell>
          <cell r="CG22">
            <v>44</v>
          </cell>
          <cell r="CH22">
            <v>46</v>
          </cell>
          <cell r="CI22">
            <v>-0.0435</v>
          </cell>
          <cell r="CJ22">
            <v>23</v>
          </cell>
          <cell r="CK22">
            <v>0.913</v>
          </cell>
          <cell r="CL22">
            <v>107</v>
          </cell>
          <cell r="CM22">
            <v>-63</v>
          </cell>
          <cell r="CN22">
            <v>-0.3701</v>
          </cell>
          <cell r="CO22">
            <v>37</v>
          </cell>
          <cell r="CP22">
            <v>27</v>
          </cell>
          <cell r="CQ22">
            <v>0.3704</v>
          </cell>
          <cell r="CR22">
            <v>25</v>
          </cell>
          <cell r="CS22">
            <v>0.48</v>
          </cell>
          <cell r="CT22">
            <v>0.8409</v>
          </cell>
          <cell r="CU22">
            <v>0.254</v>
          </cell>
          <cell r="CV22">
            <v>90</v>
          </cell>
          <cell r="CW22">
            <v>-10</v>
          </cell>
          <cell r="CX22">
            <v>-0.0976</v>
          </cell>
          <cell r="CY22">
            <v>43</v>
          </cell>
          <cell r="CZ22">
            <v>30</v>
          </cell>
          <cell r="DA22">
            <v>0.4333</v>
          </cell>
          <cell r="DB22">
            <v>33</v>
          </cell>
          <cell r="DC22">
            <v>0.303</v>
          </cell>
          <cell r="DD22">
            <v>0.9773</v>
          </cell>
          <cell r="DE22">
            <v>0.3251</v>
          </cell>
          <cell r="DF22">
            <v>105</v>
          </cell>
          <cell r="DG22">
            <v>-6</v>
          </cell>
          <cell r="DH22">
            <v>-0.0561</v>
          </cell>
        </row>
        <row r="22">
          <cell r="DL22">
            <v>39</v>
          </cell>
          <cell r="DM22">
            <v>-0.1795</v>
          </cell>
          <cell r="DN22">
            <v>22</v>
          </cell>
          <cell r="DO22">
            <v>8</v>
          </cell>
          <cell r="DP22">
            <v>1.75</v>
          </cell>
          <cell r="DQ22">
            <v>18</v>
          </cell>
          <cell r="DR22">
            <v>0.2222</v>
          </cell>
          <cell r="DS22">
            <v>22</v>
          </cell>
          <cell r="DT22">
            <v>8</v>
          </cell>
          <cell r="DU22">
            <v>1.75</v>
          </cell>
          <cell r="DV22">
            <v>18</v>
          </cell>
          <cell r="DW22">
            <v>0.2222</v>
          </cell>
          <cell r="DX22">
            <v>28</v>
          </cell>
          <cell r="DY22">
            <v>13</v>
          </cell>
          <cell r="DZ22">
            <v>1.1538</v>
          </cell>
          <cell r="EA22">
            <v>18</v>
          </cell>
          <cell r="EB22">
            <v>0.5556</v>
          </cell>
          <cell r="EC22">
            <v>12</v>
          </cell>
          <cell r="ED22">
            <v>6</v>
          </cell>
          <cell r="EE22">
            <v>1</v>
          </cell>
          <cell r="EF22">
            <v>10</v>
          </cell>
          <cell r="EG22">
            <v>0.2</v>
          </cell>
          <cell r="EH22">
            <v>0.3243</v>
          </cell>
          <cell r="EI22">
            <v>0.1021</v>
          </cell>
          <cell r="EJ22">
            <v>29</v>
          </cell>
          <cell r="EK22">
            <v>7</v>
          </cell>
          <cell r="EL22">
            <v>0.3171</v>
          </cell>
          <cell r="EM22">
            <v>12</v>
          </cell>
          <cell r="EN22">
            <v>6</v>
          </cell>
          <cell r="EO22">
            <v>1</v>
          </cell>
          <cell r="EP22">
            <v>10</v>
          </cell>
          <cell r="EQ22">
            <v>0.2</v>
          </cell>
          <cell r="ER22">
            <v>15</v>
          </cell>
          <cell r="ES22">
            <v>16</v>
          </cell>
          <cell r="ET22">
            <v>-0.0625</v>
          </cell>
          <cell r="EU22">
            <v>38</v>
          </cell>
          <cell r="EV22">
            <v>-0.6053</v>
          </cell>
          <cell r="EW22">
            <v>0.4054</v>
          </cell>
          <cell r="EX22">
            <v>-0.1872</v>
          </cell>
          <cell r="EY22">
            <v>37</v>
          </cell>
          <cell r="EZ22">
            <v>-23</v>
          </cell>
          <cell r="FA22">
            <v>-0.3826</v>
          </cell>
        </row>
        <row r="23">
          <cell r="A23" t="str">
            <v>排除诈骗及关联犯罪</v>
          </cell>
          <cell r="B23" t="str">
            <v>郁南县</v>
          </cell>
        </row>
        <row r="23">
          <cell r="AM23">
            <v>32</v>
          </cell>
          <cell r="AN23">
            <v>6</v>
          </cell>
          <cell r="AO23">
            <v>4.3333</v>
          </cell>
          <cell r="AP23">
            <v>13</v>
          </cell>
          <cell r="AQ23">
            <v>1.4615</v>
          </cell>
          <cell r="AR23">
            <v>0.8649</v>
          </cell>
          <cell r="AS23">
            <v>0.4899</v>
          </cell>
          <cell r="AT23">
            <v>23</v>
          </cell>
          <cell r="AU23">
            <v>10</v>
          </cell>
          <cell r="AV23">
            <v>1.3</v>
          </cell>
          <cell r="AW23">
            <v>13</v>
          </cell>
          <cell r="AX23">
            <v>0.7692</v>
          </cell>
          <cell r="AY23">
            <v>22</v>
          </cell>
          <cell r="AZ23">
            <v>4</v>
          </cell>
          <cell r="BA23">
            <v>4.5</v>
          </cell>
          <cell r="BB23">
            <v>13</v>
          </cell>
          <cell r="BC23">
            <v>0.6923</v>
          </cell>
          <cell r="BD23">
            <v>0.9565</v>
          </cell>
          <cell r="BE23">
            <v>0.5565</v>
          </cell>
          <cell r="BF23">
            <v>14</v>
          </cell>
          <cell r="BG23">
            <v>6</v>
          </cell>
          <cell r="BH23">
            <v>1.3333</v>
          </cell>
          <cell r="BI23">
            <v>1</v>
          </cell>
          <cell r="BJ23">
            <v>13</v>
          </cell>
          <cell r="BK23">
            <v>0.3784</v>
          </cell>
          <cell r="BL23">
            <v>10</v>
          </cell>
          <cell r="BM23">
            <v>2</v>
          </cell>
          <cell r="BN23">
            <v>4</v>
          </cell>
          <cell r="BO23">
            <v>0</v>
          </cell>
          <cell r="BP23" t="str">
            <v>多10起</v>
          </cell>
          <cell r="BQ23">
            <v>7</v>
          </cell>
          <cell r="BR23">
            <v>5</v>
          </cell>
          <cell r="BS23">
            <v>0.4</v>
          </cell>
          <cell r="BT23">
            <v>22</v>
          </cell>
          <cell r="BU23">
            <v>-0.6818</v>
          </cell>
          <cell r="BV23">
            <v>0.1892</v>
          </cell>
          <cell r="BW23">
            <v>-0.1233</v>
          </cell>
          <cell r="BX23">
            <v>0.3043</v>
          </cell>
          <cell r="BY23">
            <v>-0.1957</v>
          </cell>
          <cell r="BZ23">
            <v>0</v>
          </cell>
          <cell r="CA23">
            <v>0</v>
          </cell>
          <cell r="CB23" t="str">
            <v>持平</v>
          </cell>
          <cell r="CC23">
            <v>0</v>
          </cell>
          <cell r="CD23" t="str">
            <v>持平</v>
          </cell>
          <cell r="CE23" t="str">
            <v/>
          </cell>
          <cell r="CF23" t="str">
            <v/>
          </cell>
          <cell r="CG23">
            <v>36</v>
          </cell>
          <cell r="CH23">
            <v>16</v>
          </cell>
          <cell r="CI23">
            <v>1.25</v>
          </cell>
          <cell r="CJ23">
            <v>15</v>
          </cell>
          <cell r="CK23">
            <v>1.4</v>
          </cell>
          <cell r="CL23">
            <v>97</v>
          </cell>
          <cell r="CM23">
            <v>-3</v>
          </cell>
          <cell r="CN23">
            <v>-0.027</v>
          </cell>
          <cell r="CO23">
            <v>38</v>
          </cell>
          <cell r="CP23">
            <v>7</v>
          </cell>
          <cell r="CQ23">
            <v>4.4286</v>
          </cell>
          <cell r="CR23">
            <v>15</v>
          </cell>
          <cell r="CS23">
            <v>1.5333</v>
          </cell>
          <cell r="CT23">
            <v>1.0556</v>
          </cell>
          <cell r="CU23">
            <v>0.6181</v>
          </cell>
          <cell r="CV23">
            <v>103</v>
          </cell>
          <cell r="CW23">
            <v>59</v>
          </cell>
          <cell r="CX23">
            <v>1.3475</v>
          </cell>
          <cell r="CY23">
            <v>42</v>
          </cell>
          <cell r="CZ23">
            <v>7</v>
          </cell>
          <cell r="DA23">
            <v>5</v>
          </cell>
          <cell r="DB23">
            <v>16</v>
          </cell>
          <cell r="DC23">
            <v>1.625</v>
          </cell>
          <cell r="DD23">
            <v>1.1667</v>
          </cell>
          <cell r="DE23">
            <v>0.7292</v>
          </cell>
          <cell r="DF23">
            <v>114</v>
          </cell>
          <cell r="DG23">
            <v>70</v>
          </cell>
          <cell r="DH23">
            <v>1.5946</v>
          </cell>
        </row>
        <row r="23">
          <cell r="DL23">
            <v>22</v>
          </cell>
          <cell r="DM23">
            <v>0.5</v>
          </cell>
          <cell r="DN23">
            <v>16</v>
          </cell>
          <cell r="DO23">
            <v>10</v>
          </cell>
          <cell r="DP23">
            <v>0.6</v>
          </cell>
          <cell r="DQ23">
            <v>15</v>
          </cell>
          <cell r="DR23">
            <v>0.0667</v>
          </cell>
          <cell r="DS23">
            <v>16</v>
          </cell>
          <cell r="DT23">
            <v>10</v>
          </cell>
          <cell r="DU23">
            <v>0.6</v>
          </cell>
          <cell r="DV23">
            <v>15</v>
          </cell>
          <cell r="DW23">
            <v>0.0667</v>
          </cell>
          <cell r="DX23">
            <v>24</v>
          </cell>
          <cell r="DY23">
            <v>5</v>
          </cell>
          <cell r="DZ23">
            <v>3.8</v>
          </cell>
          <cell r="EA23">
            <v>24</v>
          </cell>
          <cell r="EB23">
            <v>0</v>
          </cell>
          <cell r="EC23">
            <v>17</v>
          </cell>
          <cell r="ED23">
            <v>5</v>
          </cell>
          <cell r="EE23">
            <v>2.4</v>
          </cell>
          <cell r="EF23">
            <v>15</v>
          </cell>
          <cell r="EG23">
            <v>0.1333</v>
          </cell>
          <cell r="EH23">
            <v>0.4474</v>
          </cell>
          <cell r="EI23">
            <v>-0.2669</v>
          </cell>
          <cell r="EJ23">
            <v>46</v>
          </cell>
          <cell r="EK23">
            <v>15</v>
          </cell>
          <cell r="EL23">
            <v>0.4703</v>
          </cell>
          <cell r="EM23">
            <v>17</v>
          </cell>
          <cell r="EN23">
            <v>5</v>
          </cell>
          <cell r="EO23">
            <v>2.4</v>
          </cell>
          <cell r="EP23">
            <v>15</v>
          </cell>
          <cell r="EQ23">
            <v>0.1333</v>
          </cell>
          <cell r="ER23">
            <v>16</v>
          </cell>
          <cell r="ES23">
            <v>13</v>
          </cell>
          <cell r="ET23">
            <v>0.2308</v>
          </cell>
          <cell r="EU23">
            <v>39</v>
          </cell>
          <cell r="EV23">
            <v>-0.5897</v>
          </cell>
          <cell r="EW23">
            <v>0.4211</v>
          </cell>
          <cell r="EX23">
            <v>-1.4361</v>
          </cell>
          <cell r="EY23">
            <v>43</v>
          </cell>
          <cell r="EZ23">
            <v>-38</v>
          </cell>
          <cell r="FA23">
            <v>-0.4678</v>
          </cell>
        </row>
        <row r="24">
          <cell r="A24" t="str">
            <v>排除诈骗及关联犯罪</v>
          </cell>
          <cell r="B24" t="str">
            <v>罗定市</v>
          </cell>
        </row>
        <row r="24">
          <cell r="AM24">
            <v>46</v>
          </cell>
          <cell r="AN24">
            <v>38</v>
          </cell>
          <cell r="AO24">
            <v>0.2105</v>
          </cell>
          <cell r="AP24">
            <v>54</v>
          </cell>
          <cell r="AQ24">
            <v>-0.1481</v>
          </cell>
          <cell r="AR24">
            <v>0.902</v>
          </cell>
          <cell r="AS24">
            <v>-0.0724</v>
          </cell>
          <cell r="AT24">
            <v>20</v>
          </cell>
          <cell r="AU24">
            <v>20</v>
          </cell>
          <cell r="AV24">
            <v>0</v>
          </cell>
          <cell r="AW24">
            <v>30</v>
          </cell>
          <cell r="AX24">
            <v>-0.3333</v>
          </cell>
          <cell r="AY24">
            <v>11</v>
          </cell>
          <cell r="AZ24">
            <v>12</v>
          </cell>
          <cell r="BA24">
            <v>-0.0833</v>
          </cell>
          <cell r="BB24">
            <v>48</v>
          </cell>
          <cell r="BC24">
            <v>-0.7708</v>
          </cell>
          <cell r="BD24">
            <v>0.55</v>
          </cell>
          <cell r="BE24">
            <v>-0.05</v>
          </cell>
          <cell r="BF24">
            <v>31</v>
          </cell>
          <cell r="BG24">
            <v>19</v>
          </cell>
          <cell r="BH24">
            <v>0.6316</v>
          </cell>
          <cell r="BI24">
            <v>2</v>
          </cell>
          <cell r="BJ24">
            <v>14.5</v>
          </cell>
          <cell r="BK24">
            <v>0.6078</v>
          </cell>
          <cell r="BL24">
            <v>35</v>
          </cell>
          <cell r="BM24">
            <v>26</v>
          </cell>
          <cell r="BN24">
            <v>0.3462</v>
          </cell>
          <cell r="BO24">
            <v>6</v>
          </cell>
          <cell r="BP24">
            <v>4.8333</v>
          </cell>
          <cell r="BQ24">
            <v>21</v>
          </cell>
          <cell r="BR24">
            <v>23</v>
          </cell>
          <cell r="BS24">
            <v>-0.087</v>
          </cell>
          <cell r="BT24">
            <v>46</v>
          </cell>
          <cell r="BU24">
            <v>-0.5435</v>
          </cell>
          <cell r="BV24">
            <v>0.4118</v>
          </cell>
          <cell r="BW24">
            <v>-0.178</v>
          </cell>
          <cell r="BX24">
            <v>1.05</v>
          </cell>
          <cell r="BY24">
            <v>-0.1</v>
          </cell>
          <cell r="BZ24">
            <v>0</v>
          </cell>
          <cell r="CA24">
            <v>0</v>
          </cell>
          <cell r="CB24" t="str">
            <v>持平</v>
          </cell>
          <cell r="CC24">
            <v>1</v>
          </cell>
          <cell r="CD24" t="str">
            <v>少1起</v>
          </cell>
          <cell r="CE24" t="str">
            <v/>
          </cell>
          <cell r="CF24" t="str">
            <v/>
          </cell>
          <cell r="CG24">
            <v>63</v>
          </cell>
          <cell r="CH24">
            <v>50</v>
          </cell>
          <cell r="CI24">
            <v>0.26</v>
          </cell>
          <cell r="CJ24">
            <v>61</v>
          </cell>
          <cell r="CK24">
            <v>0.0328</v>
          </cell>
          <cell r="CL24">
            <v>124</v>
          </cell>
          <cell r="CM24">
            <v>-5</v>
          </cell>
          <cell r="CN24">
            <v>-0.0365</v>
          </cell>
          <cell r="CO24">
            <v>53</v>
          </cell>
          <cell r="CP24">
            <v>40</v>
          </cell>
          <cell r="CQ24">
            <v>0.325</v>
          </cell>
          <cell r="CR24">
            <v>34</v>
          </cell>
          <cell r="CS24">
            <v>0.5588</v>
          </cell>
          <cell r="CT24">
            <v>0.8413</v>
          </cell>
          <cell r="CU24">
            <v>0.0413</v>
          </cell>
          <cell r="CV24">
            <v>104</v>
          </cell>
          <cell r="CW24">
            <v>1</v>
          </cell>
          <cell r="CX24">
            <v>0.0132</v>
          </cell>
          <cell r="CY24">
            <v>56</v>
          </cell>
          <cell r="CZ24">
            <v>49</v>
          </cell>
          <cell r="DA24">
            <v>0.1429</v>
          </cell>
          <cell r="DB24">
            <v>40</v>
          </cell>
          <cell r="DC24">
            <v>0.4</v>
          </cell>
          <cell r="DD24">
            <v>0.8889</v>
          </cell>
          <cell r="DE24">
            <v>-0.0911</v>
          </cell>
          <cell r="DF24">
            <v>110</v>
          </cell>
          <cell r="DG24">
            <v>-16</v>
          </cell>
          <cell r="DH24">
            <v>-0.1261</v>
          </cell>
        </row>
        <row r="24">
          <cell r="DL24">
            <v>63</v>
          </cell>
          <cell r="DM24">
            <v>-0.1587</v>
          </cell>
          <cell r="DN24">
            <v>17</v>
          </cell>
          <cell r="DO24">
            <v>32</v>
          </cell>
          <cell r="DP24">
            <v>-0.4688</v>
          </cell>
          <cell r="DQ24">
            <v>41</v>
          </cell>
          <cell r="DR24">
            <v>-0.5854</v>
          </cell>
          <cell r="DS24">
            <v>17</v>
          </cell>
          <cell r="DT24">
            <v>32</v>
          </cell>
          <cell r="DU24">
            <v>-0.4688</v>
          </cell>
          <cell r="DV24">
            <v>41</v>
          </cell>
          <cell r="DW24">
            <v>-0.5854</v>
          </cell>
          <cell r="DX24">
            <v>44</v>
          </cell>
          <cell r="DY24">
            <v>32</v>
          </cell>
          <cell r="DZ24">
            <v>0.375</v>
          </cell>
          <cell r="EA24">
            <v>53</v>
          </cell>
          <cell r="EB24">
            <v>-0.1698</v>
          </cell>
          <cell r="EC24">
            <v>32</v>
          </cell>
          <cell r="ED24">
            <v>18</v>
          </cell>
          <cell r="EE24">
            <v>0.7778</v>
          </cell>
          <cell r="EF24">
            <v>44</v>
          </cell>
          <cell r="EG24">
            <v>-0.2727</v>
          </cell>
          <cell r="EH24">
            <v>0.6038</v>
          </cell>
          <cell r="EI24">
            <v>0.1538</v>
          </cell>
          <cell r="EJ24">
            <v>63</v>
          </cell>
          <cell r="EK24">
            <v>17</v>
          </cell>
          <cell r="EL24">
            <v>0.3595</v>
          </cell>
          <cell r="EM24">
            <v>32</v>
          </cell>
          <cell r="EN24">
            <v>18</v>
          </cell>
          <cell r="EO24">
            <v>0.7778</v>
          </cell>
          <cell r="EP24">
            <v>45</v>
          </cell>
          <cell r="EQ24">
            <v>-0.2889</v>
          </cell>
          <cell r="ER24">
            <v>38</v>
          </cell>
          <cell r="ES24">
            <v>25</v>
          </cell>
          <cell r="ET24">
            <v>0.52</v>
          </cell>
          <cell r="EU24">
            <v>64</v>
          </cell>
          <cell r="EV24">
            <v>-0.4063</v>
          </cell>
          <cell r="EW24">
            <v>0.717</v>
          </cell>
          <cell r="EX24">
            <v>0.092</v>
          </cell>
          <cell r="EY24">
            <v>75</v>
          </cell>
          <cell r="EZ24">
            <v>10</v>
          </cell>
          <cell r="FA24">
            <v>0.1624</v>
          </cell>
        </row>
        <row r="25">
          <cell r="A25" t="str">
            <v>盗窃</v>
          </cell>
          <cell r="B25" t="str">
            <v>全省</v>
          </cell>
        </row>
        <row r="25">
          <cell r="AM25">
            <v>3475</v>
          </cell>
          <cell r="AN25">
            <v>2322</v>
          </cell>
          <cell r="AO25">
            <v>0.4966</v>
          </cell>
          <cell r="AP25">
            <v>5098</v>
          </cell>
          <cell r="AQ25">
            <v>-0.3184</v>
          </cell>
          <cell r="AR25">
            <v>0.7647</v>
          </cell>
          <cell r="AS25">
            <v>0.2132</v>
          </cell>
          <cell r="AT25">
            <v>2813</v>
          </cell>
          <cell r="AU25">
            <v>2265</v>
          </cell>
          <cell r="AV25">
            <v>0.2419</v>
          </cell>
          <cell r="AW25">
            <v>4303</v>
          </cell>
          <cell r="AX25">
            <v>-0.3463</v>
          </cell>
          <cell r="AY25">
            <v>2206</v>
          </cell>
          <cell r="AZ25">
            <v>1395</v>
          </cell>
          <cell r="BA25">
            <v>0.5814</v>
          </cell>
          <cell r="BB25">
            <v>4371</v>
          </cell>
          <cell r="BC25">
            <v>-0.4953</v>
          </cell>
          <cell r="BD25">
            <v>0.7842</v>
          </cell>
          <cell r="BE25">
            <v>0.1683</v>
          </cell>
          <cell r="BF25">
            <v>1731</v>
          </cell>
          <cell r="BG25">
            <v>1945</v>
          </cell>
          <cell r="BH25">
            <v>-0.11</v>
          </cell>
          <cell r="BI25">
            <v>108</v>
          </cell>
          <cell r="BJ25">
            <v>15.0278</v>
          </cell>
          <cell r="BK25">
            <v>0.3809</v>
          </cell>
          <cell r="BL25">
            <v>1269</v>
          </cell>
          <cell r="BM25">
            <v>927</v>
          </cell>
          <cell r="BN25">
            <v>0.3689</v>
          </cell>
          <cell r="BO25">
            <v>727</v>
          </cell>
          <cell r="BP25">
            <v>0.7455</v>
          </cell>
          <cell r="BQ25">
            <v>1668</v>
          </cell>
          <cell r="BR25">
            <v>1118</v>
          </cell>
          <cell r="BS25">
            <v>0.4919</v>
          </cell>
          <cell r="BT25">
            <v>2681</v>
          </cell>
          <cell r="BU25">
            <v>-0.3778</v>
          </cell>
          <cell r="BV25">
            <v>0.3671</v>
          </cell>
          <cell r="BW25">
            <v>0.1015</v>
          </cell>
          <cell r="BX25">
            <v>0.593</v>
          </cell>
          <cell r="BY25">
            <v>0.0994</v>
          </cell>
          <cell r="BZ25">
            <v>20</v>
          </cell>
          <cell r="CA25">
            <v>31</v>
          </cell>
          <cell r="CB25">
            <v>-0.3548</v>
          </cell>
          <cell r="CC25">
            <v>172</v>
          </cell>
          <cell r="CD25">
            <v>-0.8837</v>
          </cell>
          <cell r="CE25" t="str">
            <v/>
          </cell>
          <cell r="CF25" t="str">
            <v/>
          </cell>
          <cell r="CG25">
            <v>4152</v>
          </cell>
          <cell r="CH25">
            <v>3165</v>
          </cell>
          <cell r="CI25">
            <v>0.3118</v>
          </cell>
          <cell r="CJ25">
            <v>4301</v>
          </cell>
          <cell r="CK25">
            <v>-0.0346</v>
          </cell>
          <cell r="CL25">
            <v>91</v>
          </cell>
          <cell r="CM25">
            <v>16</v>
          </cell>
          <cell r="CN25">
            <v>0.2154</v>
          </cell>
          <cell r="CO25">
            <v>3607</v>
          </cell>
          <cell r="CP25">
            <v>1922</v>
          </cell>
          <cell r="CQ25">
            <v>0.8767</v>
          </cell>
          <cell r="CR25">
            <v>3352</v>
          </cell>
          <cell r="CS25">
            <v>0.0761</v>
          </cell>
          <cell r="CT25">
            <v>0.8687</v>
          </cell>
          <cell r="CU25">
            <v>0.2615</v>
          </cell>
          <cell r="CV25">
            <v>79</v>
          </cell>
          <cell r="CW25">
            <v>34</v>
          </cell>
          <cell r="CX25">
            <v>0.7387</v>
          </cell>
          <cell r="CY25">
            <v>4132</v>
          </cell>
          <cell r="CZ25">
            <v>2452</v>
          </cell>
          <cell r="DA25">
            <v>0.6852</v>
          </cell>
          <cell r="DB25">
            <v>3850</v>
          </cell>
          <cell r="DC25">
            <v>0.0732</v>
          </cell>
          <cell r="DD25">
            <v>0.9952</v>
          </cell>
          <cell r="DE25">
            <v>0.2205</v>
          </cell>
          <cell r="DF25">
            <v>91</v>
          </cell>
          <cell r="DG25">
            <v>33</v>
          </cell>
          <cell r="DH25">
            <v>0.5613</v>
          </cell>
          <cell r="DI25">
            <v>3863</v>
          </cell>
          <cell r="DJ25">
            <v>2472</v>
          </cell>
          <cell r="DK25">
            <v>0.5627</v>
          </cell>
          <cell r="DL25">
            <v>3765</v>
          </cell>
          <cell r="DM25">
            <v>0.026</v>
          </cell>
          <cell r="DN25">
            <v>2171</v>
          </cell>
          <cell r="DO25">
            <v>1634</v>
          </cell>
          <cell r="DP25">
            <v>0.3286</v>
          </cell>
          <cell r="DQ25">
            <v>2098</v>
          </cell>
          <cell r="DR25">
            <v>0.0348</v>
          </cell>
          <cell r="DS25">
            <v>2179</v>
          </cell>
          <cell r="DT25">
            <v>1635</v>
          </cell>
          <cell r="DU25">
            <v>0.3327</v>
          </cell>
          <cell r="DV25">
            <v>2109</v>
          </cell>
          <cell r="DW25">
            <v>0.0332</v>
          </cell>
          <cell r="DX25">
            <v>2497</v>
          </cell>
          <cell r="DY25">
            <v>1953</v>
          </cell>
          <cell r="DZ25">
            <v>0.2785</v>
          </cell>
          <cell r="EA25">
            <v>2515</v>
          </cell>
          <cell r="EB25">
            <v>-0.0072</v>
          </cell>
          <cell r="EC25">
            <v>1219</v>
          </cell>
          <cell r="ED25">
            <v>1345</v>
          </cell>
          <cell r="EE25">
            <v>-0.0937</v>
          </cell>
          <cell r="EF25">
            <v>1613</v>
          </cell>
          <cell r="EG25">
            <v>-0.2443</v>
          </cell>
          <cell r="EH25">
            <v>0.338</v>
          </cell>
          <cell r="EI25">
            <v>-0.3618</v>
          </cell>
          <cell r="EJ25">
            <v>27</v>
          </cell>
          <cell r="EK25">
            <v>-5</v>
          </cell>
          <cell r="EL25">
            <v>-0.1603</v>
          </cell>
          <cell r="EM25">
            <v>1262</v>
          </cell>
          <cell r="EN25">
            <v>1362</v>
          </cell>
          <cell r="EO25">
            <v>-0.0734</v>
          </cell>
          <cell r="EP25">
            <v>1642</v>
          </cell>
          <cell r="EQ25">
            <v>-0.2314</v>
          </cell>
          <cell r="ER25">
            <v>2006</v>
          </cell>
          <cell r="ES25">
            <v>1338</v>
          </cell>
          <cell r="ET25">
            <v>0.4993</v>
          </cell>
          <cell r="EU25">
            <v>3170</v>
          </cell>
          <cell r="EV25">
            <v>-0.3672</v>
          </cell>
          <cell r="EW25">
            <v>0.5561</v>
          </cell>
          <cell r="EX25">
            <v>-0.14</v>
          </cell>
          <cell r="EY25">
            <v>44</v>
          </cell>
          <cell r="EZ25">
            <v>12</v>
          </cell>
          <cell r="FA25">
            <v>0.3891</v>
          </cell>
        </row>
        <row r="26">
          <cell r="A26" t="str">
            <v>盗窃</v>
          </cell>
          <cell r="B26" t="str">
            <v>云浮</v>
          </cell>
        </row>
        <row r="26">
          <cell r="AM26">
            <v>25</v>
          </cell>
          <cell r="AN26">
            <v>12</v>
          </cell>
          <cell r="AO26">
            <v>1.0833</v>
          </cell>
          <cell r="AP26">
            <v>20</v>
          </cell>
          <cell r="AQ26">
            <v>0.25</v>
          </cell>
          <cell r="AR26">
            <v>0.6579</v>
          </cell>
          <cell r="AS26">
            <v>0.0865</v>
          </cell>
          <cell r="AT26">
            <v>17</v>
          </cell>
          <cell r="AU26">
            <v>13</v>
          </cell>
          <cell r="AV26">
            <v>0.3077</v>
          </cell>
          <cell r="AW26">
            <v>19</v>
          </cell>
          <cell r="AX26">
            <v>-0.1053</v>
          </cell>
          <cell r="AY26">
            <v>13</v>
          </cell>
          <cell r="AZ26">
            <v>7</v>
          </cell>
          <cell r="BA26">
            <v>0.8571</v>
          </cell>
          <cell r="BB26">
            <v>20</v>
          </cell>
          <cell r="BC26">
            <v>-0.35</v>
          </cell>
          <cell r="BD26">
            <v>0.7647</v>
          </cell>
          <cell r="BE26">
            <v>0.2262</v>
          </cell>
          <cell r="BF26">
            <v>21</v>
          </cell>
          <cell r="BG26">
            <v>8</v>
          </cell>
          <cell r="BH26">
            <v>1.625</v>
          </cell>
          <cell r="BI26">
            <v>0</v>
          </cell>
          <cell r="BJ26" t="str">
            <v>多21起</v>
          </cell>
          <cell r="BK26">
            <v>0.5526</v>
          </cell>
          <cell r="BL26">
            <v>12</v>
          </cell>
          <cell r="BM26">
            <v>5</v>
          </cell>
          <cell r="BN26">
            <v>1.4</v>
          </cell>
          <cell r="BO26">
            <v>0</v>
          </cell>
          <cell r="BP26" t="str">
            <v>多12起</v>
          </cell>
          <cell r="BQ26">
            <v>4</v>
          </cell>
          <cell r="BR26">
            <v>12</v>
          </cell>
          <cell r="BS26">
            <v>-0.6667</v>
          </cell>
          <cell r="BT26">
            <v>27</v>
          </cell>
          <cell r="BU26">
            <v>-0.8519</v>
          </cell>
          <cell r="BV26">
            <v>0.1053</v>
          </cell>
          <cell r="BW26">
            <v>-0.4662</v>
          </cell>
          <cell r="BX26">
            <v>0.2353</v>
          </cell>
          <cell r="BY26">
            <v>-0.6878</v>
          </cell>
          <cell r="BZ26">
            <v>0</v>
          </cell>
          <cell r="CA26">
            <v>0</v>
          </cell>
          <cell r="CB26" t="str">
            <v>持平</v>
          </cell>
          <cell r="CC26">
            <v>0</v>
          </cell>
          <cell r="CD26" t="str">
            <v>持平</v>
          </cell>
          <cell r="CE26" t="str">
            <v/>
          </cell>
          <cell r="CF26" t="str">
            <v/>
          </cell>
          <cell r="CG26">
            <v>23</v>
          </cell>
          <cell r="CH26">
            <v>22</v>
          </cell>
          <cell r="CI26">
            <v>0.0455</v>
          </cell>
          <cell r="CJ26">
            <v>22</v>
          </cell>
          <cell r="CK26">
            <v>0.0455</v>
          </cell>
          <cell r="CL26">
            <v>61</v>
          </cell>
          <cell r="CM26">
            <v>-44</v>
          </cell>
          <cell r="CN26">
            <v>-0.4222</v>
          </cell>
          <cell r="CO26">
            <v>25</v>
          </cell>
          <cell r="CP26">
            <v>19</v>
          </cell>
          <cell r="CQ26">
            <v>0.3158</v>
          </cell>
          <cell r="CR26">
            <v>29</v>
          </cell>
          <cell r="CS26">
            <v>-0.1379</v>
          </cell>
          <cell r="CT26">
            <v>1.087</v>
          </cell>
          <cell r="CU26">
            <v>0.2233</v>
          </cell>
          <cell r="CV26">
            <v>66</v>
          </cell>
          <cell r="CW26">
            <v>-25</v>
          </cell>
          <cell r="CX26">
            <v>-0.2729</v>
          </cell>
          <cell r="CY26">
            <v>28</v>
          </cell>
          <cell r="CZ26">
            <v>20</v>
          </cell>
          <cell r="DA26">
            <v>0.4</v>
          </cell>
          <cell r="DB26">
            <v>30</v>
          </cell>
          <cell r="DC26">
            <v>-0.0667</v>
          </cell>
          <cell r="DD26">
            <v>1.2174</v>
          </cell>
          <cell r="DE26">
            <v>0.3083</v>
          </cell>
          <cell r="DF26">
            <v>74</v>
          </cell>
          <cell r="DG26">
            <v>-22</v>
          </cell>
          <cell r="DH26">
            <v>-0.2263</v>
          </cell>
          <cell r="DI26">
            <v>24</v>
          </cell>
          <cell r="DJ26">
            <v>22</v>
          </cell>
          <cell r="DK26">
            <v>0.0909</v>
          </cell>
          <cell r="DL26">
            <v>25</v>
          </cell>
          <cell r="DM26">
            <v>-0.04</v>
          </cell>
          <cell r="DN26">
            <v>13</v>
          </cell>
          <cell r="DO26">
            <v>4</v>
          </cell>
          <cell r="DP26">
            <v>2.25</v>
          </cell>
          <cell r="DQ26">
            <v>10</v>
          </cell>
          <cell r="DR26">
            <v>0.3</v>
          </cell>
          <cell r="DS26">
            <v>13</v>
          </cell>
          <cell r="DT26">
            <v>4</v>
          </cell>
          <cell r="DU26">
            <v>2.25</v>
          </cell>
          <cell r="DV26">
            <v>10</v>
          </cell>
          <cell r="DW26">
            <v>0.3</v>
          </cell>
          <cell r="DX26">
            <v>32</v>
          </cell>
          <cell r="DY26">
            <v>15</v>
          </cell>
          <cell r="DZ26">
            <v>1.1333</v>
          </cell>
          <cell r="EA26">
            <v>13</v>
          </cell>
          <cell r="EB26">
            <v>1.4615</v>
          </cell>
          <cell r="EC26">
            <v>17</v>
          </cell>
          <cell r="ED26">
            <v>14</v>
          </cell>
          <cell r="EE26">
            <v>0.2143</v>
          </cell>
          <cell r="EF26">
            <v>12</v>
          </cell>
          <cell r="EG26">
            <v>0.4167</v>
          </cell>
          <cell r="EH26">
            <v>0.68</v>
          </cell>
          <cell r="EI26">
            <v>-0.0568</v>
          </cell>
          <cell r="EJ26">
            <v>45</v>
          </cell>
          <cell r="EK26">
            <v>-22</v>
          </cell>
          <cell r="EL26">
            <v>-0.3289</v>
          </cell>
          <cell r="EM26">
            <v>17</v>
          </cell>
          <cell r="EN26">
            <v>14</v>
          </cell>
          <cell r="EO26">
            <v>0.2143</v>
          </cell>
          <cell r="EP26">
            <v>12</v>
          </cell>
          <cell r="EQ26">
            <v>0.4167</v>
          </cell>
          <cell r="ER26">
            <v>15</v>
          </cell>
          <cell r="ES26">
            <v>15</v>
          </cell>
          <cell r="ET26">
            <v>0</v>
          </cell>
          <cell r="EU26">
            <v>32</v>
          </cell>
          <cell r="EV26">
            <v>-0.5313</v>
          </cell>
          <cell r="EW26">
            <v>0.6</v>
          </cell>
          <cell r="EX26">
            <v>-0.1895</v>
          </cell>
          <cell r="EY26">
            <v>39</v>
          </cell>
          <cell r="EZ26">
            <v>-32</v>
          </cell>
          <cell r="FA26">
            <v>-0.4474</v>
          </cell>
        </row>
        <row r="27">
          <cell r="A27" t="str">
            <v>盗窃</v>
          </cell>
          <cell r="B27" t="str">
            <v>云城区</v>
          </cell>
        </row>
        <row r="27">
          <cell r="AM27">
            <v>3</v>
          </cell>
          <cell r="AN27">
            <v>1</v>
          </cell>
          <cell r="AO27">
            <v>2</v>
          </cell>
          <cell r="AP27">
            <v>1</v>
          </cell>
          <cell r="AQ27">
            <v>2</v>
          </cell>
          <cell r="AR27">
            <v>0.6</v>
          </cell>
          <cell r="AS27">
            <v>0.1</v>
          </cell>
          <cell r="AT27">
            <v>1</v>
          </cell>
          <cell r="AU27">
            <v>2</v>
          </cell>
          <cell r="AV27">
            <v>-0.5</v>
          </cell>
          <cell r="AW27">
            <v>2</v>
          </cell>
          <cell r="AX27">
            <v>-0.5</v>
          </cell>
          <cell r="AY27">
            <v>1</v>
          </cell>
          <cell r="AZ27">
            <v>1</v>
          </cell>
          <cell r="BA27">
            <v>0</v>
          </cell>
          <cell r="BB27">
            <v>1</v>
          </cell>
          <cell r="BC27">
            <v>0</v>
          </cell>
          <cell r="BD27">
            <v>1</v>
          </cell>
          <cell r="BE27">
            <v>0.5</v>
          </cell>
          <cell r="BF27">
            <v>4</v>
          </cell>
          <cell r="BG27">
            <v>0</v>
          </cell>
          <cell r="BH27" t="str">
            <v>多4起</v>
          </cell>
          <cell r="BI27">
            <v>0</v>
          </cell>
          <cell r="BJ27" t="str">
            <v>多4起</v>
          </cell>
          <cell r="BK27">
            <v>0.8</v>
          </cell>
          <cell r="BL27">
            <v>2</v>
          </cell>
          <cell r="BM27">
            <v>0</v>
          </cell>
          <cell r="BN27" t="str">
            <v>多2起</v>
          </cell>
          <cell r="BO27">
            <v>0</v>
          </cell>
          <cell r="BP27" t="str">
            <v>多2起</v>
          </cell>
          <cell r="BQ27">
            <v>0</v>
          </cell>
          <cell r="BR27">
            <v>2</v>
          </cell>
          <cell r="BS27" t="str">
            <v>少2起</v>
          </cell>
          <cell r="BT27">
            <v>11</v>
          </cell>
          <cell r="BU27" t="str">
            <v>少11起</v>
          </cell>
          <cell r="BV27">
            <v>0</v>
          </cell>
          <cell r="BW27">
            <v>-1</v>
          </cell>
          <cell r="BX27">
            <v>0</v>
          </cell>
          <cell r="BY27">
            <v>-1</v>
          </cell>
          <cell r="BZ27">
            <v>0</v>
          </cell>
          <cell r="CA27">
            <v>0</v>
          </cell>
          <cell r="CB27" t="str">
            <v>持平</v>
          </cell>
          <cell r="CC27">
            <v>0</v>
          </cell>
          <cell r="CD27" t="str">
            <v>持平</v>
          </cell>
          <cell r="CE27" t="str">
            <v/>
          </cell>
          <cell r="CF27" t="str">
            <v/>
          </cell>
          <cell r="CG27">
            <v>3</v>
          </cell>
          <cell r="CH27">
            <v>3</v>
          </cell>
          <cell r="CI27">
            <v>0</v>
          </cell>
          <cell r="CJ27">
            <v>0</v>
          </cell>
          <cell r="CK27" t="str">
            <v>多3人</v>
          </cell>
          <cell r="CL27">
            <v>60</v>
          </cell>
          <cell r="CM27">
            <v>-90</v>
          </cell>
          <cell r="CN27">
            <v>-0.6</v>
          </cell>
          <cell r="CO27">
            <v>1</v>
          </cell>
          <cell r="CP27">
            <v>3</v>
          </cell>
          <cell r="CQ27">
            <v>-0.6667</v>
          </cell>
          <cell r="CR27">
            <v>1</v>
          </cell>
          <cell r="CS27">
            <v>0</v>
          </cell>
          <cell r="CT27">
            <v>0.3333</v>
          </cell>
          <cell r="CU27">
            <v>-0.6667</v>
          </cell>
          <cell r="CV27">
            <v>20</v>
          </cell>
          <cell r="CW27">
            <v>-130</v>
          </cell>
          <cell r="CX27">
            <v>-0.8667</v>
          </cell>
          <cell r="CY27">
            <v>1</v>
          </cell>
          <cell r="CZ27">
            <v>3</v>
          </cell>
          <cell r="DA27">
            <v>-0.6667</v>
          </cell>
          <cell r="DB27">
            <v>1</v>
          </cell>
          <cell r="DC27">
            <v>0</v>
          </cell>
          <cell r="DD27">
            <v>0.3333</v>
          </cell>
          <cell r="DE27">
            <v>-0.6667</v>
          </cell>
          <cell r="DF27">
            <v>20</v>
          </cell>
          <cell r="DG27">
            <v>-130</v>
          </cell>
          <cell r="DH27">
            <v>-0.8667</v>
          </cell>
          <cell r="DI27">
            <v>0</v>
          </cell>
          <cell r="DJ27">
            <v>0</v>
          </cell>
          <cell r="DK27" t="str">
            <v>持平</v>
          </cell>
          <cell r="DL27">
            <v>0</v>
          </cell>
          <cell r="DM27" t="str">
            <v>持平</v>
          </cell>
          <cell r="DN27">
            <v>1</v>
          </cell>
          <cell r="DO27">
            <v>0</v>
          </cell>
          <cell r="DP27" t="str">
            <v>多1人</v>
          </cell>
          <cell r="DQ27">
            <v>1</v>
          </cell>
          <cell r="DR27">
            <v>0</v>
          </cell>
          <cell r="DS27">
            <v>1</v>
          </cell>
          <cell r="DT27">
            <v>0</v>
          </cell>
          <cell r="DU27" t="str">
            <v>多1人</v>
          </cell>
          <cell r="DV27">
            <v>1</v>
          </cell>
          <cell r="DW27">
            <v>0</v>
          </cell>
          <cell r="DX27">
            <v>2</v>
          </cell>
          <cell r="DY27">
            <v>1</v>
          </cell>
          <cell r="DZ27">
            <v>1</v>
          </cell>
          <cell r="EA27">
            <v>1</v>
          </cell>
          <cell r="EB27">
            <v>1</v>
          </cell>
          <cell r="EC27">
            <v>1</v>
          </cell>
          <cell r="ED27">
            <v>1</v>
          </cell>
          <cell r="EE27">
            <v>0</v>
          </cell>
          <cell r="EF27">
            <v>2</v>
          </cell>
          <cell r="EG27">
            <v>-0.5</v>
          </cell>
          <cell r="EH27">
            <v>1</v>
          </cell>
          <cell r="EI27">
            <v>0.6667</v>
          </cell>
          <cell r="EJ27">
            <v>20</v>
          </cell>
          <cell r="EK27">
            <v>-30</v>
          </cell>
          <cell r="EL27">
            <v>-0.6</v>
          </cell>
          <cell r="EM27">
            <v>1</v>
          </cell>
          <cell r="EN27">
            <v>1</v>
          </cell>
          <cell r="EO27">
            <v>0</v>
          </cell>
          <cell r="EP27">
            <v>2</v>
          </cell>
          <cell r="EQ27">
            <v>-0.5</v>
          </cell>
          <cell r="ER27">
            <v>0</v>
          </cell>
          <cell r="ES27">
            <v>3</v>
          </cell>
          <cell r="ET27" t="str">
            <v>少3人</v>
          </cell>
          <cell r="EU27">
            <v>14</v>
          </cell>
          <cell r="EV27" t="str">
            <v>少14人</v>
          </cell>
          <cell r="EW27">
            <v>0</v>
          </cell>
          <cell r="EX27">
            <v>-1</v>
          </cell>
          <cell r="EY27">
            <v>0</v>
          </cell>
          <cell r="EZ27">
            <v>-150</v>
          </cell>
          <cell r="FA27">
            <v>-1</v>
          </cell>
        </row>
        <row r="28">
          <cell r="A28" t="str">
            <v>盗窃</v>
          </cell>
          <cell r="B28" t="str">
            <v>云安区</v>
          </cell>
        </row>
        <row r="28">
          <cell r="AM28">
            <v>2</v>
          </cell>
          <cell r="AN28">
            <v>2</v>
          </cell>
          <cell r="AO28">
            <v>0</v>
          </cell>
          <cell r="AP28">
            <v>1</v>
          </cell>
          <cell r="AQ28">
            <v>1</v>
          </cell>
          <cell r="AR28">
            <v>1</v>
          </cell>
          <cell r="AS28" t="str">
            <v/>
          </cell>
          <cell r="AT28">
            <v>2</v>
          </cell>
          <cell r="AU28">
            <v>0</v>
          </cell>
          <cell r="AV28" t="str">
            <v>多2起</v>
          </cell>
          <cell r="AW28">
            <v>1</v>
          </cell>
          <cell r="AX28">
            <v>1</v>
          </cell>
          <cell r="AY28">
            <v>2</v>
          </cell>
          <cell r="AZ28">
            <v>0</v>
          </cell>
          <cell r="BA28" t="str">
            <v>多2起</v>
          </cell>
          <cell r="BB28">
            <v>1</v>
          </cell>
          <cell r="BC28">
            <v>1</v>
          </cell>
          <cell r="BD28">
            <v>1</v>
          </cell>
          <cell r="BE28" t="str">
            <v/>
          </cell>
          <cell r="BF28">
            <v>0</v>
          </cell>
          <cell r="BG28">
            <v>0</v>
          </cell>
          <cell r="BH28" t="str">
            <v>持平</v>
          </cell>
          <cell r="BI28">
            <v>0</v>
          </cell>
          <cell r="BJ28" t="str">
            <v>持平</v>
          </cell>
          <cell r="BK28">
            <v>0</v>
          </cell>
          <cell r="BL28">
            <v>0</v>
          </cell>
          <cell r="BM28">
            <v>2</v>
          </cell>
          <cell r="BN28" t="str">
            <v>少2起</v>
          </cell>
          <cell r="BO28">
            <v>0</v>
          </cell>
          <cell r="BP28" t="str">
            <v>持平</v>
          </cell>
          <cell r="BQ28">
            <v>0</v>
          </cell>
          <cell r="BR28">
            <v>3</v>
          </cell>
          <cell r="BS28" t="str">
            <v>少3起</v>
          </cell>
          <cell r="BT28">
            <v>0</v>
          </cell>
          <cell r="BU28" t="str">
            <v>持平</v>
          </cell>
          <cell r="BV28">
            <v>0</v>
          </cell>
          <cell r="BW28" t="str">
            <v/>
          </cell>
          <cell r="BX28">
            <v>0</v>
          </cell>
          <cell r="BY28" t="str">
            <v/>
          </cell>
          <cell r="BZ28">
            <v>0</v>
          </cell>
          <cell r="CA28">
            <v>0</v>
          </cell>
          <cell r="CB28" t="str">
            <v>持平</v>
          </cell>
          <cell r="CC28">
            <v>0</v>
          </cell>
          <cell r="CD28" t="str">
            <v>持平</v>
          </cell>
          <cell r="CE28" t="str">
            <v/>
          </cell>
          <cell r="CF28" t="str">
            <v/>
          </cell>
          <cell r="CG28">
            <v>4</v>
          </cell>
          <cell r="CH28">
            <v>1</v>
          </cell>
          <cell r="CI28">
            <v>3</v>
          </cell>
          <cell r="CJ28">
            <v>1</v>
          </cell>
          <cell r="CK28">
            <v>3</v>
          </cell>
          <cell r="CL28">
            <v>200</v>
          </cell>
          <cell r="CM28" t="str">
            <v/>
          </cell>
          <cell r="CN28" t="str">
            <v/>
          </cell>
          <cell r="CO28">
            <v>4</v>
          </cell>
          <cell r="CP28">
            <v>2</v>
          </cell>
          <cell r="CQ28">
            <v>1</v>
          </cell>
          <cell r="CR28">
            <v>3</v>
          </cell>
          <cell r="CS28">
            <v>0.3333</v>
          </cell>
          <cell r="CT28">
            <v>1</v>
          </cell>
          <cell r="CU28">
            <v>-1</v>
          </cell>
          <cell r="CV28">
            <v>200</v>
          </cell>
          <cell r="CW28" t="str">
            <v/>
          </cell>
          <cell r="CX28" t="str">
            <v/>
          </cell>
          <cell r="CY28">
            <v>4</v>
          </cell>
          <cell r="CZ28">
            <v>2</v>
          </cell>
          <cell r="DA28">
            <v>1</v>
          </cell>
          <cell r="DB28">
            <v>3</v>
          </cell>
          <cell r="DC28">
            <v>0.3333</v>
          </cell>
          <cell r="DD28">
            <v>1</v>
          </cell>
          <cell r="DE28">
            <v>-1</v>
          </cell>
          <cell r="DF28">
            <v>200</v>
          </cell>
          <cell r="DG28" t="str">
            <v/>
          </cell>
          <cell r="DH28" t="str">
            <v/>
          </cell>
          <cell r="DI28">
            <v>0</v>
          </cell>
          <cell r="DJ28">
            <v>0</v>
          </cell>
          <cell r="DK28" t="str">
            <v>持平</v>
          </cell>
          <cell r="DL28">
            <v>0</v>
          </cell>
          <cell r="DM28" t="str">
            <v>持平</v>
          </cell>
          <cell r="DN28">
            <v>2</v>
          </cell>
          <cell r="DO28">
            <v>2</v>
          </cell>
          <cell r="DP28">
            <v>0</v>
          </cell>
          <cell r="DQ28">
            <v>0</v>
          </cell>
          <cell r="DR28" t="str">
            <v>多2人</v>
          </cell>
          <cell r="DS28">
            <v>2</v>
          </cell>
          <cell r="DT28">
            <v>2</v>
          </cell>
          <cell r="DU28">
            <v>0</v>
          </cell>
          <cell r="DV28">
            <v>0</v>
          </cell>
          <cell r="DW28" t="str">
            <v>多2人</v>
          </cell>
          <cell r="DX28">
            <v>6</v>
          </cell>
          <cell r="DY28">
            <v>5</v>
          </cell>
          <cell r="DZ28">
            <v>0.2</v>
          </cell>
          <cell r="EA28">
            <v>1</v>
          </cell>
          <cell r="EB28">
            <v>5</v>
          </cell>
          <cell r="EC28">
            <v>1</v>
          </cell>
          <cell r="ED28">
            <v>4</v>
          </cell>
          <cell r="EE28">
            <v>-0.75</v>
          </cell>
          <cell r="EF28">
            <v>1</v>
          </cell>
          <cell r="EG28">
            <v>0</v>
          </cell>
          <cell r="EH28">
            <v>0.25</v>
          </cell>
          <cell r="EI28">
            <v>-1.75</v>
          </cell>
          <cell r="EJ28">
            <v>50</v>
          </cell>
          <cell r="EK28" t="str">
            <v/>
          </cell>
          <cell r="EL28" t="str">
            <v/>
          </cell>
          <cell r="EM28">
            <v>1</v>
          </cell>
          <cell r="EN28">
            <v>4</v>
          </cell>
          <cell r="EO28">
            <v>-0.75</v>
          </cell>
          <cell r="EP28">
            <v>1</v>
          </cell>
          <cell r="EQ28">
            <v>0</v>
          </cell>
          <cell r="ER28">
            <v>0</v>
          </cell>
          <cell r="ES28">
            <v>4</v>
          </cell>
          <cell r="ET28" t="str">
            <v>少4人</v>
          </cell>
          <cell r="EU28">
            <v>0</v>
          </cell>
          <cell r="EV28" t="str">
            <v>持平</v>
          </cell>
          <cell r="EW28">
            <v>0</v>
          </cell>
          <cell r="EX28">
            <v>-2</v>
          </cell>
          <cell r="EY28">
            <v>0</v>
          </cell>
          <cell r="EZ28" t="str">
            <v/>
          </cell>
          <cell r="FA28" t="str">
            <v/>
          </cell>
        </row>
        <row r="29">
          <cell r="A29" t="str">
            <v>盗窃</v>
          </cell>
          <cell r="B29" t="str">
            <v>新兴县</v>
          </cell>
        </row>
        <row r="29">
          <cell r="AM29">
            <v>6</v>
          </cell>
          <cell r="AN29">
            <v>1</v>
          </cell>
          <cell r="AO29">
            <v>5</v>
          </cell>
          <cell r="AP29">
            <v>4</v>
          </cell>
          <cell r="AQ29">
            <v>0.5</v>
          </cell>
          <cell r="AR29">
            <v>0.6</v>
          </cell>
          <cell r="AS29">
            <v>0.2667</v>
          </cell>
          <cell r="AT29">
            <v>3</v>
          </cell>
          <cell r="AU29">
            <v>0</v>
          </cell>
          <cell r="AV29" t="str">
            <v>多3起</v>
          </cell>
          <cell r="AW29">
            <v>8</v>
          </cell>
          <cell r="AX29">
            <v>-0.625</v>
          </cell>
          <cell r="AY29">
            <v>1</v>
          </cell>
          <cell r="AZ29">
            <v>0</v>
          </cell>
          <cell r="BA29" t="str">
            <v>多1起</v>
          </cell>
          <cell r="BB29">
            <v>4</v>
          </cell>
          <cell r="BC29">
            <v>-0.75</v>
          </cell>
          <cell r="BD29">
            <v>0.3333</v>
          </cell>
          <cell r="BE29" t="str">
            <v/>
          </cell>
          <cell r="BF29">
            <v>7</v>
          </cell>
          <cell r="BG29">
            <v>3</v>
          </cell>
          <cell r="BH29">
            <v>1.3333</v>
          </cell>
          <cell r="BI29">
            <v>0</v>
          </cell>
          <cell r="BJ29" t="str">
            <v>多7起</v>
          </cell>
          <cell r="BK29">
            <v>0.7</v>
          </cell>
          <cell r="BL29">
            <v>5</v>
          </cell>
          <cell r="BM29">
            <v>1</v>
          </cell>
          <cell r="BN29">
            <v>4</v>
          </cell>
          <cell r="BO29">
            <v>0</v>
          </cell>
          <cell r="BP29" t="str">
            <v>多5起</v>
          </cell>
          <cell r="BQ29">
            <v>1</v>
          </cell>
          <cell r="BR29">
            <v>3</v>
          </cell>
          <cell r="BS29">
            <v>-0.6667</v>
          </cell>
          <cell r="BT29">
            <v>6</v>
          </cell>
          <cell r="BU29">
            <v>-0.8333</v>
          </cell>
          <cell r="BV29">
            <v>0.1</v>
          </cell>
          <cell r="BW29">
            <v>-0.9</v>
          </cell>
          <cell r="BX29">
            <v>0.3333</v>
          </cell>
          <cell r="BY29" t="str">
            <v/>
          </cell>
          <cell r="BZ29">
            <v>0</v>
          </cell>
          <cell r="CA29">
            <v>0</v>
          </cell>
          <cell r="CB29" t="str">
            <v>持平</v>
          </cell>
          <cell r="CC29">
            <v>0</v>
          </cell>
          <cell r="CD29" t="str">
            <v>持平</v>
          </cell>
          <cell r="CE29" t="str">
            <v/>
          </cell>
          <cell r="CF29" t="str">
            <v/>
          </cell>
          <cell r="CG29">
            <v>4</v>
          </cell>
          <cell r="CH29">
            <v>1</v>
          </cell>
          <cell r="CI29">
            <v>3</v>
          </cell>
          <cell r="CJ29">
            <v>5</v>
          </cell>
          <cell r="CK29">
            <v>-0.2</v>
          </cell>
          <cell r="CL29">
            <v>40</v>
          </cell>
          <cell r="CM29">
            <v>7</v>
          </cell>
          <cell r="CN29">
            <v>0.2</v>
          </cell>
          <cell r="CO29">
            <v>6</v>
          </cell>
          <cell r="CP29">
            <v>2</v>
          </cell>
          <cell r="CQ29">
            <v>2</v>
          </cell>
          <cell r="CR29">
            <v>13</v>
          </cell>
          <cell r="CS29">
            <v>-0.5385</v>
          </cell>
          <cell r="CT29">
            <v>1.5</v>
          </cell>
          <cell r="CU29">
            <v>-0.5</v>
          </cell>
          <cell r="CV29">
            <v>60</v>
          </cell>
          <cell r="CW29">
            <v>-7</v>
          </cell>
          <cell r="CX29">
            <v>-0.1</v>
          </cell>
          <cell r="CY29">
            <v>6</v>
          </cell>
          <cell r="CZ29">
            <v>2</v>
          </cell>
          <cell r="DA29">
            <v>2</v>
          </cell>
          <cell r="DB29">
            <v>13</v>
          </cell>
          <cell r="DC29">
            <v>-0.5385</v>
          </cell>
          <cell r="DD29">
            <v>1.5</v>
          </cell>
          <cell r="DE29">
            <v>-0.5</v>
          </cell>
          <cell r="DF29">
            <v>60</v>
          </cell>
          <cell r="DG29">
            <v>-7</v>
          </cell>
          <cell r="DH29">
            <v>-0.1</v>
          </cell>
          <cell r="DI29">
            <v>3</v>
          </cell>
          <cell r="DJ29">
            <v>5</v>
          </cell>
          <cell r="DK29">
            <v>-0.4</v>
          </cell>
          <cell r="DL29">
            <v>8</v>
          </cell>
          <cell r="DM29">
            <v>-0.625</v>
          </cell>
          <cell r="DN29">
            <v>3</v>
          </cell>
          <cell r="DO29">
            <v>1</v>
          </cell>
          <cell r="DP29">
            <v>2</v>
          </cell>
          <cell r="DQ29">
            <v>2</v>
          </cell>
          <cell r="DR29">
            <v>0.5</v>
          </cell>
          <cell r="DS29">
            <v>3</v>
          </cell>
          <cell r="DT29">
            <v>1</v>
          </cell>
          <cell r="DU29">
            <v>2</v>
          </cell>
          <cell r="DV29">
            <v>2</v>
          </cell>
          <cell r="DW29">
            <v>0.5</v>
          </cell>
          <cell r="DX29">
            <v>9</v>
          </cell>
          <cell r="DY29">
            <v>4</v>
          </cell>
          <cell r="DZ29">
            <v>1.25</v>
          </cell>
          <cell r="EA29">
            <v>3</v>
          </cell>
          <cell r="EB29">
            <v>2</v>
          </cell>
          <cell r="EC29">
            <v>6</v>
          </cell>
          <cell r="ED29">
            <v>3</v>
          </cell>
          <cell r="EE29">
            <v>1</v>
          </cell>
          <cell r="EF29">
            <v>3</v>
          </cell>
          <cell r="EG29">
            <v>1</v>
          </cell>
          <cell r="EH29">
            <v>1</v>
          </cell>
          <cell r="EI29">
            <v>-0.5</v>
          </cell>
          <cell r="EJ29">
            <v>60</v>
          </cell>
          <cell r="EK29">
            <v>-40</v>
          </cell>
          <cell r="EL29">
            <v>-0.4</v>
          </cell>
          <cell r="EM29">
            <v>6</v>
          </cell>
          <cell r="EN29">
            <v>3</v>
          </cell>
          <cell r="EO29">
            <v>1</v>
          </cell>
          <cell r="EP29">
            <v>3</v>
          </cell>
          <cell r="EQ29">
            <v>1</v>
          </cell>
          <cell r="ER29">
            <v>3</v>
          </cell>
          <cell r="ES29">
            <v>3</v>
          </cell>
          <cell r="ET29">
            <v>0</v>
          </cell>
          <cell r="EU29">
            <v>6</v>
          </cell>
          <cell r="EV29">
            <v>-0.5</v>
          </cell>
          <cell r="EW29">
            <v>0.5</v>
          </cell>
          <cell r="EX29">
            <v>-1</v>
          </cell>
          <cell r="EY29">
            <v>30</v>
          </cell>
          <cell r="EZ29">
            <v>-70</v>
          </cell>
          <cell r="FA29">
            <v>-0.7</v>
          </cell>
        </row>
        <row r="30">
          <cell r="A30" t="str">
            <v>盗窃</v>
          </cell>
          <cell r="B30" t="str">
            <v>郁南县</v>
          </cell>
        </row>
        <row r="30">
          <cell r="AM30">
            <v>9</v>
          </cell>
          <cell r="AN30">
            <v>2</v>
          </cell>
          <cell r="AO30">
            <v>3.5</v>
          </cell>
          <cell r="AP30">
            <v>1</v>
          </cell>
          <cell r="AQ30">
            <v>8</v>
          </cell>
          <cell r="AR30">
            <v>0.75</v>
          </cell>
          <cell r="AS30">
            <v>0.4167</v>
          </cell>
          <cell r="AT30">
            <v>7</v>
          </cell>
          <cell r="AU30">
            <v>4</v>
          </cell>
          <cell r="AV30">
            <v>0.75</v>
          </cell>
          <cell r="AW30">
            <v>2</v>
          </cell>
          <cell r="AX30">
            <v>2.5</v>
          </cell>
          <cell r="AY30">
            <v>6</v>
          </cell>
          <cell r="AZ30">
            <v>2</v>
          </cell>
          <cell r="BA30">
            <v>2</v>
          </cell>
          <cell r="BB30">
            <v>1</v>
          </cell>
          <cell r="BC30">
            <v>5</v>
          </cell>
          <cell r="BD30">
            <v>0.8571</v>
          </cell>
          <cell r="BE30">
            <v>0.3571</v>
          </cell>
          <cell r="BF30">
            <v>5</v>
          </cell>
          <cell r="BG30">
            <v>2</v>
          </cell>
          <cell r="BH30">
            <v>1.5</v>
          </cell>
          <cell r="BI30">
            <v>0</v>
          </cell>
          <cell r="BJ30" t="str">
            <v>多5起</v>
          </cell>
          <cell r="BK30">
            <v>0.4167</v>
          </cell>
          <cell r="BL30">
            <v>3</v>
          </cell>
          <cell r="BM30">
            <v>0</v>
          </cell>
          <cell r="BN30" t="str">
            <v>多3起</v>
          </cell>
          <cell r="BO30">
            <v>0</v>
          </cell>
          <cell r="BP30" t="str">
            <v>多3起</v>
          </cell>
          <cell r="BQ30">
            <v>0</v>
          </cell>
          <cell r="BR30">
            <v>0</v>
          </cell>
          <cell r="BS30" t="str">
            <v>持平</v>
          </cell>
          <cell r="BT30">
            <v>3</v>
          </cell>
          <cell r="BU30" t="str">
            <v>少3起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 t="str">
            <v>持平</v>
          </cell>
          <cell r="CC30">
            <v>0</v>
          </cell>
          <cell r="CD30" t="str">
            <v>持平</v>
          </cell>
          <cell r="CE30" t="str">
            <v/>
          </cell>
          <cell r="CF30" t="str">
            <v/>
          </cell>
          <cell r="CG30">
            <v>7</v>
          </cell>
          <cell r="CH30">
            <v>3</v>
          </cell>
          <cell r="CI30">
            <v>1.3333</v>
          </cell>
          <cell r="CJ30">
            <v>3</v>
          </cell>
          <cell r="CK30">
            <v>1.3333</v>
          </cell>
          <cell r="CL30">
            <v>58</v>
          </cell>
          <cell r="CM30">
            <v>8</v>
          </cell>
          <cell r="CN30">
            <v>0.1667</v>
          </cell>
          <cell r="CO30">
            <v>8</v>
          </cell>
          <cell r="CP30">
            <v>3</v>
          </cell>
          <cell r="CQ30">
            <v>1.6667</v>
          </cell>
          <cell r="CR30">
            <v>2</v>
          </cell>
          <cell r="CS30">
            <v>3</v>
          </cell>
          <cell r="CT30">
            <v>1.1429</v>
          </cell>
          <cell r="CU30">
            <v>0.1429</v>
          </cell>
          <cell r="CV30">
            <v>67</v>
          </cell>
          <cell r="CW30">
            <v>17</v>
          </cell>
          <cell r="CX30">
            <v>0.3333</v>
          </cell>
          <cell r="CY30">
            <v>9</v>
          </cell>
          <cell r="CZ30">
            <v>3</v>
          </cell>
          <cell r="DA30">
            <v>2</v>
          </cell>
          <cell r="DB30">
            <v>2</v>
          </cell>
          <cell r="DC30">
            <v>3.5</v>
          </cell>
          <cell r="DD30">
            <v>1.2857</v>
          </cell>
          <cell r="DE30">
            <v>0.2857</v>
          </cell>
          <cell r="DF30">
            <v>75</v>
          </cell>
          <cell r="DG30">
            <v>25</v>
          </cell>
          <cell r="DH30">
            <v>0.5</v>
          </cell>
          <cell r="DI30">
            <v>8</v>
          </cell>
          <cell r="DJ30">
            <v>3</v>
          </cell>
          <cell r="DK30">
            <v>1.6667</v>
          </cell>
          <cell r="DL30">
            <v>1</v>
          </cell>
          <cell r="DM30">
            <v>7</v>
          </cell>
          <cell r="DN30">
            <v>1</v>
          </cell>
          <cell r="DO30">
            <v>0</v>
          </cell>
          <cell r="DP30" t="str">
            <v>多1人</v>
          </cell>
          <cell r="DQ30">
            <v>0</v>
          </cell>
          <cell r="DR30" t="str">
            <v>多1人</v>
          </cell>
          <cell r="DS30">
            <v>1</v>
          </cell>
          <cell r="DT30">
            <v>0</v>
          </cell>
          <cell r="DU30" t="str">
            <v>多1人</v>
          </cell>
          <cell r="DV30">
            <v>0</v>
          </cell>
          <cell r="DW30" t="str">
            <v>多1人</v>
          </cell>
          <cell r="DX30">
            <v>7</v>
          </cell>
          <cell r="DY30">
            <v>3</v>
          </cell>
          <cell r="DZ30">
            <v>1.3333</v>
          </cell>
          <cell r="EA30">
            <v>1</v>
          </cell>
          <cell r="EB30">
            <v>6</v>
          </cell>
          <cell r="EC30">
            <v>5</v>
          </cell>
          <cell r="ED30">
            <v>3</v>
          </cell>
          <cell r="EE30">
            <v>0.6667</v>
          </cell>
          <cell r="EF30">
            <v>0</v>
          </cell>
          <cell r="EG30" t="str">
            <v>多5人</v>
          </cell>
          <cell r="EH30">
            <v>0.625</v>
          </cell>
          <cell r="EI30">
            <v>-0.375</v>
          </cell>
          <cell r="EJ30">
            <v>42</v>
          </cell>
          <cell r="EK30">
            <v>-8</v>
          </cell>
          <cell r="EL30">
            <v>-0.1667</v>
          </cell>
          <cell r="EM30">
            <v>5</v>
          </cell>
          <cell r="EN30">
            <v>3</v>
          </cell>
          <cell r="EO30">
            <v>0.6667</v>
          </cell>
          <cell r="EP30">
            <v>0</v>
          </cell>
          <cell r="EQ30" t="str">
            <v>多5人</v>
          </cell>
          <cell r="ER30">
            <v>2</v>
          </cell>
          <cell r="ES30">
            <v>1</v>
          </cell>
          <cell r="ET30">
            <v>1</v>
          </cell>
          <cell r="EU30">
            <v>3</v>
          </cell>
          <cell r="EV30">
            <v>-0.3333</v>
          </cell>
          <cell r="EW30">
            <v>0.25</v>
          </cell>
          <cell r="EX30">
            <v>-0.0833</v>
          </cell>
          <cell r="EY30">
            <v>17</v>
          </cell>
          <cell r="EZ30">
            <v>0</v>
          </cell>
          <cell r="FA30">
            <v>0</v>
          </cell>
        </row>
        <row r="31">
          <cell r="A31" t="str">
            <v>盗窃</v>
          </cell>
          <cell r="B31" t="str">
            <v>罗定市</v>
          </cell>
        </row>
        <row r="31">
          <cell r="AM31">
            <v>5</v>
          </cell>
          <cell r="AN31">
            <v>6</v>
          </cell>
          <cell r="AO31">
            <v>-0.1667</v>
          </cell>
          <cell r="AP31">
            <v>13</v>
          </cell>
          <cell r="AQ31">
            <v>-0.6154</v>
          </cell>
          <cell r="AR31">
            <v>0.5556</v>
          </cell>
          <cell r="AS31">
            <v>-0.0444</v>
          </cell>
          <cell r="AT31">
            <v>4</v>
          </cell>
          <cell r="AU31">
            <v>7</v>
          </cell>
          <cell r="AV31">
            <v>-0.4286</v>
          </cell>
          <cell r="AW31">
            <v>6</v>
          </cell>
          <cell r="AX31">
            <v>-0.3333</v>
          </cell>
          <cell r="AY31">
            <v>3</v>
          </cell>
          <cell r="AZ31">
            <v>4</v>
          </cell>
          <cell r="BA31">
            <v>-0.25</v>
          </cell>
          <cell r="BB31">
            <v>13</v>
          </cell>
          <cell r="BC31">
            <v>-0.7692</v>
          </cell>
          <cell r="BD31">
            <v>0.75</v>
          </cell>
          <cell r="BE31">
            <v>0.1786</v>
          </cell>
          <cell r="BF31">
            <v>5</v>
          </cell>
          <cell r="BG31">
            <v>3</v>
          </cell>
          <cell r="BH31">
            <v>0.6667</v>
          </cell>
          <cell r="BI31">
            <v>0</v>
          </cell>
          <cell r="BJ31" t="str">
            <v>多5起</v>
          </cell>
          <cell r="BK31">
            <v>0.5556</v>
          </cell>
          <cell r="BL31">
            <v>2</v>
          </cell>
          <cell r="BM31">
            <v>2</v>
          </cell>
          <cell r="BN31">
            <v>0</v>
          </cell>
          <cell r="BO31">
            <v>0</v>
          </cell>
          <cell r="BP31" t="str">
            <v>多2起</v>
          </cell>
          <cell r="BQ31">
            <v>3</v>
          </cell>
          <cell r="BR31">
            <v>4</v>
          </cell>
          <cell r="BS31">
            <v>-0.25</v>
          </cell>
          <cell r="BT31">
            <v>7</v>
          </cell>
          <cell r="BU31">
            <v>-0.5714</v>
          </cell>
          <cell r="BV31">
            <v>0.3333</v>
          </cell>
          <cell r="BW31">
            <v>-0.0667</v>
          </cell>
          <cell r="BX31">
            <v>0.75</v>
          </cell>
          <cell r="BY31">
            <v>0.1786</v>
          </cell>
          <cell r="BZ31">
            <v>0</v>
          </cell>
          <cell r="CA31">
            <v>0</v>
          </cell>
          <cell r="CB31" t="str">
            <v>持平</v>
          </cell>
          <cell r="CC31">
            <v>0</v>
          </cell>
          <cell r="CD31" t="str">
            <v>持平</v>
          </cell>
          <cell r="CE31" t="str">
            <v/>
          </cell>
          <cell r="CF31" t="str">
            <v/>
          </cell>
          <cell r="CG31">
            <v>5</v>
          </cell>
          <cell r="CH31">
            <v>14</v>
          </cell>
          <cell r="CI31">
            <v>-0.6429</v>
          </cell>
          <cell r="CJ31">
            <v>13</v>
          </cell>
          <cell r="CK31">
            <v>-0.6154</v>
          </cell>
          <cell r="CL31">
            <v>56</v>
          </cell>
          <cell r="CM31">
            <v>-84</v>
          </cell>
          <cell r="CN31">
            <v>-0.6032</v>
          </cell>
          <cell r="CO31">
            <v>6</v>
          </cell>
          <cell r="CP31">
            <v>9</v>
          </cell>
          <cell r="CQ31">
            <v>-0.3333</v>
          </cell>
          <cell r="CR31">
            <v>10</v>
          </cell>
          <cell r="CS31">
            <v>-0.4</v>
          </cell>
          <cell r="CT31">
            <v>1.2</v>
          </cell>
          <cell r="CU31">
            <v>0.5571</v>
          </cell>
          <cell r="CV31">
            <v>67</v>
          </cell>
          <cell r="CW31">
            <v>-23</v>
          </cell>
          <cell r="CX31">
            <v>-0.2593</v>
          </cell>
          <cell r="CY31">
            <v>8</v>
          </cell>
          <cell r="CZ31">
            <v>10</v>
          </cell>
          <cell r="DA31">
            <v>-0.2</v>
          </cell>
          <cell r="DB31">
            <v>11</v>
          </cell>
          <cell r="DC31">
            <v>-0.2727</v>
          </cell>
          <cell r="DD31">
            <v>1.6</v>
          </cell>
          <cell r="DE31">
            <v>0.8857</v>
          </cell>
          <cell r="DF31">
            <v>89</v>
          </cell>
          <cell r="DG31">
            <v>-11</v>
          </cell>
          <cell r="DH31">
            <v>-0.1111</v>
          </cell>
          <cell r="DI31">
            <v>7</v>
          </cell>
          <cell r="DJ31">
            <v>0</v>
          </cell>
          <cell r="DK31" t="str">
            <v>多7人</v>
          </cell>
          <cell r="DL31">
            <v>11</v>
          </cell>
          <cell r="DM31">
            <v>-0.3636</v>
          </cell>
          <cell r="DN31">
            <v>6</v>
          </cell>
          <cell r="DO31">
            <v>1</v>
          </cell>
          <cell r="DP31">
            <v>5</v>
          </cell>
          <cell r="DQ31">
            <v>7</v>
          </cell>
          <cell r="DR31">
            <v>-0.1429</v>
          </cell>
          <cell r="DS31">
            <v>6</v>
          </cell>
          <cell r="DT31">
            <v>1</v>
          </cell>
          <cell r="DU31">
            <v>5</v>
          </cell>
          <cell r="DV31">
            <v>7</v>
          </cell>
          <cell r="DW31">
            <v>-0.1429</v>
          </cell>
          <cell r="DX31">
            <v>8</v>
          </cell>
          <cell r="DY31">
            <v>2</v>
          </cell>
          <cell r="DZ31">
            <v>3</v>
          </cell>
          <cell r="EA31">
            <v>7</v>
          </cell>
          <cell r="EB31">
            <v>0.1429</v>
          </cell>
          <cell r="EC31">
            <v>4</v>
          </cell>
          <cell r="ED31">
            <v>3</v>
          </cell>
          <cell r="EE31">
            <v>0.3333</v>
          </cell>
          <cell r="EF31">
            <v>6</v>
          </cell>
          <cell r="EG31">
            <v>-0.3333</v>
          </cell>
          <cell r="EH31">
            <v>0.6667</v>
          </cell>
          <cell r="EI31">
            <v>0.3333</v>
          </cell>
          <cell r="EJ31">
            <v>44</v>
          </cell>
          <cell r="EK31">
            <v>14</v>
          </cell>
          <cell r="EL31">
            <v>0.4815</v>
          </cell>
          <cell r="EM31">
            <v>4</v>
          </cell>
          <cell r="EN31">
            <v>3</v>
          </cell>
          <cell r="EO31">
            <v>0.3333</v>
          </cell>
          <cell r="EP31">
            <v>6</v>
          </cell>
          <cell r="EQ31">
            <v>-0.3333</v>
          </cell>
          <cell r="ER31">
            <v>10</v>
          </cell>
          <cell r="ES31">
            <v>4</v>
          </cell>
          <cell r="ET31">
            <v>1.5</v>
          </cell>
          <cell r="EU31">
            <v>9</v>
          </cell>
          <cell r="EV31">
            <v>0.1111</v>
          </cell>
          <cell r="EW31">
            <v>1.6667</v>
          </cell>
          <cell r="EX31">
            <v>1.2222</v>
          </cell>
          <cell r="EY31">
            <v>111</v>
          </cell>
          <cell r="EZ31">
            <v>71</v>
          </cell>
          <cell r="FA31">
            <v>1.7778</v>
          </cell>
        </row>
        <row r="32">
          <cell r="A32" t="str">
            <v>诈骗及关联犯罪</v>
          </cell>
          <cell r="B32" t="str">
            <v>全省</v>
          </cell>
        </row>
        <row r="32">
          <cell r="AM32">
            <v>7675</v>
          </cell>
          <cell r="AN32">
            <v>4906</v>
          </cell>
          <cell r="AO32">
            <v>0.5644</v>
          </cell>
          <cell r="AP32">
            <v>20926</v>
          </cell>
          <cell r="AQ32">
            <v>-0.6332</v>
          </cell>
          <cell r="AR32">
            <v>0.484</v>
          </cell>
          <cell r="AS32">
            <v>0.2345</v>
          </cell>
          <cell r="AT32">
            <v>9097</v>
          </cell>
          <cell r="AU32">
            <v>8194</v>
          </cell>
          <cell r="AV32">
            <v>0.1102</v>
          </cell>
          <cell r="AW32">
            <v>19102</v>
          </cell>
          <cell r="AX32">
            <v>-0.5238</v>
          </cell>
          <cell r="AY32">
            <v>1300</v>
          </cell>
          <cell r="AZ32">
            <v>1180</v>
          </cell>
          <cell r="BA32">
            <v>0.1017</v>
          </cell>
          <cell r="BB32">
            <v>6493</v>
          </cell>
          <cell r="BC32">
            <v>-0.7998</v>
          </cell>
          <cell r="BD32">
            <v>0.1429</v>
          </cell>
          <cell r="BE32">
            <v>-0.0011</v>
          </cell>
          <cell r="BF32">
            <v>6762</v>
          </cell>
          <cell r="BG32">
            <v>11477</v>
          </cell>
          <cell r="BH32">
            <v>-0.4108</v>
          </cell>
          <cell r="BI32">
            <v>788</v>
          </cell>
          <cell r="BJ32">
            <v>7.5812</v>
          </cell>
          <cell r="BK32">
            <v>0.4264</v>
          </cell>
          <cell r="BL32">
            <v>6375</v>
          </cell>
          <cell r="BM32">
            <v>3726</v>
          </cell>
          <cell r="BN32">
            <v>0.711</v>
          </cell>
          <cell r="BO32">
            <v>14433</v>
          </cell>
          <cell r="BP32">
            <v>-0.5583</v>
          </cell>
          <cell r="BQ32">
            <v>1378</v>
          </cell>
          <cell r="BR32">
            <v>1177</v>
          </cell>
          <cell r="BS32">
            <v>0.1708</v>
          </cell>
          <cell r="BT32">
            <v>2699</v>
          </cell>
          <cell r="BU32">
            <v>-0.4894</v>
          </cell>
          <cell r="BV32">
            <v>0.0869</v>
          </cell>
          <cell r="BW32">
            <v>0.0271</v>
          </cell>
          <cell r="BX32">
            <v>0.1515</v>
          </cell>
          <cell r="BY32">
            <v>0.0078</v>
          </cell>
          <cell r="BZ32">
            <v>14</v>
          </cell>
          <cell r="CA32">
            <v>7</v>
          </cell>
          <cell r="CB32">
            <v>1</v>
          </cell>
          <cell r="CC32">
            <v>245</v>
          </cell>
          <cell r="CD32">
            <v>-0.9429</v>
          </cell>
          <cell r="CE32" t="str">
            <v/>
          </cell>
          <cell r="CF32" t="str">
            <v/>
          </cell>
          <cell r="CG32">
            <v>8324</v>
          </cell>
          <cell r="CH32">
            <v>5779</v>
          </cell>
          <cell r="CI32">
            <v>0.4404</v>
          </cell>
          <cell r="CJ32">
            <v>9365</v>
          </cell>
          <cell r="CK32">
            <v>-0.1112</v>
          </cell>
          <cell r="CL32">
            <v>52</v>
          </cell>
          <cell r="CM32">
            <v>23</v>
          </cell>
          <cell r="CN32">
            <v>0.7866</v>
          </cell>
          <cell r="CO32">
            <v>9271</v>
          </cell>
          <cell r="CP32">
            <v>4404</v>
          </cell>
          <cell r="CQ32">
            <v>1.1051</v>
          </cell>
          <cell r="CR32">
            <v>7077</v>
          </cell>
          <cell r="CS32">
            <v>0.31</v>
          </cell>
          <cell r="CT32">
            <v>1.1138</v>
          </cell>
          <cell r="CU32">
            <v>0.3517</v>
          </cell>
          <cell r="CV32">
            <v>58</v>
          </cell>
          <cell r="CW32">
            <v>36</v>
          </cell>
          <cell r="CX32">
            <v>1.6111</v>
          </cell>
          <cell r="CY32">
            <v>10044</v>
          </cell>
          <cell r="CZ32">
            <v>5034</v>
          </cell>
          <cell r="DA32">
            <v>0.9952</v>
          </cell>
          <cell r="DB32">
            <v>7872</v>
          </cell>
          <cell r="DC32">
            <v>0.2759</v>
          </cell>
          <cell r="DD32">
            <v>1.2066</v>
          </cell>
          <cell r="DE32">
            <v>0.3355</v>
          </cell>
          <cell r="DF32">
            <v>63</v>
          </cell>
          <cell r="DG32">
            <v>38</v>
          </cell>
          <cell r="DH32">
            <v>1.4748</v>
          </cell>
          <cell r="DI32">
            <v>8536</v>
          </cell>
          <cell r="DJ32">
            <v>3813</v>
          </cell>
          <cell r="DK32">
            <v>1.2387</v>
          </cell>
          <cell r="DL32">
            <v>6507</v>
          </cell>
          <cell r="DM32">
            <v>0.3118</v>
          </cell>
          <cell r="DN32">
            <v>5002</v>
          </cell>
          <cell r="DO32">
            <v>3460</v>
          </cell>
          <cell r="DP32">
            <v>0.4457</v>
          </cell>
          <cell r="DQ32">
            <v>4892</v>
          </cell>
          <cell r="DR32">
            <v>0.0225</v>
          </cell>
          <cell r="DS32">
            <v>5005</v>
          </cell>
          <cell r="DT32">
            <v>3462</v>
          </cell>
          <cell r="DU32">
            <v>0.4457</v>
          </cell>
          <cell r="DV32">
            <v>4894</v>
          </cell>
          <cell r="DW32">
            <v>0.0227</v>
          </cell>
          <cell r="DX32">
            <v>3487</v>
          </cell>
          <cell r="DY32">
            <v>2942</v>
          </cell>
          <cell r="DZ32">
            <v>0.1852</v>
          </cell>
          <cell r="EA32">
            <v>3113</v>
          </cell>
          <cell r="EB32">
            <v>0.1201</v>
          </cell>
          <cell r="EC32">
            <v>1444</v>
          </cell>
          <cell r="ED32">
            <v>1885</v>
          </cell>
          <cell r="EE32">
            <v>-0.234</v>
          </cell>
          <cell r="EF32">
            <v>1489</v>
          </cell>
          <cell r="EG32">
            <v>-0.0302</v>
          </cell>
          <cell r="EH32">
            <v>0.1558</v>
          </cell>
          <cell r="EI32">
            <v>-0.2723</v>
          </cell>
          <cell r="EJ32">
            <v>9</v>
          </cell>
          <cell r="EK32">
            <v>0</v>
          </cell>
          <cell r="EL32">
            <v>-0.0498</v>
          </cell>
          <cell r="EM32">
            <v>1527</v>
          </cell>
          <cell r="EN32">
            <v>1862</v>
          </cell>
          <cell r="EO32">
            <v>-0.1799</v>
          </cell>
          <cell r="EP32">
            <v>1504</v>
          </cell>
          <cell r="EQ32">
            <v>0.0153</v>
          </cell>
          <cell r="ER32">
            <v>2130</v>
          </cell>
          <cell r="ES32">
            <v>1766</v>
          </cell>
          <cell r="ET32">
            <v>0.2061</v>
          </cell>
          <cell r="EU32">
            <v>3970</v>
          </cell>
          <cell r="EV32">
            <v>-0.4635</v>
          </cell>
          <cell r="EW32">
            <v>0.2297</v>
          </cell>
          <cell r="EX32">
            <v>-0.1713</v>
          </cell>
          <cell r="EY32">
            <v>13</v>
          </cell>
          <cell r="EZ32">
            <v>4</v>
          </cell>
          <cell r="FA32">
            <v>0.496</v>
          </cell>
        </row>
        <row r="33">
          <cell r="A33" t="str">
            <v>诈骗及关联犯罪</v>
          </cell>
          <cell r="B33" t="str">
            <v>云浮</v>
          </cell>
        </row>
        <row r="33">
          <cell r="AM33">
            <v>56</v>
          </cell>
          <cell r="AN33">
            <v>36</v>
          </cell>
          <cell r="AO33">
            <v>0.5556</v>
          </cell>
          <cell r="AP33">
            <v>163</v>
          </cell>
          <cell r="AQ33">
            <v>-0.6564</v>
          </cell>
          <cell r="AR33">
            <v>0.5385</v>
          </cell>
          <cell r="AS33">
            <v>0.2678</v>
          </cell>
          <cell r="AT33">
            <v>52</v>
          </cell>
          <cell r="AU33">
            <v>60</v>
          </cell>
          <cell r="AV33">
            <v>-0.1333</v>
          </cell>
          <cell r="AW33">
            <v>76</v>
          </cell>
          <cell r="AX33">
            <v>-0.3158</v>
          </cell>
          <cell r="AY33">
            <v>7</v>
          </cell>
          <cell r="AZ33">
            <v>10</v>
          </cell>
          <cell r="BA33">
            <v>-0.3</v>
          </cell>
          <cell r="BB33">
            <v>43</v>
          </cell>
          <cell r="BC33">
            <v>-0.8372</v>
          </cell>
          <cell r="BD33">
            <v>0.1346</v>
          </cell>
          <cell r="BE33">
            <v>-0.0321</v>
          </cell>
          <cell r="BF33">
            <v>52</v>
          </cell>
          <cell r="BG33">
            <v>73</v>
          </cell>
          <cell r="BH33">
            <v>-0.2877</v>
          </cell>
          <cell r="BI33">
            <v>2</v>
          </cell>
          <cell r="BJ33">
            <v>25</v>
          </cell>
          <cell r="BK33">
            <v>0.5</v>
          </cell>
          <cell r="BL33">
            <v>49</v>
          </cell>
          <cell r="BM33">
            <v>26</v>
          </cell>
          <cell r="BN33">
            <v>0.8846</v>
          </cell>
          <cell r="BO33">
            <v>120</v>
          </cell>
          <cell r="BP33">
            <v>-0.5917</v>
          </cell>
          <cell r="BQ33">
            <v>12</v>
          </cell>
          <cell r="BR33">
            <v>16</v>
          </cell>
          <cell r="BS33">
            <v>-0.25</v>
          </cell>
          <cell r="BT33">
            <v>20</v>
          </cell>
          <cell r="BU33">
            <v>-0.4</v>
          </cell>
          <cell r="BV33">
            <v>0.1154</v>
          </cell>
          <cell r="BW33">
            <v>-0.0049</v>
          </cell>
          <cell r="BX33">
            <v>0.2308</v>
          </cell>
          <cell r="BY33">
            <v>-0.0359</v>
          </cell>
          <cell r="BZ33">
            <v>0</v>
          </cell>
          <cell r="CA33">
            <v>0</v>
          </cell>
          <cell r="CB33" t="str">
            <v>持平</v>
          </cell>
          <cell r="CC33">
            <v>3</v>
          </cell>
          <cell r="CD33" t="str">
            <v>少3起</v>
          </cell>
          <cell r="CE33" t="str">
            <v/>
          </cell>
          <cell r="CF33" t="str">
            <v/>
          </cell>
          <cell r="CG33">
            <v>92</v>
          </cell>
          <cell r="CH33">
            <v>129</v>
          </cell>
          <cell r="CI33">
            <v>-0.2868</v>
          </cell>
          <cell r="CJ33">
            <v>111</v>
          </cell>
          <cell r="CK33">
            <v>-0.1712</v>
          </cell>
          <cell r="CL33">
            <v>88</v>
          </cell>
          <cell r="CM33">
            <v>-9</v>
          </cell>
          <cell r="CN33">
            <v>-0.088</v>
          </cell>
          <cell r="CO33">
            <v>104</v>
          </cell>
          <cell r="CP33">
            <v>150</v>
          </cell>
          <cell r="CQ33">
            <v>-0.3067</v>
          </cell>
          <cell r="CR33">
            <v>35</v>
          </cell>
          <cell r="CS33">
            <v>1.9714</v>
          </cell>
          <cell r="CT33">
            <v>1.1304</v>
          </cell>
          <cell r="CU33">
            <v>-0.0324</v>
          </cell>
          <cell r="CV33">
            <v>100</v>
          </cell>
          <cell r="CW33">
            <v>-13</v>
          </cell>
          <cell r="CX33">
            <v>-0.1133</v>
          </cell>
          <cell r="CY33">
            <v>109</v>
          </cell>
          <cell r="CZ33">
            <v>169</v>
          </cell>
          <cell r="DA33">
            <v>-0.355</v>
          </cell>
          <cell r="DB33">
            <v>37</v>
          </cell>
          <cell r="DC33">
            <v>1.9459</v>
          </cell>
          <cell r="DD33">
            <v>1.1848</v>
          </cell>
          <cell r="DE33">
            <v>-0.1253</v>
          </cell>
          <cell r="DF33">
            <v>105</v>
          </cell>
          <cell r="DG33">
            <v>-22</v>
          </cell>
          <cell r="DH33">
            <v>-0.1752</v>
          </cell>
          <cell r="DI33">
            <v>95</v>
          </cell>
          <cell r="DJ33">
            <v>135</v>
          </cell>
          <cell r="DK33">
            <v>-0.2963</v>
          </cell>
          <cell r="DL33">
            <v>36</v>
          </cell>
          <cell r="DM33">
            <v>1.6389</v>
          </cell>
          <cell r="DN33">
            <v>24</v>
          </cell>
          <cell r="DO33">
            <v>47</v>
          </cell>
          <cell r="DP33">
            <v>-0.4894</v>
          </cell>
          <cell r="DQ33">
            <v>26</v>
          </cell>
          <cell r="DR33">
            <v>-0.0769</v>
          </cell>
          <cell r="DS33">
            <v>24</v>
          </cell>
          <cell r="DT33">
            <v>47</v>
          </cell>
          <cell r="DU33">
            <v>-0.4894</v>
          </cell>
          <cell r="DV33">
            <v>26</v>
          </cell>
          <cell r="DW33">
            <v>-0.0769</v>
          </cell>
          <cell r="DX33">
            <v>32</v>
          </cell>
          <cell r="DY33">
            <v>34</v>
          </cell>
          <cell r="DZ33">
            <v>-0.0588</v>
          </cell>
          <cell r="EA33">
            <v>35</v>
          </cell>
          <cell r="EB33">
            <v>-0.0857</v>
          </cell>
          <cell r="EC33">
            <v>17</v>
          </cell>
          <cell r="ED33">
            <v>24</v>
          </cell>
          <cell r="EE33">
            <v>-0.2917</v>
          </cell>
          <cell r="EF33">
            <v>17</v>
          </cell>
          <cell r="EG33">
            <v>0</v>
          </cell>
          <cell r="EH33">
            <v>0.1635</v>
          </cell>
          <cell r="EI33">
            <v>0.0035</v>
          </cell>
          <cell r="EJ33">
            <v>16</v>
          </cell>
          <cell r="EK33">
            <v>-2</v>
          </cell>
          <cell r="EL33">
            <v>-0.0942</v>
          </cell>
          <cell r="EM33">
            <v>17</v>
          </cell>
          <cell r="EN33">
            <v>24</v>
          </cell>
          <cell r="EO33">
            <v>-0.2917</v>
          </cell>
          <cell r="EP33">
            <v>17</v>
          </cell>
          <cell r="EQ33">
            <v>0</v>
          </cell>
          <cell r="ER33">
            <v>37</v>
          </cell>
          <cell r="ES33">
            <v>26</v>
          </cell>
          <cell r="ET33">
            <v>0.4231</v>
          </cell>
          <cell r="EU33">
            <v>46</v>
          </cell>
          <cell r="EV33">
            <v>-0.1957</v>
          </cell>
          <cell r="EW33">
            <v>0.3558</v>
          </cell>
          <cell r="EX33">
            <v>0.1824</v>
          </cell>
          <cell r="EY33">
            <v>36</v>
          </cell>
          <cell r="EZ33">
            <v>16</v>
          </cell>
          <cell r="FA33">
            <v>0.8199</v>
          </cell>
        </row>
        <row r="34">
          <cell r="A34" t="str">
            <v>诈骗及关联犯罪</v>
          </cell>
          <cell r="B34" t="str">
            <v>云城区</v>
          </cell>
        </row>
        <row r="34">
          <cell r="AM34">
            <v>12</v>
          </cell>
          <cell r="AN34">
            <v>9</v>
          </cell>
          <cell r="AO34">
            <v>0.3333</v>
          </cell>
          <cell r="AP34">
            <v>62</v>
          </cell>
          <cell r="AQ34">
            <v>-0.8065</v>
          </cell>
          <cell r="AR34">
            <v>0.4615</v>
          </cell>
          <cell r="AS34">
            <v>0.2365</v>
          </cell>
          <cell r="AT34">
            <v>3</v>
          </cell>
          <cell r="AU34">
            <v>11</v>
          </cell>
          <cell r="AV34">
            <v>-0.7273</v>
          </cell>
          <cell r="AW34">
            <v>23</v>
          </cell>
          <cell r="AX34">
            <v>-0.8696</v>
          </cell>
          <cell r="AY34">
            <v>0</v>
          </cell>
          <cell r="AZ34">
            <v>2</v>
          </cell>
          <cell r="BA34" t="str">
            <v>少2起</v>
          </cell>
          <cell r="BB34">
            <v>8</v>
          </cell>
          <cell r="BC34" t="str">
            <v>少8起</v>
          </cell>
          <cell r="BD34">
            <v>0</v>
          </cell>
          <cell r="BE34">
            <v>-0.1818</v>
          </cell>
          <cell r="BF34">
            <v>23</v>
          </cell>
          <cell r="BG34">
            <v>29</v>
          </cell>
          <cell r="BH34">
            <v>-0.2069</v>
          </cell>
          <cell r="BI34">
            <v>0</v>
          </cell>
          <cell r="BJ34" t="str">
            <v>多23起</v>
          </cell>
          <cell r="BK34">
            <v>0.8846</v>
          </cell>
          <cell r="BL34">
            <v>12</v>
          </cell>
          <cell r="BM34">
            <v>7</v>
          </cell>
          <cell r="BN34">
            <v>0.7143</v>
          </cell>
          <cell r="BO34">
            <v>54</v>
          </cell>
          <cell r="BP34">
            <v>-0.7778</v>
          </cell>
          <cell r="BQ34">
            <v>0</v>
          </cell>
          <cell r="BR34">
            <v>4</v>
          </cell>
          <cell r="BS34" t="str">
            <v>少4起</v>
          </cell>
          <cell r="BT34">
            <v>2</v>
          </cell>
          <cell r="BU34" t="str">
            <v>少2起</v>
          </cell>
          <cell r="BV34">
            <v>0</v>
          </cell>
          <cell r="BW34">
            <v>-0.1</v>
          </cell>
          <cell r="BX34">
            <v>0</v>
          </cell>
          <cell r="BY34">
            <v>-0.3636</v>
          </cell>
          <cell r="BZ34">
            <v>0</v>
          </cell>
          <cell r="CA34">
            <v>0</v>
          </cell>
          <cell r="CB34" t="str">
            <v>持平</v>
          </cell>
          <cell r="CC34">
            <v>1</v>
          </cell>
          <cell r="CD34" t="str">
            <v>少1起</v>
          </cell>
          <cell r="CE34" t="str">
            <v/>
          </cell>
          <cell r="CF34" t="str">
            <v/>
          </cell>
          <cell r="CG34">
            <v>10</v>
          </cell>
          <cell r="CH34">
            <v>24</v>
          </cell>
          <cell r="CI34">
            <v>-0.5833</v>
          </cell>
          <cell r="CJ34">
            <v>24</v>
          </cell>
          <cell r="CK34">
            <v>-0.5833</v>
          </cell>
          <cell r="CL34">
            <v>38</v>
          </cell>
          <cell r="CM34">
            <v>-22</v>
          </cell>
          <cell r="CN34">
            <v>-0.359</v>
          </cell>
          <cell r="CO34">
            <v>15</v>
          </cell>
          <cell r="CP34">
            <v>31</v>
          </cell>
          <cell r="CQ34">
            <v>-0.5161</v>
          </cell>
          <cell r="CR34">
            <v>5</v>
          </cell>
          <cell r="CS34">
            <v>2</v>
          </cell>
          <cell r="CT34">
            <v>1.5</v>
          </cell>
          <cell r="CU34">
            <v>0.2083</v>
          </cell>
          <cell r="CV34">
            <v>58</v>
          </cell>
          <cell r="CW34">
            <v>-20</v>
          </cell>
          <cell r="CX34">
            <v>-0.2556</v>
          </cell>
          <cell r="CY34">
            <v>15</v>
          </cell>
          <cell r="CZ34">
            <v>31</v>
          </cell>
          <cell r="DA34">
            <v>-0.5161</v>
          </cell>
          <cell r="DB34">
            <v>5</v>
          </cell>
          <cell r="DC34">
            <v>2</v>
          </cell>
          <cell r="DD34">
            <v>1.5</v>
          </cell>
          <cell r="DE34">
            <v>0.2083</v>
          </cell>
          <cell r="DF34">
            <v>58</v>
          </cell>
          <cell r="DG34">
            <v>-20</v>
          </cell>
          <cell r="DH34">
            <v>-0.2556</v>
          </cell>
          <cell r="DI34">
            <v>0</v>
          </cell>
          <cell r="DJ34">
            <v>0</v>
          </cell>
          <cell r="DK34" t="str">
            <v>持平</v>
          </cell>
          <cell r="DL34">
            <v>0</v>
          </cell>
          <cell r="DM34" t="str">
            <v>持平</v>
          </cell>
          <cell r="DN34">
            <v>4</v>
          </cell>
          <cell r="DO34">
            <v>1</v>
          </cell>
          <cell r="DP34">
            <v>3</v>
          </cell>
          <cell r="DQ34">
            <v>2</v>
          </cell>
          <cell r="DR34">
            <v>1</v>
          </cell>
          <cell r="DS34">
            <v>4</v>
          </cell>
          <cell r="DT34">
            <v>1</v>
          </cell>
          <cell r="DU34">
            <v>3</v>
          </cell>
          <cell r="DV34">
            <v>2</v>
          </cell>
          <cell r="DW34">
            <v>1</v>
          </cell>
          <cell r="DX34">
            <v>5</v>
          </cell>
          <cell r="DY34">
            <v>5</v>
          </cell>
          <cell r="DZ34">
            <v>0</v>
          </cell>
          <cell r="EA34">
            <v>1</v>
          </cell>
          <cell r="EB34">
            <v>4</v>
          </cell>
          <cell r="EC34">
            <v>3</v>
          </cell>
          <cell r="ED34">
            <v>5</v>
          </cell>
          <cell r="EE34">
            <v>-0.4</v>
          </cell>
          <cell r="EF34">
            <v>0</v>
          </cell>
          <cell r="EG34" t="str">
            <v>多3人</v>
          </cell>
          <cell r="EH34">
            <v>0.2</v>
          </cell>
          <cell r="EI34">
            <v>0.0387</v>
          </cell>
          <cell r="EJ34">
            <v>12</v>
          </cell>
          <cell r="EK34">
            <v>-1</v>
          </cell>
          <cell r="EL34">
            <v>-0.0769</v>
          </cell>
          <cell r="EM34">
            <v>3</v>
          </cell>
          <cell r="EN34">
            <v>5</v>
          </cell>
          <cell r="EO34">
            <v>-0.4</v>
          </cell>
          <cell r="EP34">
            <v>0</v>
          </cell>
          <cell r="EQ34" t="str">
            <v>多3人</v>
          </cell>
          <cell r="ER34">
            <v>0</v>
          </cell>
          <cell r="ES34">
            <v>7</v>
          </cell>
          <cell r="ET34" t="str">
            <v>少7人</v>
          </cell>
          <cell r="EU34">
            <v>11</v>
          </cell>
          <cell r="EV34" t="str">
            <v>少11人</v>
          </cell>
          <cell r="EW34">
            <v>0</v>
          </cell>
          <cell r="EX34">
            <v>-0.2258</v>
          </cell>
          <cell r="EY34">
            <v>0</v>
          </cell>
          <cell r="EZ34">
            <v>-18</v>
          </cell>
          <cell r="FA34">
            <v>-1</v>
          </cell>
        </row>
        <row r="35">
          <cell r="A35" t="str">
            <v>诈骗及关联犯罪</v>
          </cell>
          <cell r="B35" t="str">
            <v>云安区</v>
          </cell>
        </row>
        <row r="35">
          <cell r="AM35">
            <v>12</v>
          </cell>
          <cell r="AN35">
            <v>8</v>
          </cell>
          <cell r="AO35">
            <v>0.5</v>
          </cell>
          <cell r="AP35">
            <v>3</v>
          </cell>
          <cell r="AQ35">
            <v>3</v>
          </cell>
          <cell r="AR35">
            <v>2.4</v>
          </cell>
          <cell r="AS35">
            <v>0.4</v>
          </cell>
          <cell r="AT35">
            <v>4</v>
          </cell>
          <cell r="AU35">
            <v>4</v>
          </cell>
          <cell r="AV35">
            <v>0</v>
          </cell>
          <cell r="AW35">
            <v>3</v>
          </cell>
          <cell r="AX35">
            <v>0.3333</v>
          </cell>
          <cell r="AY35">
            <v>2</v>
          </cell>
          <cell r="AZ35">
            <v>2</v>
          </cell>
          <cell r="BA35">
            <v>0</v>
          </cell>
          <cell r="BB35">
            <v>2</v>
          </cell>
          <cell r="BC35">
            <v>0</v>
          </cell>
          <cell r="BD35">
            <v>0.5</v>
          </cell>
          <cell r="BE35">
            <v>0</v>
          </cell>
          <cell r="BF35">
            <v>1</v>
          </cell>
          <cell r="BG35">
            <v>0</v>
          </cell>
          <cell r="BH35" t="str">
            <v>多1起</v>
          </cell>
          <cell r="BI35">
            <v>2</v>
          </cell>
          <cell r="BJ35">
            <v>-0.5</v>
          </cell>
          <cell r="BK35">
            <v>0.2</v>
          </cell>
          <cell r="BL35">
            <v>10</v>
          </cell>
          <cell r="BM35">
            <v>6</v>
          </cell>
          <cell r="BN35">
            <v>0.6667</v>
          </cell>
          <cell r="BO35">
            <v>1</v>
          </cell>
          <cell r="BP35">
            <v>9</v>
          </cell>
          <cell r="BQ35">
            <v>3</v>
          </cell>
          <cell r="BR35">
            <v>2</v>
          </cell>
          <cell r="BS35">
            <v>0.5</v>
          </cell>
          <cell r="BT35">
            <v>0</v>
          </cell>
          <cell r="BU35" t="str">
            <v>多3起</v>
          </cell>
          <cell r="BV35">
            <v>0.6</v>
          </cell>
          <cell r="BW35">
            <v>0.1</v>
          </cell>
          <cell r="BX35">
            <v>0.75</v>
          </cell>
          <cell r="BY35">
            <v>0.25</v>
          </cell>
          <cell r="BZ35">
            <v>0</v>
          </cell>
          <cell r="CA35">
            <v>0</v>
          </cell>
          <cell r="CB35" t="str">
            <v>持平</v>
          </cell>
          <cell r="CC35">
            <v>0</v>
          </cell>
          <cell r="CD35" t="str">
            <v>持平</v>
          </cell>
          <cell r="CE35" t="str">
            <v/>
          </cell>
          <cell r="CF35" t="str">
            <v/>
          </cell>
          <cell r="CG35">
            <v>12</v>
          </cell>
          <cell r="CH35">
            <v>26</v>
          </cell>
          <cell r="CI35">
            <v>-0.5385</v>
          </cell>
          <cell r="CJ35">
            <v>8</v>
          </cell>
          <cell r="CK35">
            <v>0.5</v>
          </cell>
          <cell r="CL35">
            <v>240</v>
          </cell>
          <cell r="CM35">
            <v>-410</v>
          </cell>
          <cell r="CN35">
            <v>-0.6308</v>
          </cell>
          <cell r="CO35">
            <v>14</v>
          </cell>
          <cell r="CP35">
            <v>35</v>
          </cell>
          <cell r="CQ35">
            <v>-0.6</v>
          </cell>
          <cell r="CR35">
            <v>14</v>
          </cell>
          <cell r="CS35">
            <v>0</v>
          </cell>
          <cell r="CT35">
            <v>1.1667</v>
          </cell>
          <cell r="CU35">
            <v>-0.1795</v>
          </cell>
          <cell r="CV35">
            <v>280</v>
          </cell>
          <cell r="CW35">
            <v>-595</v>
          </cell>
          <cell r="CX35">
            <v>-0.68</v>
          </cell>
          <cell r="CY35">
            <v>15</v>
          </cell>
          <cell r="CZ35">
            <v>35</v>
          </cell>
          <cell r="DA35">
            <v>-0.5714</v>
          </cell>
          <cell r="DB35">
            <v>15</v>
          </cell>
          <cell r="DC35">
            <v>0</v>
          </cell>
          <cell r="DD35">
            <v>1.25</v>
          </cell>
          <cell r="DE35">
            <v>-0.0962</v>
          </cell>
          <cell r="DF35">
            <v>300</v>
          </cell>
          <cell r="DG35">
            <v>-575</v>
          </cell>
          <cell r="DH35">
            <v>-0.6571</v>
          </cell>
          <cell r="DI35">
            <v>0</v>
          </cell>
          <cell r="DJ35">
            <v>0</v>
          </cell>
          <cell r="DK35" t="str">
            <v>持平</v>
          </cell>
          <cell r="DL35">
            <v>0</v>
          </cell>
          <cell r="DM35" t="str">
            <v>持平</v>
          </cell>
          <cell r="DN35">
            <v>3</v>
          </cell>
          <cell r="DO35">
            <v>13</v>
          </cell>
          <cell r="DP35">
            <v>-0.7692</v>
          </cell>
          <cell r="DQ35">
            <v>2</v>
          </cell>
          <cell r="DR35">
            <v>0.5</v>
          </cell>
          <cell r="DS35">
            <v>3</v>
          </cell>
          <cell r="DT35">
            <v>13</v>
          </cell>
          <cell r="DU35">
            <v>-0.7692</v>
          </cell>
          <cell r="DV35">
            <v>2</v>
          </cell>
          <cell r="DW35">
            <v>0.5</v>
          </cell>
          <cell r="DX35">
            <v>9</v>
          </cell>
          <cell r="DY35">
            <v>7</v>
          </cell>
          <cell r="DZ35">
            <v>0.2857</v>
          </cell>
          <cell r="EA35">
            <v>3</v>
          </cell>
          <cell r="EB35">
            <v>2</v>
          </cell>
          <cell r="EC35">
            <v>2</v>
          </cell>
          <cell r="ED35">
            <v>6</v>
          </cell>
          <cell r="EE35">
            <v>-0.6667</v>
          </cell>
          <cell r="EF35">
            <v>1</v>
          </cell>
          <cell r="EG35">
            <v>1</v>
          </cell>
          <cell r="EH35">
            <v>0.1429</v>
          </cell>
          <cell r="EI35">
            <v>-0.0286</v>
          </cell>
          <cell r="EJ35">
            <v>40</v>
          </cell>
          <cell r="EK35">
            <v>-110</v>
          </cell>
          <cell r="EL35">
            <v>-0.7333</v>
          </cell>
          <cell r="EM35">
            <v>2</v>
          </cell>
          <cell r="EN35">
            <v>6</v>
          </cell>
          <cell r="EO35">
            <v>-0.6667</v>
          </cell>
          <cell r="EP35">
            <v>1</v>
          </cell>
          <cell r="EQ35">
            <v>1</v>
          </cell>
          <cell r="ER35">
            <v>8</v>
          </cell>
          <cell r="ES35">
            <v>2</v>
          </cell>
          <cell r="ET35">
            <v>3</v>
          </cell>
          <cell r="EU35">
            <v>4</v>
          </cell>
          <cell r="EV35">
            <v>1</v>
          </cell>
          <cell r="EW35">
            <v>0.5714</v>
          </cell>
          <cell r="EX35">
            <v>0.5143</v>
          </cell>
          <cell r="EY35">
            <v>160</v>
          </cell>
          <cell r="EZ35">
            <v>110</v>
          </cell>
          <cell r="FA35">
            <v>2.2</v>
          </cell>
        </row>
        <row r="36">
          <cell r="A36" t="str">
            <v>诈骗及关联犯罪</v>
          </cell>
          <cell r="B36" t="str">
            <v>新兴县</v>
          </cell>
        </row>
        <row r="36">
          <cell r="AM36">
            <v>12</v>
          </cell>
          <cell r="AN36">
            <v>8</v>
          </cell>
          <cell r="AO36">
            <v>0.5</v>
          </cell>
          <cell r="AP36">
            <v>46</v>
          </cell>
          <cell r="AQ36">
            <v>-0.7391</v>
          </cell>
          <cell r="AR36">
            <v>0.3243</v>
          </cell>
          <cell r="AS36">
            <v>0.1081</v>
          </cell>
          <cell r="AT36">
            <v>27</v>
          </cell>
          <cell r="AU36">
            <v>19</v>
          </cell>
          <cell r="AV36">
            <v>0.4211</v>
          </cell>
          <cell r="AW36">
            <v>22</v>
          </cell>
          <cell r="AX36">
            <v>0.2273</v>
          </cell>
          <cell r="AY36">
            <v>2</v>
          </cell>
          <cell r="AZ36">
            <v>2</v>
          </cell>
          <cell r="BA36">
            <v>0</v>
          </cell>
          <cell r="BB36">
            <v>19</v>
          </cell>
          <cell r="BC36">
            <v>-0.8947</v>
          </cell>
          <cell r="BD36">
            <v>0.0741</v>
          </cell>
          <cell r="BE36">
            <v>-0.0312</v>
          </cell>
          <cell r="BF36">
            <v>10</v>
          </cell>
          <cell r="BG36">
            <v>18</v>
          </cell>
          <cell r="BH36">
            <v>-0.4444</v>
          </cell>
          <cell r="BI36">
            <v>0</v>
          </cell>
          <cell r="BJ36" t="str">
            <v>多10起</v>
          </cell>
          <cell r="BK36">
            <v>0.2703</v>
          </cell>
          <cell r="BL36">
            <v>10</v>
          </cell>
          <cell r="BM36">
            <v>6</v>
          </cell>
          <cell r="BN36">
            <v>0.6667</v>
          </cell>
          <cell r="BO36">
            <v>27</v>
          </cell>
          <cell r="BP36">
            <v>-0.6296</v>
          </cell>
          <cell r="BQ36">
            <v>3</v>
          </cell>
          <cell r="BR36">
            <v>5</v>
          </cell>
          <cell r="BS36">
            <v>-0.4</v>
          </cell>
          <cell r="BT36">
            <v>5</v>
          </cell>
          <cell r="BU36">
            <v>-0.4</v>
          </cell>
          <cell r="BV36">
            <v>0.0811</v>
          </cell>
          <cell r="BW36">
            <v>-0.0541</v>
          </cell>
          <cell r="BX36">
            <v>0.1111</v>
          </cell>
          <cell r="BY36">
            <v>-0.152</v>
          </cell>
          <cell r="BZ36">
            <v>0</v>
          </cell>
          <cell r="CA36">
            <v>0</v>
          </cell>
          <cell r="CB36" t="str">
            <v>持平</v>
          </cell>
          <cell r="CC36">
            <v>0</v>
          </cell>
          <cell r="CD36" t="str">
            <v>持平</v>
          </cell>
          <cell r="CE36" t="str">
            <v/>
          </cell>
          <cell r="CF36" t="str">
            <v/>
          </cell>
          <cell r="CG36">
            <v>30</v>
          </cell>
          <cell r="CH36">
            <v>26</v>
          </cell>
          <cell r="CI36">
            <v>0.1538</v>
          </cell>
          <cell r="CJ36">
            <v>5</v>
          </cell>
          <cell r="CK36">
            <v>5</v>
          </cell>
          <cell r="CL36">
            <v>81</v>
          </cell>
          <cell r="CM36">
            <v>11</v>
          </cell>
          <cell r="CN36">
            <v>0.1538</v>
          </cell>
          <cell r="CO36">
            <v>28</v>
          </cell>
          <cell r="CP36">
            <v>33</v>
          </cell>
          <cell r="CQ36">
            <v>-0.1515</v>
          </cell>
          <cell r="CR36">
            <v>4</v>
          </cell>
          <cell r="CS36">
            <v>6</v>
          </cell>
          <cell r="CT36">
            <v>0.9333</v>
          </cell>
          <cell r="CU36">
            <v>-0.3359</v>
          </cell>
          <cell r="CV36">
            <v>76</v>
          </cell>
          <cell r="CW36">
            <v>-14</v>
          </cell>
          <cell r="CX36">
            <v>-0.1515</v>
          </cell>
          <cell r="CY36">
            <v>30</v>
          </cell>
          <cell r="CZ36">
            <v>34</v>
          </cell>
          <cell r="DA36">
            <v>-0.1176</v>
          </cell>
          <cell r="DB36">
            <v>4</v>
          </cell>
          <cell r="DC36">
            <v>6.5</v>
          </cell>
          <cell r="DD36">
            <v>1</v>
          </cell>
          <cell r="DE36">
            <v>-0.3077</v>
          </cell>
          <cell r="DF36">
            <v>81</v>
          </cell>
          <cell r="DG36">
            <v>-11</v>
          </cell>
          <cell r="DH36">
            <v>-0.1176</v>
          </cell>
          <cell r="DI36">
            <v>21</v>
          </cell>
          <cell r="DJ36">
            <v>24</v>
          </cell>
          <cell r="DK36">
            <v>-0.125</v>
          </cell>
          <cell r="DL36">
            <v>4</v>
          </cell>
          <cell r="DM36">
            <v>4.25</v>
          </cell>
          <cell r="DN36">
            <v>5</v>
          </cell>
          <cell r="DO36">
            <v>7</v>
          </cell>
          <cell r="DP36">
            <v>-0.2857</v>
          </cell>
          <cell r="DQ36">
            <v>8</v>
          </cell>
          <cell r="DR36">
            <v>-0.375</v>
          </cell>
          <cell r="DS36">
            <v>5</v>
          </cell>
          <cell r="DT36">
            <v>7</v>
          </cell>
          <cell r="DU36">
            <v>-0.2857</v>
          </cell>
          <cell r="DV36">
            <v>8</v>
          </cell>
          <cell r="DW36">
            <v>-0.375</v>
          </cell>
          <cell r="DX36">
            <v>7</v>
          </cell>
          <cell r="DY36">
            <v>5</v>
          </cell>
          <cell r="DZ36">
            <v>0.4</v>
          </cell>
          <cell r="EA36">
            <v>7</v>
          </cell>
          <cell r="EB36">
            <v>0</v>
          </cell>
          <cell r="EC36">
            <v>2</v>
          </cell>
          <cell r="ED36">
            <v>4</v>
          </cell>
          <cell r="EE36">
            <v>-0.5</v>
          </cell>
          <cell r="EF36">
            <v>5</v>
          </cell>
          <cell r="EG36">
            <v>-0.6</v>
          </cell>
          <cell r="EH36">
            <v>0.0714</v>
          </cell>
          <cell r="EI36">
            <v>-0.0498</v>
          </cell>
          <cell r="EJ36">
            <v>5</v>
          </cell>
          <cell r="EK36">
            <v>-5</v>
          </cell>
          <cell r="EL36">
            <v>-0.5</v>
          </cell>
          <cell r="EM36">
            <v>2</v>
          </cell>
          <cell r="EN36">
            <v>4</v>
          </cell>
          <cell r="EO36">
            <v>-0.5</v>
          </cell>
          <cell r="EP36">
            <v>5</v>
          </cell>
          <cell r="EQ36">
            <v>-0.6</v>
          </cell>
          <cell r="ER36">
            <v>5</v>
          </cell>
          <cell r="ES36">
            <v>8</v>
          </cell>
          <cell r="ET36">
            <v>-0.375</v>
          </cell>
          <cell r="EU36">
            <v>9</v>
          </cell>
          <cell r="EV36">
            <v>-0.4444</v>
          </cell>
          <cell r="EW36">
            <v>0.1786</v>
          </cell>
          <cell r="EX36">
            <v>-0.0639</v>
          </cell>
          <cell r="EY36">
            <v>14</v>
          </cell>
          <cell r="EZ36">
            <v>-8</v>
          </cell>
          <cell r="FA36">
            <v>-0.375</v>
          </cell>
        </row>
        <row r="37">
          <cell r="A37" t="str">
            <v>诈骗及关联犯罪</v>
          </cell>
          <cell r="B37" t="str">
            <v>郁南县</v>
          </cell>
        </row>
        <row r="37">
          <cell r="AM37">
            <v>4</v>
          </cell>
          <cell r="AN37">
            <v>4</v>
          </cell>
          <cell r="AO37">
            <v>0</v>
          </cell>
          <cell r="AP37">
            <v>5</v>
          </cell>
          <cell r="AQ37">
            <v>-0.2</v>
          </cell>
          <cell r="AR37">
            <v>0.8</v>
          </cell>
          <cell r="AS37">
            <v>0.4364</v>
          </cell>
          <cell r="AT37">
            <v>4</v>
          </cell>
          <cell r="AU37">
            <v>8</v>
          </cell>
          <cell r="AV37">
            <v>-0.5</v>
          </cell>
          <cell r="AW37">
            <v>8</v>
          </cell>
          <cell r="AX37">
            <v>-0.5</v>
          </cell>
          <cell r="AY37">
            <v>1</v>
          </cell>
          <cell r="AZ37">
            <v>2</v>
          </cell>
          <cell r="BA37">
            <v>-0.5</v>
          </cell>
          <cell r="BB37">
            <v>3</v>
          </cell>
          <cell r="BC37">
            <v>-0.6667</v>
          </cell>
          <cell r="BD37">
            <v>0.25</v>
          </cell>
          <cell r="BE37">
            <v>0</v>
          </cell>
          <cell r="BF37">
            <v>1</v>
          </cell>
          <cell r="BG37">
            <v>3</v>
          </cell>
          <cell r="BH37">
            <v>-0.6667</v>
          </cell>
          <cell r="BI37">
            <v>0</v>
          </cell>
          <cell r="BJ37" t="str">
            <v>多1起</v>
          </cell>
          <cell r="BK37">
            <v>0.2</v>
          </cell>
          <cell r="BL37">
            <v>3</v>
          </cell>
          <cell r="BM37">
            <v>2</v>
          </cell>
          <cell r="BN37">
            <v>0.5</v>
          </cell>
          <cell r="BO37">
            <v>2</v>
          </cell>
          <cell r="BP37">
            <v>0.5</v>
          </cell>
          <cell r="BQ37">
            <v>0</v>
          </cell>
          <cell r="BR37">
            <v>1</v>
          </cell>
          <cell r="BS37" t="str">
            <v>少1起</v>
          </cell>
          <cell r="BT37">
            <v>1</v>
          </cell>
          <cell r="BU37" t="str">
            <v>少1起</v>
          </cell>
          <cell r="BV37">
            <v>0</v>
          </cell>
          <cell r="BW37">
            <v>-0.0909</v>
          </cell>
          <cell r="BX37">
            <v>0</v>
          </cell>
          <cell r="BY37">
            <v>-0.125</v>
          </cell>
          <cell r="BZ37">
            <v>0</v>
          </cell>
          <cell r="CA37">
            <v>0</v>
          </cell>
          <cell r="CB37" t="str">
            <v>持平</v>
          </cell>
          <cell r="CC37">
            <v>0</v>
          </cell>
          <cell r="CD37" t="str">
            <v>持平</v>
          </cell>
          <cell r="CE37" t="str">
            <v/>
          </cell>
          <cell r="CF37" t="str">
            <v/>
          </cell>
          <cell r="CG37">
            <v>9</v>
          </cell>
          <cell r="CH37">
            <v>10</v>
          </cell>
          <cell r="CI37">
            <v>-0.1</v>
          </cell>
          <cell r="CJ37">
            <v>4</v>
          </cell>
          <cell r="CK37">
            <v>1.25</v>
          </cell>
          <cell r="CL37">
            <v>180</v>
          </cell>
          <cell r="CM37">
            <v>89</v>
          </cell>
          <cell r="CN37">
            <v>0.98</v>
          </cell>
          <cell r="CO37">
            <v>16</v>
          </cell>
          <cell r="CP37">
            <v>23</v>
          </cell>
          <cell r="CQ37">
            <v>-0.3043</v>
          </cell>
          <cell r="CR37">
            <v>7</v>
          </cell>
          <cell r="CS37">
            <v>1.2857</v>
          </cell>
          <cell r="CT37">
            <v>1.7778</v>
          </cell>
          <cell r="CU37">
            <v>-0.5222</v>
          </cell>
          <cell r="CV37">
            <v>320</v>
          </cell>
          <cell r="CW37">
            <v>111</v>
          </cell>
          <cell r="CX37">
            <v>0.5304</v>
          </cell>
          <cell r="CY37">
            <v>16</v>
          </cell>
          <cell r="CZ37">
            <v>24</v>
          </cell>
          <cell r="DA37">
            <v>-0.3333</v>
          </cell>
          <cell r="DB37">
            <v>7</v>
          </cell>
          <cell r="DC37">
            <v>1.2857</v>
          </cell>
          <cell r="DD37">
            <v>1.7778</v>
          </cell>
          <cell r="DE37">
            <v>-0.6222</v>
          </cell>
          <cell r="DF37">
            <v>320</v>
          </cell>
          <cell r="DG37">
            <v>102</v>
          </cell>
          <cell r="DH37">
            <v>0.4667</v>
          </cell>
          <cell r="DI37">
            <v>13</v>
          </cell>
          <cell r="DJ37">
            <v>23</v>
          </cell>
          <cell r="DK37">
            <v>-0.4348</v>
          </cell>
          <cell r="DL37">
            <v>12</v>
          </cell>
          <cell r="DM37">
            <v>0.0833</v>
          </cell>
          <cell r="DN37">
            <v>5</v>
          </cell>
          <cell r="DO37">
            <v>9</v>
          </cell>
          <cell r="DP37">
            <v>-0.4444</v>
          </cell>
          <cell r="DQ37">
            <v>5</v>
          </cell>
          <cell r="DR37">
            <v>0</v>
          </cell>
          <cell r="DS37">
            <v>5</v>
          </cell>
          <cell r="DT37">
            <v>9</v>
          </cell>
          <cell r="DU37">
            <v>-0.4444</v>
          </cell>
          <cell r="DV37">
            <v>5</v>
          </cell>
          <cell r="DW37">
            <v>0</v>
          </cell>
          <cell r="DX37">
            <v>5</v>
          </cell>
          <cell r="DY37">
            <v>9</v>
          </cell>
          <cell r="DZ37">
            <v>-0.4444</v>
          </cell>
          <cell r="EA37">
            <v>10</v>
          </cell>
          <cell r="EB37">
            <v>-0.5</v>
          </cell>
          <cell r="EC37">
            <v>7</v>
          </cell>
          <cell r="ED37">
            <v>6</v>
          </cell>
          <cell r="EE37">
            <v>0.1667</v>
          </cell>
          <cell r="EF37">
            <v>1</v>
          </cell>
          <cell r="EG37">
            <v>6</v>
          </cell>
          <cell r="EH37">
            <v>0.4375</v>
          </cell>
          <cell r="EI37">
            <v>0.1766</v>
          </cell>
          <cell r="EJ37">
            <v>140</v>
          </cell>
          <cell r="EK37">
            <v>85</v>
          </cell>
          <cell r="EL37">
            <v>1.5667</v>
          </cell>
          <cell r="EM37">
            <v>7</v>
          </cell>
          <cell r="EN37">
            <v>6</v>
          </cell>
          <cell r="EO37">
            <v>0.1667</v>
          </cell>
          <cell r="EP37">
            <v>1</v>
          </cell>
          <cell r="EQ37">
            <v>6</v>
          </cell>
          <cell r="ER37">
            <v>2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0.125</v>
          </cell>
          <cell r="EX37">
            <v>0.0815</v>
          </cell>
          <cell r="EY37">
            <v>40</v>
          </cell>
          <cell r="EZ37">
            <v>31</v>
          </cell>
          <cell r="FA37">
            <v>3.4</v>
          </cell>
        </row>
        <row r="38">
          <cell r="A38" t="str">
            <v>诈骗及关联犯罪</v>
          </cell>
          <cell r="B38" t="str">
            <v>罗定市</v>
          </cell>
        </row>
        <row r="38">
          <cell r="AM38">
            <v>16</v>
          </cell>
          <cell r="AN38">
            <v>7</v>
          </cell>
          <cell r="AO38">
            <v>1.2857</v>
          </cell>
          <cell r="AP38">
            <v>47</v>
          </cell>
          <cell r="AQ38">
            <v>-0.6596</v>
          </cell>
          <cell r="AR38">
            <v>0.5333</v>
          </cell>
          <cell r="AS38">
            <v>0.3626</v>
          </cell>
          <cell r="AT38">
            <v>14</v>
          </cell>
          <cell r="AU38">
            <v>18</v>
          </cell>
          <cell r="AV38">
            <v>-0.2222</v>
          </cell>
          <cell r="AW38">
            <v>20</v>
          </cell>
          <cell r="AX38">
            <v>-0.3</v>
          </cell>
          <cell r="AY38">
            <v>2</v>
          </cell>
          <cell r="AZ38">
            <v>2</v>
          </cell>
          <cell r="BA38">
            <v>0</v>
          </cell>
          <cell r="BB38">
            <v>11</v>
          </cell>
          <cell r="BC38">
            <v>-0.8182</v>
          </cell>
          <cell r="BD38">
            <v>0.1429</v>
          </cell>
          <cell r="BE38">
            <v>0.0317</v>
          </cell>
          <cell r="BF38">
            <v>16</v>
          </cell>
          <cell r="BG38">
            <v>23</v>
          </cell>
          <cell r="BH38">
            <v>-0.3043</v>
          </cell>
          <cell r="BI38">
            <v>0</v>
          </cell>
          <cell r="BJ38" t="str">
            <v>多16起</v>
          </cell>
          <cell r="BK38">
            <v>0.5333</v>
          </cell>
          <cell r="BL38">
            <v>14</v>
          </cell>
          <cell r="BM38">
            <v>5</v>
          </cell>
          <cell r="BN38">
            <v>1.8</v>
          </cell>
          <cell r="BO38">
            <v>36</v>
          </cell>
          <cell r="BP38">
            <v>-0.6111</v>
          </cell>
          <cell r="BQ38">
            <v>6</v>
          </cell>
          <cell r="BR38">
            <v>4</v>
          </cell>
          <cell r="BS38">
            <v>0.5</v>
          </cell>
          <cell r="BT38">
            <v>12</v>
          </cell>
          <cell r="BU38">
            <v>-0.5</v>
          </cell>
          <cell r="BV38">
            <v>0.2</v>
          </cell>
          <cell r="BW38">
            <v>0.1024</v>
          </cell>
          <cell r="BX38">
            <v>0.4286</v>
          </cell>
          <cell r="BY38">
            <v>0.2063</v>
          </cell>
          <cell r="BZ38">
            <v>0</v>
          </cell>
          <cell r="CA38">
            <v>0</v>
          </cell>
          <cell r="CB38" t="str">
            <v>持平</v>
          </cell>
          <cell r="CC38">
            <v>2</v>
          </cell>
          <cell r="CD38" t="str">
            <v>少2起</v>
          </cell>
          <cell r="CE38" t="str">
            <v/>
          </cell>
          <cell r="CF38" t="str">
            <v/>
          </cell>
          <cell r="CG38">
            <v>31</v>
          </cell>
          <cell r="CH38">
            <v>43</v>
          </cell>
          <cell r="CI38">
            <v>-0.2791</v>
          </cell>
          <cell r="CJ38">
            <v>70</v>
          </cell>
          <cell r="CK38">
            <v>-0.5571</v>
          </cell>
          <cell r="CL38">
            <v>103</v>
          </cell>
          <cell r="CM38">
            <v>-2</v>
          </cell>
          <cell r="CN38">
            <v>-0.0147</v>
          </cell>
          <cell r="CO38">
            <v>31</v>
          </cell>
          <cell r="CP38">
            <v>28</v>
          </cell>
          <cell r="CQ38">
            <v>0.1071</v>
          </cell>
          <cell r="CR38">
            <v>5</v>
          </cell>
          <cell r="CS38">
            <v>5.2</v>
          </cell>
          <cell r="CT38">
            <v>1</v>
          </cell>
          <cell r="CU38">
            <v>0.3488</v>
          </cell>
          <cell r="CV38">
            <v>103</v>
          </cell>
          <cell r="CW38">
            <v>35</v>
          </cell>
          <cell r="CX38">
            <v>0.5131</v>
          </cell>
          <cell r="CY38">
            <v>33</v>
          </cell>
          <cell r="CZ38">
            <v>45</v>
          </cell>
          <cell r="DA38">
            <v>-0.2667</v>
          </cell>
          <cell r="DB38">
            <v>6</v>
          </cell>
          <cell r="DC38">
            <v>4.5</v>
          </cell>
          <cell r="DD38">
            <v>1.0645</v>
          </cell>
          <cell r="DE38">
            <v>0.018</v>
          </cell>
          <cell r="DF38">
            <v>110</v>
          </cell>
          <cell r="DG38">
            <v>0</v>
          </cell>
          <cell r="DH38">
            <v>0.0022</v>
          </cell>
          <cell r="DI38">
            <v>18</v>
          </cell>
          <cell r="DJ38">
            <v>0</v>
          </cell>
          <cell r="DK38" t="str">
            <v>多18人</v>
          </cell>
          <cell r="DL38">
            <v>7</v>
          </cell>
          <cell r="DM38">
            <v>1.5714</v>
          </cell>
          <cell r="DN38">
            <v>7</v>
          </cell>
          <cell r="DO38">
            <v>17</v>
          </cell>
          <cell r="DP38">
            <v>-0.5882</v>
          </cell>
          <cell r="DQ38">
            <v>9</v>
          </cell>
          <cell r="DR38">
            <v>-0.2222</v>
          </cell>
          <cell r="DS38">
            <v>7</v>
          </cell>
          <cell r="DT38">
            <v>17</v>
          </cell>
          <cell r="DU38">
            <v>-0.5882</v>
          </cell>
          <cell r="DV38">
            <v>9</v>
          </cell>
          <cell r="DW38">
            <v>-0.2222</v>
          </cell>
          <cell r="DX38">
            <v>6</v>
          </cell>
          <cell r="DY38">
            <v>8</v>
          </cell>
          <cell r="DZ38">
            <v>-0.25</v>
          </cell>
          <cell r="EA38">
            <v>14</v>
          </cell>
          <cell r="EB38">
            <v>-0.5714</v>
          </cell>
          <cell r="EC38">
            <v>3</v>
          </cell>
          <cell r="ED38">
            <v>3</v>
          </cell>
          <cell r="EE38">
            <v>0</v>
          </cell>
          <cell r="EF38">
            <v>10</v>
          </cell>
          <cell r="EG38">
            <v>-0.7</v>
          </cell>
          <cell r="EH38">
            <v>0.0968</v>
          </cell>
          <cell r="EI38">
            <v>-0.0104</v>
          </cell>
          <cell r="EJ38">
            <v>10</v>
          </cell>
          <cell r="EK38">
            <v>3</v>
          </cell>
          <cell r="EL38">
            <v>0.3667</v>
          </cell>
          <cell r="EM38">
            <v>3</v>
          </cell>
          <cell r="EN38">
            <v>3</v>
          </cell>
          <cell r="EO38">
            <v>0</v>
          </cell>
          <cell r="EP38">
            <v>10</v>
          </cell>
          <cell r="EQ38">
            <v>-0.7</v>
          </cell>
          <cell r="ER38">
            <v>22</v>
          </cell>
          <cell r="ES38">
            <v>8</v>
          </cell>
          <cell r="ET38">
            <v>1.75</v>
          </cell>
          <cell r="EU38">
            <v>21</v>
          </cell>
          <cell r="EV38">
            <v>0.0476</v>
          </cell>
          <cell r="EW38">
            <v>0.7097</v>
          </cell>
          <cell r="EX38">
            <v>0.424</v>
          </cell>
          <cell r="EY38">
            <v>73</v>
          </cell>
          <cell r="EZ38">
            <v>54</v>
          </cell>
          <cell r="FA38">
            <v>2.7583</v>
          </cell>
        </row>
        <row r="39">
          <cell r="A39" t="str">
            <v>打架斗殴</v>
          </cell>
          <cell r="B39" t="str">
            <v>全省</v>
          </cell>
        </row>
        <row r="39">
          <cell r="AM39">
            <v>1136</v>
          </cell>
          <cell r="AN39">
            <v>849</v>
          </cell>
          <cell r="AO39">
            <v>0.338</v>
          </cell>
          <cell r="AP39">
            <v>1488</v>
          </cell>
          <cell r="AQ39">
            <v>-0.2366</v>
          </cell>
          <cell r="AR39">
            <v>0.9676</v>
          </cell>
          <cell r="AS39">
            <v>0.1682</v>
          </cell>
          <cell r="AT39">
            <v>776</v>
          </cell>
          <cell r="AU39">
            <v>685</v>
          </cell>
          <cell r="AV39">
            <v>0.1328</v>
          </cell>
          <cell r="AW39">
            <v>1211</v>
          </cell>
          <cell r="AX39">
            <v>-0.3592</v>
          </cell>
          <cell r="AY39">
            <v>704</v>
          </cell>
          <cell r="AZ39">
            <v>541</v>
          </cell>
          <cell r="BA39">
            <v>0.3013</v>
          </cell>
          <cell r="BB39">
            <v>1301</v>
          </cell>
          <cell r="BC39">
            <v>-0.4589</v>
          </cell>
          <cell r="BD39">
            <v>0.9072</v>
          </cell>
          <cell r="BE39">
            <v>0.1174</v>
          </cell>
          <cell r="BF39">
            <v>398</v>
          </cell>
          <cell r="BG39">
            <v>377</v>
          </cell>
          <cell r="BH39">
            <v>0.0557</v>
          </cell>
          <cell r="BI39">
            <v>45</v>
          </cell>
          <cell r="BJ39">
            <v>7.8444</v>
          </cell>
          <cell r="BK39">
            <v>0.339</v>
          </cell>
          <cell r="BL39">
            <v>432</v>
          </cell>
          <cell r="BM39">
            <v>308</v>
          </cell>
          <cell r="BN39">
            <v>0.4026</v>
          </cell>
          <cell r="BO39">
            <v>187</v>
          </cell>
          <cell r="BP39">
            <v>1.3102</v>
          </cell>
          <cell r="BQ39">
            <v>749</v>
          </cell>
          <cell r="BR39">
            <v>607</v>
          </cell>
          <cell r="BS39">
            <v>0.2339</v>
          </cell>
          <cell r="BT39">
            <v>1300</v>
          </cell>
          <cell r="BU39">
            <v>-0.4238</v>
          </cell>
          <cell r="BV39">
            <v>0.638</v>
          </cell>
          <cell r="BW39">
            <v>0.0664</v>
          </cell>
          <cell r="BX39">
            <v>0.9652</v>
          </cell>
          <cell r="BY39">
            <v>0.0791</v>
          </cell>
          <cell r="BZ39">
            <v>2</v>
          </cell>
          <cell r="CA39">
            <v>3</v>
          </cell>
          <cell r="CB39">
            <v>-0.3333</v>
          </cell>
          <cell r="CC39">
            <v>13</v>
          </cell>
          <cell r="CD39">
            <v>-0.8462</v>
          </cell>
          <cell r="CE39" t="str">
            <v/>
          </cell>
          <cell r="CF39" t="str">
            <v/>
          </cell>
          <cell r="CG39">
            <v>1819</v>
          </cell>
          <cell r="CH39">
            <v>1771</v>
          </cell>
          <cell r="CI39">
            <v>0.0271</v>
          </cell>
          <cell r="CJ39">
            <v>2160</v>
          </cell>
          <cell r="CK39">
            <v>-0.1579</v>
          </cell>
          <cell r="CL39">
            <v>155</v>
          </cell>
          <cell r="CM39">
            <v>-12</v>
          </cell>
          <cell r="CN39">
            <v>-0.0709</v>
          </cell>
          <cell r="CO39">
            <v>1350</v>
          </cell>
          <cell r="CP39">
            <v>947</v>
          </cell>
          <cell r="CQ39">
            <v>0.4256</v>
          </cell>
          <cell r="CR39">
            <v>1643</v>
          </cell>
          <cell r="CS39">
            <v>-0.1783</v>
          </cell>
          <cell r="CT39">
            <v>0.7422</v>
          </cell>
          <cell r="CU39">
            <v>0.2074</v>
          </cell>
          <cell r="CV39">
            <v>115</v>
          </cell>
          <cell r="CW39">
            <v>26</v>
          </cell>
          <cell r="CX39">
            <v>0.2896</v>
          </cell>
          <cell r="CY39">
            <v>1655</v>
          </cell>
          <cell r="CZ39">
            <v>1335</v>
          </cell>
          <cell r="DA39">
            <v>0.2397</v>
          </cell>
          <cell r="DB39">
            <v>2066</v>
          </cell>
          <cell r="DC39">
            <v>-0.1989</v>
          </cell>
          <cell r="DD39">
            <v>0.9098</v>
          </cell>
          <cell r="DE39">
            <v>0.156</v>
          </cell>
          <cell r="DF39">
            <v>141</v>
          </cell>
          <cell r="DG39">
            <v>15</v>
          </cell>
          <cell r="DH39">
            <v>0.1214</v>
          </cell>
          <cell r="DI39">
            <v>1643</v>
          </cell>
          <cell r="DJ39">
            <v>1372</v>
          </cell>
          <cell r="DK39">
            <v>0.1975</v>
          </cell>
          <cell r="DL39">
            <v>2008</v>
          </cell>
          <cell r="DM39">
            <v>-0.1818</v>
          </cell>
          <cell r="DN39">
            <v>1086</v>
          </cell>
          <cell r="DO39">
            <v>1019</v>
          </cell>
          <cell r="DP39">
            <v>0.0658</v>
          </cell>
          <cell r="DQ39">
            <v>1351</v>
          </cell>
          <cell r="DR39">
            <v>-0.1962</v>
          </cell>
          <cell r="DS39">
            <v>1088</v>
          </cell>
          <cell r="DT39">
            <v>1019</v>
          </cell>
          <cell r="DU39">
            <v>0.0677</v>
          </cell>
          <cell r="DV39">
            <v>1352</v>
          </cell>
          <cell r="DW39">
            <v>-0.1953</v>
          </cell>
          <cell r="DX39">
            <v>1348</v>
          </cell>
          <cell r="DY39">
            <v>1097</v>
          </cell>
          <cell r="DZ39">
            <v>0.2288</v>
          </cell>
          <cell r="EA39">
            <v>1498</v>
          </cell>
          <cell r="EB39">
            <v>-0.1001</v>
          </cell>
          <cell r="EC39">
            <v>677</v>
          </cell>
          <cell r="ED39">
            <v>726</v>
          </cell>
          <cell r="EE39">
            <v>-0.0675</v>
          </cell>
          <cell r="EF39">
            <v>800</v>
          </cell>
          <cell r="EG39">
            <v>-0.1538</v>
          </cell>
          <cell r="EH39">
            <v>0.5015</v>
          </cell>
          <cell r="EI39">
            <v>-0.2651</v>
          </cell>
          <cell r="EJ39">
            <v>58</v>
          </cell>
          <cell r="EK39">
            <v>-11</v>
          </cell>
          <cell r="EL39">
            <v>-0.1565</v>
          </cell>
          <cell r="EM39">
            <v>701</v>
          </cell>
          <cell r="EN39">
            <v>726</v>
          </cell>
          <cell r="EO39">
            <v>-0.0344</v>
          </cell>
          <cell r="EP39">
            <v>814</v>
          </cell>
          <cell r="EQ39">
            <v>-0.1388</v>
          </cell>
          <cell r="ER39">
            <v>1220</v>
          </cell>
          <cell r="ES39">
            <v>905</v>
          </cell>
          <cell r="ET39">
            <v>0.3481</v>
          </cell>
          <cell r="EU39">
            <v>1940</v>
          </cell>
          <cell r="EV39">
            <v>-0.3711</v>
          </cell>
          <cell r="EW39">
            <v>0.9037</v>
          </cell>
          <cell r="EX39">
            <v>-0.0519</v>
          </cell>
          <cell r="EY39">
            <v>104</v>
          </cell>
          <cell r="EZ39">
            <v>19</v>
          </cell>
          <cell r="FA39">
            <v>0.2195</v>
          </cell>
        </row>
        <row r="40">
          <cell r="A40" t="str">
            <v>打架斗殴</v>
          </cell>
          <cell r="B40" t="str">
            <v>云浮</v>
          </cell>
        </row>
        <row r="40">
          <cell r="AM40">
            <v>10</v>
          </cell>
          <cell r="AN40">
            <v>5</v>
          </cell>
          <cell r="AO40">
            <v>1</v>
          </cell>
          <cell r="AP40">
            <v>14</v>
          </cell>
          <cell r="AQ40">
            <v>-0.2857</v>
          </cell>
          <cell r="AR40">
            <v>1</v>
          </cell>
          <cell r="AS40">
            <v>0.5</v>
          </cell>
          <cell r="AT40">
            <v>6</v>
          </cell>
          <cell r="AU40">
            <v>5</v>
          </cell>
          <cell r="AV40">
            <v>0.2</v>
          </cell>
          <cell r="AW40">
            <v>9</v>
          </cell>
          <cell r="AX40">
            <v>-0.3333</v>
          </cell>
          <cell r="AY40">
            <v>5</v>
          </cell>
          <cell r="AZ40">
            <v>4</v>
          </cell>
          <cell r="BA40">
            <v>0.25</v>
          </cell>
          <cell r="BB40">
            <v>12</v>
          </cell>
          <cell r="BC40">
            <v>-0.5833</v>
          </cell>
          <cell r="BD40">
            <v>0.8333</v>
          </cell>
          <cell r="BE40">
            <v>0.0333</v>
          </cell>
          <cell r="BF40">
            <v>4</v>
          </cell>
          <cell r="BG40">
            <v>5</v>
          </cell>
          <cell r="BH40">
            <v>-0.2</v>
          </cell>
          <cell r="BI40">
            <v>0</v>
          </cell>
          <cell r="BJ40" t="str">
            <v>多4起</v>
          </cell>
          <cell r="BK40">
            <v>0.4</v>
          </cell>
          <cell r="BL40">
            <v>5</v>
          </cell>
          <cell r="BM40">
            <v>1</v>
          </cell>
          <cell r="BN40">
            <v>4</v>
          </cell>
          <cell r="BO40">
            <v>2</v>
          </cell>
          <cell r="BP40">
            <v>1.5</v>
          </cell>
          <cell r="BQ40">
            <v>8</v>
          </cell>
          <cell r="BR40">
            <v>4</v>
          </cell>
          <cell r="BS40">
            <v>1</v>
          </cell>
          <cell r="BT40">
            <v>10</v>
          </cell>
          <cell r="BU40">
            <v>-0.2</v>
          </cell>
          <cell r="BV40">
            <v>0.8</v>
          </cell>
          <cell r="BW40">
            <v>0.4</v>
          </cell>
          <cell r="BX40">
            <v>1.3333</v>
          </cell>
          <cell r="BY40">
            <v>0.5333</v>
          </cell>
          <cell r="BZ40">
            <v>0</v>
          </cell>
          <cell r="CA40">
            <v>0</v>
          </cell>
          <cell r="CB40" t="str">
            <v>持平</v>
          </cell>
          <cell r="CC40">
            <v>0</v>
          </cell>
          <cell r="CD40" t="str">
            <v>持平</v>
          </cell>
          <cell r="CE40" t="str">
            <v/>
          </cell>
          <cell r="CF40" t="str">
            <v/>
          </cell>
          <cell r="CG40">
            <v>15</v>
          </cell>
          <cell r="CH40">
            <v>22</v>
          </cell>
          <cell r="CI40">
            <v>-0.3182</v>
          </cell>
          <cell r="CJ40">
            <v>5</v>
          </cell>
          <cell r="CK40">
            <v>2</v>
          </cell>
          <cell r="CL40">
            <v>150</v>
          </cell>
          <cell r="CM40">
            <v>-70</v>
          </cell>
          <cell r="CN40">
            <v>-0.3182</v>
          </cell>
          <cell r="CO40">
            <v>5</v>
          </cell>
          <cell r="CP40">
            <v>15</v>
          </cell>
          <cell r="CQ40">
            <v>-0.6667</v>
          </cell>
          <cell r="CR40">
            <v>7</v>
          </cell>
          <cell r="CS40">
            <v>-0.2857</v>
          </cell>
          <cell r="CT40">
            <v>0.3333</v>
          </cell>
          <cell r="CU40">
            <v>-0.3485</v>
          </cell>
          <cell r="CV40">
            <v>50</v>
          </cell>
          <cell r="CW40">
            <v>-100</v>
          </cell>
          <cell r="CX40">
            <v>-0.6667</v>
          </cell>
          <cell r="CY40">
            <v>7</v>
          </cell>
          <cell r="CZ40">
            <v>16</v>
          </cell>
          <cell r="DA40">
            <v>-0.5625</v>
          </cell>
          <cell r="DB40">
            <v>10</v>
          </cell>
          <cell r="DC40">
            <v>-0.3</v>
          </cell>
          <cell r="DD40">
            <v>0.4667</v>
          </cell>
          <cell r="DE40">
            <v>-0.2606</v>
          </cell>
          <cell r="DF40">
            <v>70</v>
          </cell>
          <cell r="DG40">
            <v>-90</v>
          </cell>
          <cell r="DH40">
            <v>-0.5625</v>
          </cell>
          <cell r="DI40">
            <v>6</v>
          </cell>
          <cell r="DJ40">
            <v>14</v>
          </cell>
          <cell r="DK40">
            <v>-0.5714</v>
          </cell>
          <cell r="DL40">
            <v>9</v>
          </cell>
          <cell r="DM40">
            <v>-0.3333</v>
          </cell>
          <cell r="DN40">
            <v>4</v>
          </cell>
          <cell r="DO40">
            <v>1</v>
          </cell>
          <cell r="DP40">
            <v>3</v>
          </cell>
          <cell r="DQ40">
            <v>7</v>
          </cell>
          <cell r="DR40">
            <v>-0.4286</v>
          </cell>
          <cell r="DS40">
            <v>4</v>
          </cell>
          <cell r="DT40">
            <v>1</v>
          </cell>
          <cell r="DU40">
            <v>3</v>
          </cell>
          <cell r="DV40">
            <v>7</v>
          </cell>
          <cell r="DW40">
            <v>-0.4286</v>
          </cell>
          <cell r="DX40">
            <v>8</v>
          </cell>
          <cell r="DY40">
            <v>6</v>
          </cell>
          <cell r="DZ40">
            <v>0.3333</v>
          </cell>
          <cell r="EA40">
            <v>14</v>
          </cell>
          <cell r="EB40">
            <v>-0.4286</v>
          </cell>
          <cell r="EC40">
            <v>8</v>
          </cell>
          <cell r="ED40">
            <v>6</v>
          </cell>
          <cell r="EE40">
            <v>0.3333</v>
          </cell>
          <cell r="EF40">
            <v>8</v>
          </cell>
          <cell r="EG40">
            <v>0</v>
          </cell>
          <cell r="EH40">
            <v>1.6</v>
          </cell>
          <cell r="EI40">
            <v>1.2</v>
          </cell>
          <cell r="EJ40">
            <v>80</v>
          </cell>
          <cell r="EK40">
            <v>20</v>
          </cell>
          <cell r="EL40">
            <v>0.3333</v>
          </cell>
          <cell r="EM40">
            <v>8</v>
          </cell>
          <cell r="EN40">
            <v>6</v>
          </cell>
          <cell r="EO40">
            <v>0.3333</v>
          </cell>
          <cell r="EP40">
            <v>8</v>
          </cell>
          <cell r="EQ40">
            <v>0</v>
          </cell>
          <cell r="ER40">
            <v>8</v>
          </cell>
          <cell r="ES40">
            <v>4</v>
          </cell>
          <cell r="ET40">
            <v>1</v>
          </cell>
          <cell r="EU40">
            <v>13</v>
          </cell>
          <cell r="EV40">
            <v>-0.3846</v>
          </cell>
          <cell r="EW40">
            <v>1.6</v>
          </cell>
          <cell r="EX40">
            <v>1.3333</v>
          </cell>
          <cell r="EY40">
            <v>80</v>
          </cell>
          <cell r="EZ40">
            <v>40</v>
          </cell>
          <cell r="FA40">
            <v>1</v>
          </cell>
        </row>
        <row r="41">
          <cell r="A41" t="str">
            <v>打架斗殴</v>
          </cell>
          <cell r="B41" t="str">
            <v>云城区</v>
          </cell>
        </row>
        <row r="41">
          <cell r="AM41">
            <v>1</v>
          </cell>
          <cell r="AN41">
            <v>3</v>
          </cell>
          <cell r="AO41">
            <v>-0.6667</v>
          </cell>
          <cell r="AP41">
            <v>2</v>
          </cell>
          <cell r="AQ41">
            <v>-0.5</v>
          </cell>
          <cell r="AR41">
            <v>1</v>
          </cell>
          <cell r="AS41">
            <v>0.25</v>
          </cell>
          <cell r="AT41">
            <v>1</v>
          </cell>
          <cell r="AU41">
            <v>3</v>
          </cell>
          <cell r="AV41">
            <v>-0.6667</v>
          </cell>
          <cell r="AW41">
            <v>2</v>
          </cell>
          <cell r="AX41">
            <v>-0.5</v>
          </cell>
          <cell r="AY41">
            <v>1</v>
          </cell>
          <cell r="AZ41">
            <v>2</v>
          </cell>
          <cell r="BA41">
            <v>-0.5</v>
          </cell>
          <cell r="BB41">
            <v>2</v>
          </cell>
          <cell r="BC41">
            <v>-0.5</v>
          </cell>
          <cell r="BD41">
            <v>1</v>
          </cell>
          <cell r="BE41">
            <v>0.3333</v>
          </cell>
          <cell r="BF41">
            <v>0</v>
          </cell>
          <cell r="BG41">
            <v>1</v>
          </cell>
          <cell r="BH41" t="str">
            <v>少1起</v>
          </cell>
          <cell r="BI41">
            <v>0</v>
          </cell>
          <cell r="BJ41" t="str">
            <v>持平</v>
          </cell>
          <cell r="BK41">
            <v>0</v>
          </cell>
          <cell r="BL41">
            <v>0</v>
          </cell>
          <cell r="BM41">
            <v>1</v>
          </cell>
          <cell r="BN41" t="str">
            <v>少1起</v>
          </cell>
          <cell r="BO41">
            <v>0</v>
          </cell>
          <cell r="BP41" t="str">
            <v>持平</v>
          </cell>
          <cell r="BQ41">
            <v>1</v>
          </cell>
          <cell r="BR41">
            <v>2</v>
          </cell>
          <cell r="BS41">
            <v>-0.5</v>
          </cell>
          <cell r="BT41">
            <v>2</v>
          </cell>
          <cell r="BU41">
            <v>-0.5</v>
          </cell>
          <cell r="BV41">
            <v>1</v>
          </cell>
          <cell r="BW41">
            <v>0.5</v>
          </cell>
          <cell r="BX41">
            <v>1</v>
          </cell>
          <cell r="BY41">
            <v>0.3333</v>
          </cell>
          <cell r="BZ41">
            <v>0</v>
          </cell>
          <cell r="CA41">
            <v>0</v>
          </cell>
          <cell r="CB41" t="str">
            <v>持平</v>
          </cell>
          <cell r="CC41">
            <v>0</v>
          </cell>
          <cell r="CD41" t="str">
            <v>持平</v>
          </cell>
          <cell r="CE41" t="str">
            <v/>
          </cell>
          <cell r="CF41" t="str">
            <v/>
          </cell>
          <cell r="CG41">
            <v>1</v>
          </cell>
          <cell r="CH41">
            <v>8</v>
          </cell>
          <cell r="CI41">
            <v>-0.875</v>
          </cell>
          <cell r="CJ41">
            <v>1</v>
          </cell>
          <cell r="CK41">
            <v>0</v>
          </cell>
          <cell r="CL41">
            <v>100</v>
          </cell>
          <cell r="CM41">
            <v>-100</v>
          </cell>
          <cell r="CN41">
            <v>-0.5</v>
          </cell>
          <cell r="CO41">
            <v>1</v>
          </cell>
          <cell r="CP41">
            <v>9</v>
          </cell>
          <cell r="CQ41">
            <v>-0.8889</v>
          </cell>
          <cell r="CR41">
            <v>0</v>
          </cell>
          <cell r="CS41" t="str">
            <v>多1人</v>
          </cell>
          <cell r="CT41">
            <v>1</v>
          </cell>
          <cell r="CU41">
            <v>-0.125</v>
          </cell>
          <cell r="CV41">
            <v>100</v>
          </cell>
          <cell r="CW41">
            <v>-125</v>
          </cell>
          <cell r="CX41">
            <v>-0.5556</v>
          </cell>
          <cell r="CY41">
            <v>1</v>
          </cell>
          <cell r="CZ41">
            <v>9</v>
          </cell>
          <cell r="DA41">
            <v>-0.8889</v>
          </cell>
          <cell r="DB41">
            <v>1</v>
          </cell>
          <cell r="DC41">
            <v>0</v>
          </cell>
          <cell r="DD41">
            <v>1</v>
          </cell>
          <cell r="DE41">
            <v>-0.125</v>
          </cell>
          <cell r="DF41">
            <v>100</v>
          </cell>
          <cell r="DG41">
            <v>-125</v>
          </cell>
          <cell r="DH41">
            <v>-0.5556</v>
          </cell>
          <cell r="DI41">
            <v>0</v>
          </cell>
          <cell r="DJ41">
            <v>0</v>
          </cell>
          <cell r="DK41" t="str">
            <v>持平</v>
          </cell>
          <cell r="DL41">
            <v>0</v>
          </cell>
          <cell r="DM41" t="str">
            <v>持平</v>
          </cell>
          <cell r="DN41">
            <v>0</v>
          </cell>
          <cell r="DO41">
            <v>0</v>
          </cell>
          <cell r="DP41" t="str">
            <v>持平</v>
          </cell>
          <cell r="DQ41">
            <v>1</v>
          </cell>
          <cell r="DR41" t="str">
            <v>少1人</v>
          </cell>
          <cell r="DS41">
            <v>0</v>
          </cell>
          <cell r="DT41">
            <v>0</v>
          </cell>
          <cell r="DU41" t="str">
            <v>持平</v>
          </cell>
          <cell r="DV41">
            <v>1</v>
          </cell>
          <cell r="DW41" t="str">
            <v>少1人</v>
          </cell>
          <cell r="DX41">
            <v>0</v>
          </cell>
          <cell r="DY41">
            <v>2</v>
          </cell>
          <cell r="DZ41" t="str">
            <v>少2人</v>
          </cell>
          <cell r="EA41">
            <v>1</v>
          </cell>
          <cell r="EB41" t="str">
            <v>少1人</v>
          </cell>
          <cell r="EC41">
            <v>0</v>
          </cell>
          <cell r="ED41">
            <v>2</v>
          </cell>
          <cell r="EE41" t="str">
            <v>少2人</v>
          </cell>
          <cell r="EF41">
            <v>0</v>
          </cell>
          <cell r="EG41" t="str">
            <v>持平</v>
          </cell>
          <cell r="EH41">
            <v>0</v>
          </cell>
          <cell r="EI41">
            <v>-0.2222</v>
          </cell>
          <cell r="EJ41">
            <v>0</v>
          </cell>
          <cell r="EK41">
            <v>-50</v>
          </cell>
          <cell r="EL41">
            <v>-1</v>
          </cell>
          <cell r="EM41">
            <v>0</v>
          </cell>
          <cell r="EN41">
            <v>2</v>
          </cell>
          <cell r="EO41" t="str">
            <v>少2人</v>
          </cell>
          <cell r="EP41">
            <v>0</v>
          </cell>
          <cell r="EQ41" t="str">
            <v>持平</v>
          </cell>
          <cell r="ER41">
            <v>1</v>
          </cell>
          <cell r="ES41">
            <v>2</v>
          </cell>
          <cell r="ET41">
            <v>-0.5</v>
          </cell>
          <cell r="EU41">
            <v>2</v>
          </cell>
          <cell r="EV41">
            <v>-0.5</v>
          </cell>
          <cell r="EW41">
            <v>1</v>
          </cell>
          <cell r="EX41">
            <v>0.7778</v>
          </cell>
          <cell r="EY41">
            <v>100</v>
          </cell>
          <cell r="EZ41">
            <v>50</v>
          </cell>
          <cell r="FA41">
            <v>1</v>
          </cell>
        </row>
        <row r="42">
          <cell r="A42" t="str">
            <v>打架斗殴</v>
          </cell>
          <cell r="B42" t="str">
            <v>云安区</v>
          </cell>
        </row>
        <row r="42">
          <cell r="AM42">
            <v>0</v>
          </cell>
          <cell r="AN42">
            <v>0</v>
          </cell>
          <cell r="AO42" t="str">
            <v>持平</v>
          </cell>
          <cell r="AP42">
            <v>0</v>
          </cell>
          <cell r="AQ42" t="str">
            <v>持平</v>
          </cell>
          <cell r="AR42" t="str">
            <v/>
          </cell>
          <cell r="AS42" t="str">
            <v/>
          </cell>
          <cell r="AT42">
            <v>0</v>
          </cell>
          <cell r="AU42">
            <v>0</v>
          </cell>
          <cell r="AV42" t="str">
            <v>持平</v>
          </cell>
          <cell r="AW42">
            <v>0</v>
          </cell>
          <cell r="AX42" t="str">
            <v>持平</v>
          </cell>
          <cell r="AY42">
            <v>0</v>
          </cell>
          <cell r="AZ42">
            <v>0</v>
          </cell>
          <cell r="BA42" t="str">
            <v>持平</v>
          </cell>
          <cell r="BB42">
            <v>0</v>
          </cell>
          <cell r="BC42" t="str">
            <v>持平</v>
          </cell>
          <cell r="BD42" t="str">
            <v/>
          </cell>
          <cell r="BE42" t="str">
            <v/>
          </cell>
          <cell r="BF42">
            <v>0</v>
          </cell>
          <cell r="BG42">
            <v>0</v>
          </cell>
          <cell r="BH42" t="str">
            <v>持平</v>
          </cell>
          <cell r="BI42">
            <v>0</v>
          </cell>
          <cell r="BJ42" t="str">
            <v>持平</v>
          </cell>
          <cell r="BK42" t="str">
            <v/>
          </cell>
          <cell r="BL42">
            <v>0</v>
          </cell>
          <cell r="BM42">
            <v>0</v>
          </cell>
          <cell r="BN42" t="str">
            <v>持平</v>
          </cell>
          <cell r="BO42">
            <v>0</v>
          </cell>
          <cell r="BP42" t="str">
            <v>持平</v>
          </cell>
          <cell r="BQ42">
            <v>0</v>
          </cell>
          <cell r="BR42">
            <v>0</v>
          </cell>
          <cell r="BS42" t="str">
            <v>持平</v>
          </cell>
          <cell r="BT42">
            <v>1</v>
          </cell>
          <cell r="BU42" t="str">
            <v>少1起</v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0</v>
          </cell>
          <cell r="CA42">
            <v>0</v>
          </cell>
          <cell r="CB42" t="str">
            <v>持平</v>
          </cell>
          <cell r="CC42">
            <v>0</v>
          </cell>
          <cell r="CD42" t="str">
            <v>持平</v>
          </cell>
          <cell r="CE42" t="str">
            <v/>
          </cell>
          <cell r="CF42" t="str">
            <v/>
          </cell>
          <cell r="CG42">
            <v>1</v>
          </cell>
          <cell r="CH42">
            <v>0</v>
          </cell>
          <cell r="CI42" t="str">
            <v>多1人</v>
          </cell>
          <cell r="CJ42">
            <v>0</v>
          </cell>
          <cell r="CK42" t="str">
            <v>多1人</v>
          </cell>
          <cell r="CL42" t="str">
            <v/>
          </cell>
          <cell r="CM42" t="str">
            <v/>
          </cell>
          <cell r="CN42" t="str">
            <v/>
          </cell>
          <cell r="CO42">
            <v>0</v>
          </cell>
          <cell r="CP42">
            <v>0</v>
          </cell>
          <cell r="CQ42" t="str">
            <v>持平</v>
          </cell>
          <cell r="CR42">
            <v>0</v>
          </cell>
          <cell r="CS42" t="str">
            <v>持平</v>
          </cell>
          <cell r="CT42">
            <v>0</v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0</v>
          </cell>
          <cell r="CZ42">
            <v>0</v>
          </cell>
          <cell r="DA42" t="str">
            <v>持平</v>
          </cell>
          <cell r="DB42">
            <v>0</v>
          </cell>
          <cell r="DC42" t="str">
            <v>持平</v>
          </cell>
          <cell r="DD42">
            <v>0</v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>
            <v>0</v>
          </cell>
          <cell r="DJ42">
            <v>0</v>
          </cell>
          <cell r="DK42" t="str">
            <v>持平</v>
          </cell>
          <cell r="DL42">
            <v>0</v>
          </cell>
          <cell r="DM42" t="str">
            <v>持平</v>
          </cell>
          <cell r="DN42">
            <v>0</v>
          </cell>
          <cell r="DO42">
            <v>0</v>
          </cell>
          <cell r="DP42" t="str">
            <v>持平</v>
          </cell>
          <cell r="DQ42">
            <v>0</v>
          </cell>
          <cell r="DR42" t="str">
            <v>持平</v>
          </cell>
          <cell r="DS42">
            <v>0</v>
          </cell>
          <cell r="DT42">
            <v>0</v>
          </cell>
          <cell r="DU42" t="str">
            <v>持平</v>
          </cell>
          <cell r="DV42">
            <v>0</v>
          </cell>
          <cell r="DW42" t="str">
            <v>持平</v>
          </cell>
          <cell r="DX42">
            <v>0</v>
          </cell>
          <cell r="DY42">
            <v>0</v>
          </cell>
          <cell r="DZ42" t="str">
            <v>持平</v>
          </cell>
          <cell r="EA42">
            <v>0</v>
          </cell>
          <cell r="EB42" t="str">
            <v>持平</v>
          </cell>
          <cell r="EC42">
            <v>0</v>
          </cell>
          <cell r="ED42">
            <v>0</v>
          </cell>
          <cell r="EE42" t="str">
            <v>持平</v>
          </cell>
          <cell r="EF42">
            <v>0</v>
          </cell>
          <cell r="EG42" t="str">
            <v>持平</v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>
            <v>0</v>
          </cell>
          <cell r="EN42">
            <v>0</v>
          </cell>
          <cell r="EO42" t="str">
            <v>持平</v>
          </cell>
          <cell r="EP42">
            <v>0</v>
          </cell>
          <cell r="EQ42" t="str">
            <v>持平</v>
          </cell>
          <cell r="ER42">
            <v>0</v>
          </cell>
          <cell r="ES42">
            <v>0</v>
          </cell>
          <cell r="ET42" t="str">
            <v>持平</v>
          </cell>
          <cell r="EU42">
            <v>1</v>
          </cell>
          <cell r="EV42" t="str">
            <v>少1人</v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</row>
        <row r="43">
          <cell r="A43" t="str">
            <v>打架斗殴</v>
          </cell>
          <cell r="B43" t="str">
            <v>新兴县</v>
          </cell>
        </row>
        <row r="43">
          <cell r="AM43">
            <v>2</v>
          </cell>
          <cell r="AN43">
            <v>0</v>
          </cell>
          <cell r="AO43" t="str">
            <v>多2起</v>
          </cell>
          <cell r="AP43">
            <v>4</v>
          </cell>
          <cell r="AQ43">
            <v>-0.5</v>
          </cell>
          <cell r="AR43">
            <v>1</v>
          </cell>
          <cell r="AS43">
            <v>1</v>
          </cell>
          <cell r="AT43">
            <v>2</v>
          </cell>
          <cell r="AU43">
            <v>0</v>
          </cell>
          <cell r="AV43" t="str">
            <v>多2起</v>
          </cell>
          <cell r="AW43">
            <v>2</v>
          </cell>
          <cell r="AX43">
            <v>0</v>
          </cell>
          <cell r="AY43">
            <v>2</v>
          </cell>
          <cell r="AZ43">
            <v>0</v>
          </cell>
          <cell r="BA43" t="str">
            <v>多2起</v>
          </cell>
          <cell r="BB43">
            <v>4</v>
          </cell>
          <cell r="BC43">
            <v>-0.5</v>
          </cell>
          <cell r="BD43">
            <v>1</v>
          </cell>
          <cell r="BE43" t="str">
            <v/>
          </cell>
          <cell r="BF43">
            <v>0</v>
          </cell>
          <cell r="BG43">
            <v>3</v>
          </cell>
          <cell r="BH43" t="str">
            <v>少3起</v>
          </cell>
          <cell r="BI43">
            <v>0</v>
          </cell>
          <cell r="BJ43" t="str">
            <v>持平</v>
          </cell>
          <cell r="BK43">
            <v>0</v>
          </cell>
          <cell r="BL43">
            <v>0</v>
          </cell>
          <cell r="BM43">
            <v>0</v>
          </cell>
          <cell r="BN43" t="str">
            <v>持平</v>
          </cell>
          <cell r="BO43">
            <v>0</v>
          </cell>
          <cell r="BP43" t="str">
            <v>持平</v>
          </cell>
          <cell r="BQ43">
            <v>2</v>
          </cell>
          <cell r="BR43">
            <v>1</v>
          </cell>
          <cell r="BS43">
            <v>1</v>
          </cell>
          <cell r="BT43">
            <v>2</v>
          </cell>
          <cell r="BU43">
            <v>0</v>
          </cell>
          <cell r="BV43">
            <v>1</v>
          </cell>
          <cell r="BW43">
            <v>0.6667</v>
          </cell>
          <cell r="BX43">
            <v>1</v>
          </cell>
          <cell r="BY43" t="str">
            <v/>
          </cell>
          <cell r="BZ43">
            <v>0</v>
          </cell>
          <cell r="CA43">
            <v>0</v>
          </cell>
          <cell r="CB43" t="str">
            <v>持平</v>
          </cell>
          <cell r="CC43">
            <v>0</v>
          </cell>
          <cell r="CD43" t="str">
            <v>持平</v>
          </cell>
          <cell r="CE43" t="str">
            <v/>
          </cell>
          <cell r="CF43" t="str">
            <v/>
          </cell>
          <cell r="CG43">
            <v>4</v>
          </cell>
          <cell r="CH43">
            <v>1</v>
          </cell>
          <cell r="CI43">
            <v>3</v>
          </cell>
          <cell r="CJ43">
            <v>1</v>
          </cell>
          <cell r="CK43">
            <v>3</v>
          </cell>
          <cell r="CL43">
            <v>200</v>
          </cell>
          <cell r="CM43">
            <v>167</v>
          </cell>
          <cell r="CN43">
            <v>5</v>
          </cell>
          <cell r="CO43">
            <v>0</v>
          </cell>
          <cell r="CP43">
            <v>4</v>
          </cell>
          <cell r="CQ43" t="str">
            <v>少4人</v>
          </cell>
          <cell r="CR43">
            <v>1</v>
          </cell>
          <cell r="CS43" t="str">
            <v>少1人</v>
          </cell>
          <cell r="CT43">
            <v>0</v>
          </cell>
          <cell r="CU43">
            <v>-4</v>
          </cell>
          <cell r="CV43">
            <v>0</v>
          </cell>
          <cell r="CW43">
            <v>-133</v>
          </cell>
          <cell r="CX43">
            <v>-1</v>
          </cell>
          <cell r="CY43">
            <v>1</v>
          </cell>
          <cell r="CZ43">
            <v>4</v>
          </cell>
          <cell r="DA43">
            <v>-0.75</v>
          </cell>
          <cell r="DB43">
            <v>3</v>
          </cell>
          <cell r="DC43">
            <v>-0.6667</v>
          </cell>
          <cell r="DD43">
            <v>0.25</v>
          </cell>
          <cell r="DE43">
            <v>-3.75</v>
          </cell>
          <cell r="DF43">
            <v>50</v>
          </cell>
          <cell r="DG43">
            <v>-83</v>
          </cell>
          <cell r="DH43">
            <v>-0.625</v>
          </cell>
          <cell r="DI43">
            <v>1</v>
          </cell>
          <cell r="DJ43">
            <v>3</v>
          </cell>
          <cell r="DK43">
            <v>-0.6667</v>
          </cell>
          <cell r="DL43">
            <v>2</v>
          </cell>
          <cell r="DM43">
            <v>-0.5</v>
          </cell>
          <cell r="DN43">
            <v>2</v>
          </cell>
          <cell r="DO43">
            <v>0</v>
          </cell>
          <cell r="DP43" t="str">
            <v>多2人</v>
          </cell>
          <cell r="DQ43">
            <v>2</v>
          </cell>
          <cell r="DR43">
            <v>0</v>
          </cell>
          <cell r="DS43">
            <v>2</v>
          </cell>
          <cell r="DT43">
            <v>0</v>
          </cell>
          <cell r="DU43" t="str">
            <v>多2人</v>
          </cell>
          <cell r="DV43">
            <v>2</v>
          </cell>
          <cell r="DW43">
            <v>0</v>
          </cell>
          <cell r="DX43">
            <v>1</v>
          </cell>
          <cell r="DY43">
            <v>0</v>
          </cell>
          <cell r="DZ43" t="str">
            <v>多1人</v>
          </cell>
          <cell r="EA43">
            <v>2</v>
          </cell>
          <cell r="EB43">
            <v>-0.5</v>
          </cell>
          <cell r="EC43">
            <v>1</v>
          </cell>
          <cell r="ED43">
            <v>0</v>
          </cell>
          <cell r="EE43" t="str">
            <v>多1人</v>
          </cell>
          <cell r="EF43">
            <v>1</v>
          </cell>
          <cell r="EG43">
            <v>0</v>
          </cell>
          <cell r="EH43" t="str">
            <v/>
          </cell>
          <cell r="EI43" t="str">
            <v/>
          </cell>
          <cell r="EJ43">
            <v>50</v>
          </cell>
          <cell r="EK43">
            <v>50</v>
          </cell>
          <cell r="EL43" t="str">
            <v/>
          </cell>
          <cell r="EM43">
            <v>1</v>
          </cell>
          <cell r="EN43">
            <v>0</v>
          </cell>
          <cell r="EO43" t="str">
            <v>多1人</v>
          </cell>
          <cell r="EP43">
            <v>1</v>
          </cell>
          <cell r="EQ43">
            <v>0</v>
          </cell>
          <cell r="ER43">
            <v>2</v>
          </cell>
          <cell r="ES43">
            <v>1</v>
          </cell>
          <cell r="ET43">
            <v>1</v>
          </cell>
          <cell r="EU43">
            <v>3</v>
          </cell>
          <cell r="EV43">
            <v>-0.3333</v>
          </cell>
          <cell r="EW43" t="str">
            <v/>
          </cell>
          <cell r="EX43" t="str">
            <v/>
          </cell>
          <cell r="EY43">
            <v>100</v>
          </cell>
          <cell r="EZ43">
            <v>67</v>
          </cell>
          <cell r="FA43">
            <v>2</v>
          </cell>
        </row>
        <row r="44">
          <cell r="A44" t="str">
            <v>打架斗殴</v>
          </cell>
          <cell r="B44" t="str">
            <v>郁南县</v>
          </cell>
        </row>
        <row r="44">
          <cell r="AM44">
            <v>2</v>
          </cell>
          <cell r="AN44">
            <v>0</v>
          </cell>
          <cell r="AO44" t="str">
            <v>多2起</v>
          </cell>
          <cell r="AP44">
            <v>0</v>
          </cell>
          <cell r="AQ44" t="str">
            <v>多2起</v>
          </cell>
          <cell r="AR44">
            <v>1</v>
          </cell>
          <cell r="AS44" t="str">
            <v/>
          </cell>
          <cell r="AT44">
            <v>1</v>
          </cell>
          <cell r="AU44">
            <v>0</v>
          </cell>
          <cell r="AV44" t="str">
            <v>多1起</v>
          </cell>
          <cell r="AW44">
            <v>0</v>
          </cell>
          <cell r="AX44" t="str">
            <v>多1起</v>
          </cell>
          <cell r="AY44">
            <v>1</v>
          </cell>
          <cell r="AZ44">
            <v>0</v>
          </cell>
          <cell r="BA44" t="str">
            <v>多1起</v>
          </cell>
          <cell r="BB44">
            <v>0</v>
          </cell>
          <cell r="BC44" t="str">
            <v>多1起</v>
          </cell>
          <cell r="BD44">
            <v>1</v>
          </cell>
          <cell r="BE44" t="str">
            <v/>
          </cell>
          <cell r="BF44">
            <v>1</v>
          </cell>
          <cell r="BG44">
            <v>0</v>
          </cell>
          <cell r="BH44" t="str">
            <v>多1起</v>
          </cell>
          <cell r="BI44">
            <v>0</v>
          </cell>
          <cell r="BJ44" t="str">
            <v>多1起</v>
          </cell>
          <cell r="BK44">
            <v>0.5</v>
          </cell>
          <cell r="BL44">
            <v>1</v>
          </cell>
          <cell r="BM44">
            <v>0</v>
          </cell>
          <cell r="BN44" t="str">
            <v>多1起</v>
          </cell>
          <cell r="BO44">
            <v>0</v>
          </cell>
          <cell r="BP44" t="str">
            <v>多1起</v>
          </cell>
          <cell r="BQ44">
            <v>0</v>
          </cell>
          <cell r="BR44">
            <v>0</v>
          </cell>
          <cell r="BS44" t="str">
            <v>持平</v>
          </cell>
          <cell r="BT44">
            <v>0</v>
          </cell>
          <cell r="BU44" t="str">
            <v>持平</v>
          </cell>
          <cell r="BV44">
            <v>0</v>
          </cell>
          <cell r="BW44" t="str">
            <v/>
          </cell>
          <cell r="BX44">
            <v>0</v>
          </cell>
          <cell r="BY44" t="str">
            <v/>
          </cell>
          <cell r="BZ44">
            <v>0</v>
          </cell>
          <cell r="CA44">
            <v>0</v>
          </cell>
          <cell r="CB44" t="str">
            <v>持平</v>
          </cell>
          <cell r="CC44">
            <v>0</v>
          </cell>
          <cell r="CD44" t="str">
            <v>持平</v>
          </cell>
          <cell r="CE44" t="str">
            <v/>
          </cell>
          <cell r="CF44" t="str">
            <v/>
          </cell>
          <cell r="CG44">
            <v>2</v>
          </cell>
          <cell r="CH44">
            <v>0</v>
          </cell>
          <cell r="CI44" t="str">
            <v>多2人</v>
          </cell>
          <cell r="CJ44">
            <v>0</v>
          </cell>
          <cell r="CK44" t="str">
            <v>多2人</v>
          </cell>
          <cell r="CL44">
            <v>100</v>
          </cell>
          <cell r="CM44" t="str">
            <v/>
          </cell>
          <cell r="CN44" t="str">
            <v/>
          </cell>
          <cell r="CO44">
            <v>1</v>
          </cell>
          <cell r="CP44">
            <v>0</v>
          </cell>
          <cell r="CQ44" t="str">
            <v>多1人</v>
          </cell>
          <cell r="CR44">
            <v>0</v>
          </cell>
          <cell r="CS44" t="str">
            <v>多1人</v>
          </cell>
          <cell r="CT44">
            <v>0.5</v>
          </cell>
          <cell r="CU44" t="str">
            <v/>
          </cell>
          <cell r="CV44">
            <v>50</v>
          </cell>
          <cell r="CW44" t="str">
            <v/>
          </cell>
          <cell r="CX44" t="str">
            <v/>
          </cell>
          <cell r="CY44">
            <v>2</v>
          </cell>
          <cell r="CZ44">
            <v>0</v>
          </cell>
          <cell r="DA44" t="str">
            <v>多2人</v>
          </cell>
          <cell r="DB44">
            <v>0</v>
          </cell>
          <cell r="DC44" t="str">
            <v>多2人</v>
          </cell>
          <cell r="DD44">
            <v>1</v>
          </cell>
          <cell r="DE44" t="str">
            <v/>
          </cell>
          <cell r="DF44">
            <v>100</v>
          </cell>
          <cell r="DG44" t="str">
            <v/>
          </cell>
          <cell r="DH44" t="str">
            <v/>
          </cell>
          <cell r="DI44">
            <v>2</v>
          </cell>
          <cell r="DJ44">
            <v>0</v>
          </cell>
          <cell r="DK44" t="str">
            <v>多2人</v>
          </cell>
          <cell r="DL44">
            <v>0</v>
          </cell>
          <cell r="DM44" t="str">
            <v>多2人</v>
          </cell>
          <cell r="DN44">
            <v>1</v>
          </cell>
          <cell r="DO44">
            <v>0</v>
          </cell>
          <cell r="DP44" t="str">
            <v>多1人</v>
          </cell>
          <cell r="DQ44">
            <v>0</v>
          </cell>
          <cell r="DR44" t="str">
            <v>多1人</v>
          </cell>
          <cell r="DS44">
            <v>1</v>
          </cell>
          <cell r="DT44">
            <v>0</v>
          </cell>
          <cell r="DU44" t="str">
            <v>多1人</v>
          </cell>
          <cell r="DV44">
            <v>0</v>
          </cell>
          <cell r="DW44" t="str">
            <v>多1人</v>
          </cell>
          <cell r="DX44">
            <v>3</v>
          </cell>
          <cell r="DY44">
            <v>0</v>
          </cell>
          <cell r="DZ44" t="str">
            <v>多3人</v>
          </cell>
          <cell r="EA44">
            <v>0</v>
          </cell>
          <cell r="EB44" t="str">
            <v>多3人</v>
          </cell>
          <cell r="EC44">
            <v>1</v>
          </cell>
          <cell r="ED44">
            <v>0</v>
          </cell>
          <cell r="EE44" t="str">
            <v>多1人</v>
          </cell>
          <cell r="EF44">
            <v>0</v>
          </cell>
          <cell r="EG44" t="str">
            <v>多1人</v>
          </cell>
          <cell r="EH44">
            <v>1</v>
          </cell>
          <cell r="EI44" t="str">
            <v/>
          </cell>
          <cell r="EJ44">
            <v>50</v>
          </cell>
          <cell r="EK44" t="str">
            <v/>
          </cell>
          <cell r="EL44" t="str">
            <v/>
          </cell>
          <cell r="EM44">
            <v>1</v>
          </cell>
          <cell r="EN44">
            <v>0</v>
          </cell>
          <cell r="EO44" t="str">
            <v>多1人</v>
          </cell>
          <cell r="EP44">
            <v>0</v>
          </cell>
          <cell r="EQ44" t="str">
            <v>多1人</v>
          </cell>
          <cell r="ER44">
            <v>0</v>
          </cell>
          <cell r="ES44">
            <v>0</v>
          </cell>
          <cell r="ET44" t="str">
            <v>持平</v>
          </cell>
          <cell r="EU44">
            <v>0</v>
          </cell>
          <cell r="EV44" t="str">
            <v>持平</v>
          </cell>
          <cell r="EW44">
            <v>0</v>
          </cell>
          <cell r="EX44" t="str">
            <v/>
          </cell>
          <cell r="EY44">
            <v>0</v>
          </cell>
          <cell r="EZ44" t="str">
            <v/>
          </cell>
          <cell r="FA44" t="str">
            <v/>
          </cell>
        </row>
        <row r="45">
          <cell r="A45" t="str">
            <v>打架斗殴</v>
          </cell>
          <cell r="B45" t="str">
            <v>罗定市</v>
          </cell>
        </row>
        <row r="45">
          <cell r="AM45">
            <v>5</v>
          </cell>
          <cell r="AN45">
            <v>2</v>
          </cell>
          <cell r="AO45">
            <v>1.5</v>
          </cell>
          <cell r="AP45">
            <v>8</v>
          </cell>
          <cell r="AQ45">
            <v>-0.375</v>
          </cell>
          <cell r="AR45">
            <v>1</v>
          </cell>
          <cell r="AS45">
            <v>0.3333</v>
          </cell>
          <cell r="AT45">
            <v>2</v>
          </cell>
          <cell r="AU45">
            <v>2</v>
          </cell>
          <cell r="AV45">
            <v>0</v>
          </cell>
          <cell r="AW45">
            <v>5</v>
          </cell>
          <cell r="AX45">
            <v>-0.6</v>
          </cell>
          <cell r="AY45">
            <v>1</v>
          </cell>
          <cell r="AZ45">
            <v>2</v>
          </cell>
          <cell r="BA45">
            <v>-0.5</v>
          </cell>
          <cell r="BB45">
            <v>6</v>
          </cell>
          <cell r="BC45">
            <v>-0.8333</v>
          </cell>
          <cell r="BD45">
            <v>0.5</v>
          </cell>
          <cell r="BE45">
            <v>-0.5</v>
          </cell>
          <cell r="BF45">
            <v>3</v>
          </cell>
          <cell r="BG45">
            <v>1</v>
          </cell>
          <cell r="BH45">
            <v>2</v>
          </cell>
          <cell r="BI45">
            <v>0</v>
          </cell>
          <cell r="BJ45" t="str">
            <v>多3起</v>
          </cell>
          <cell r="BK45">
            <v>0.6</v>
          </cell>
          <cell r="BL45">
            <v>4</v>
          </cell>
          <cell r="BM45">
            <v>0</v>
          </cell>
          <cell r="BN45" t="str">
            <v>多4起</v>
          </cell>
          <cell r="BO45">
            <v>2</v>
          </cell>
          <cell r="BP45">
            <v>1</v>
          </cell>
          <cell r="BQ45">
            <v>5</v>
          </cell>
          <cell r="BR45">
            <v>1</v>
          </cell>
          <cell r="BS45">
            <v>4</v>
          </cell>
          <cell r="BT45">
            <v>5</v>
          </cell>
          <cell r="BU45">
            <v>0</v>
          </cell>
          <cell r="BV45">
            <v>1</v>
          </cell>
          <cell r="BW45">
            <v>0.6667</v>
          </cell>
          <cell r="BX45">
            <v>2.5</v>
          </cell>
          <cell r="BY45">
            <v>2</v>
          </cell>
          <cell r="BZ45">
            <v>0</v>
          </cell>
          <cell r="CA45">
            <v>0</v>
          </cell>
          <cell r="CB45" t="str">
            <v>持平</v>
          </cell>
          <cell r="CC45">
            <v>0</v>
          </cell>
          <cell r="CD45" t="str">
            <v>持平</v>
          </cell>
          <cell r="CE45" t="str">
            <v/>
          </cell>
          <cell r="CF45" t="str">
            <v/>
          </cell>
          <cell r="CG45">
            <v>7</v>
          </cell>
          <cell r="CH45">
            <v>13</v>
          </cell>
          <cell r="CI45">
            <v>-0.4615</v>
          </cell>
          <cell r="CJ45">
            <v>3</v>
          </cell>
          <cell r="CK45">
            <v>1.3333</v>
          </cell>
          <cell r="CL45">
            <v>140</v>
          </cell>
          <cell r="CM45">
            <v>-293</v>
          </cell>
          <cell r="CN45">
            <v>-0.6769</v>
          </cell>
          <cell r="CO45">
            <v>3</v>
          </cell>
          <cell r="CP45">
            <v>2</v>
          </cell>
          <cell r="CQ45">
            <v>0.5</v>
          </cell>
          <cell r="CR45">
            <v>6</v>
          </cell>
          <cell r="CS45">
            <v>-0.5</v>
          </cell>
          <cell r="CT45">
            <v>0.4286</v>
          </cell>
          <cell r="CU45">
            <v>0.2747</v>
          </cell>
          <cell r="CV45">
            <v>60</v>
          </cell>
          <cell r="CW45">
            <v>-7</v>
          </cell>
          <cell r="CX45">
            <v>-0.1</v>
          </cell>
          <cell r="CY45">
            <v>3</v>
          </cell>
          <cell r="CZ45">
            <v>3</v>
          </cell>
          <cell r="DA45">
            <v>0</v>
          </cell>
          <cell r="DB45">
            <v>6</v>
          </cell>
          <cell r="DC45">
            <v>-0.5</v>
          </cell>
          <cell r="DD45">
            <v>0.4286</v>
          </cell>
          <cell r="DE45">
            <v>0.1978</v>
          </cell>
          <cell r="DF45">
            <v>60</v>
          </cell>
          <cell r="DG45">
            <v>-40</v>
          </cell>
          <cell r="DH45">
            <v>-0.4</v>
          </cell>
          <cell r="DI45">
            <v>2</v>
          </cell>
          <cell r="DJ45">
            <v>0</v>
          </cell>
          <cell r="DK45" t="str">
            <v>多2人</v>
          </cell>
          <cell r="DL45">
            <v>6</v>
          </cell>
          <cell r="DM45">
            <v>-0.6667</v>
          </cell>
          <cell r="DN45">
            <v>1</v>
          </cell>
          <cell r="DO45">
            <v>1</v>
          </cell>
          <cell r="DP45">
            <v>0</v>
          </cell>
          <cell r="DQ45">
            <v>4</v>
          </cell>
          <cell r="DR45">
            <v>-0.75</v>
          </cell>
          <cell r="DS45">
            <v>1</v>
          </cell>
          <cell r="DT45">
            <v>1</v>
          </cell>
          <cell r="DU45">
            <v>0</v>
          </cell>
          <cell r="DV45">
            <v>4</v>
          </cell>
          <cell r="DW45">
            <v>-0.75</v>
          </cell>
          <cell r="DX45">
            <v>4</v>
          </cell>
          <cell r="DY45">
            <v>4</v>
          </cell>
          <cell r="DZ45">
            <v>0</v>
          </cell>
          <cell r="EA45">
            <v>11</v>
          </cell>
          <cell r="EB45">
            <v>-0.6364</v>
          </cell>
          <cell r="EC45">
            <v>6</v>
          </cell>
          <cell r="ED45">
            <v>4</v>
          </cell>
          <cell r="EE45">
            <v>0.5</v>
          </cell>
          <cell r="EF45">
            <v>7</v>
          </cell>
          <cell r="EG45">
            <v>-0.1429</v>
          </cell>
          <cell r="EH45">
            <v>2</v>
          </cell>
          <cell r="EI45">
            <v>0</v>
          </cell>
          <cell r="EJ45">
            <v>120</v>
          </cell>
          <cell r="EK45">
            <v>-13</v>
          </cell>
          <cell r="EL45">
            <v>-0.1</v>
          </cell>
          <cell r="EM45">
            <v>6</v>
          </cell>
          <cell r="EN45">
            <v>4</v>
          </cell>
          <cell r="EO45">
            <v>0.5</v>
          </cell>
          <cell r="EP45">
            <v>7</v>
          </cell>
          <cell r="EQ45">
            <v>-0.1429</v>
          </cell>
          <cell r="ER45">
            <v>5</v>
          </cell>
          <cell r="ES45">
            <v>1</v>
          </cell>
          <cell r="ET45">
            <v>4</v>
          </cell>
          <cell r="EU45">
            <v>7</v>
          </cell>
          <cell r="EV45">
            <v>-0.2857</v>
          </cell>
          <cell r="EW45">
            <v>1.6667</v>
          </cell>
          <cell r="EX45">
            <v>1.1667</v>
          </cell>
          <cell r="EY45">
            <v>100</v>
          </cell>
          <cell r="EZ45">
            <v>67</v>
          </cell>
          <cell r="FA45">
            <v>2</v>
          </cell>
        </row>
        <row r="46">
          <cell r="A46" t="str">
            <v>涉黄</v>
          </cell>
          <cell r="B46" t="str">
            <v>全省</v>
          </cell>
        </row>
        <row r="46">
          <cell r="AM46">
            <v>412</v>
          </cell>
          <cell r="AN46">
            <v>155</v>
          </cell>
          <cell r="AO46">
            <v>1.6581</v>
          </cell>
          <cell r="AP46">
            <v>444</v>
          </cell>
          <cell r="AQ46">
            <v>-0.0721</v>
          </cell>
          <cell r="AR46">
            <v>0.886</v>
          </cell>
          <cell r="AS46">
            <v>-0.0311</v>
          </cell>
          <cell r="AT46">
            <v>306</v>
          </cell>
          <cell r="AU46">
            <v>108</v>
          </cell>
          <cell r="AV46">
            <v>1.8333</v>
          </cell>
          <cell r="AW46">
            <v>360</v>
          </cell>
          <cell r="AX46">
            <v>-0.15</v>
          </cell>
          <cell r="AY46">
            <v>231</v>
          </cell>
          <cell r="AZ46">
            <v>78</v>
          </cell>
          <cell r="BA46">
            <v>1.9615</v>
          </cell>
          <cell r="BB46">
            <v>346</v>
          </cell>
          <cell r="BC46">
            <v>-0.3324</v>
          </cell>
          <cell r="BD46">
            <v>0.7549</v>
          </cell>
          <cell r="BE46">
            <v>0.0327</v>
          </cell>
          <cell r="BF46">
            <v>159</v>
          </cell>
          <cell r="BG46">
            <v>61</v>
          </cell>
          <cell r="BH46">
            <v>1.6066</v>
          </cell>
          <cell r="BI46">
            <v>10</v>
          </cell>
          <cell r="BJ46">
            <v>14.9</v>
          </cell>
          <cell r="BK46">
            <v>0.3419</v>
          </cell>
          <cell r="BL46">
            <v>181</v>
          </cell>
          <cell r="BM46">
            <v>77</v>
          </cell>
          <cell r="BN46">
            <v>1.3506</v>
          </cell>
          <cell r="BO46">
            <v>98</v>
          </cell>
          <cell r="BP46">
            <v>0.8469</v>
          </cell>
          <cell r="BQ46">
            <v>161</v>
          </cell>
          <cell r="BR46">
            <v>120</v>
          </cell>
          <cell r="BS46">
            <v>0.3417</v>
          </cell>
          <cell r="BT46">
            <v>324</v>
          </cell>
          <cell r="BU46">
            <v>-0.5031</v>
          </cell>
          <cell r="BV46">
            <v>0.3462</v>
          </cell>
          <cell r="BW46">
            <v>-0.3638</v>
          </cell>
          <cell r="BX46">
            <v>0.5261</v>
          </cell>
          <cell r="BY46">
            <v>-0.585</v>
          </cell>
          <cell r="BZ46">
            <v>0</v>
          </cell>
          <cell r="CA46">
            <v>0</v>
          </cell>
          <cell r="CB46" t="str">
            <v>持平</v>
          </cell>
          <cell r="CC46">
            <v>5</v>
          </cell>
          <cell r="CD46" t="str">
            <v>少5起</v>
          </cell>
          <cell r="CE46" t="str">
            <v/>
          </cell>
          <cell r="CF46" t="str">
            <v/>
          </cell>
          <cell r="CG46">
            <v>1946</v>
          </cell>
          <cell r="CH46">
            <v>738</v>
          </cell>
          <cell r="CI46">
            <v>1.6369</v>
          </cell>
          <cell r="CJ46">
            <v>1542</v>
          </cell>
          <cell r="CK46">
            <v>0.262</v>
          </cell>
          <cell r="CL46">
            <v>418</v>
          </cell>
          <cell r="CM46">
            <v>-18</v>
          </cell>
          <cell r="CN46">
            <v>-0.0417</v>
          </cell>
          <cell r="CO46">
            <v>1674</v>
          </cell>
          <cell r="CP46">
            <v>470</v>
          </cell>
          <cell r="CQ46">
            <v>2.5617</v>
          </cell>
          <cell r="CR46">
            <v>1221</v>
          </cell>
          <cell r="CS46">
            <v>0.371</v>
          </cell>
          <cell r="CT46">
            <v>0.8602</v>
          </cell>
          <cell r="CU46">
            <v>0.2234</v>
          </cell>
          <cell r="CV46">
            <v>360</v>
          </cell>
          <cell r="CW46">
            <v>82</v>
          </cell>
          <cell r="CX46">
            <v>0.2945</v>
          </cell>
          <cell r="CY46">
            <v>1801</v>
          </cell>
          <cell r="CZ46">
            <v>514</v>
          </cell>
          <cell r="DA46">
            <v>2.5039</v>
          </cell>
          <cell r="DB46">
            <v>1292</v>
          </cell>
          <cell r="DC46">
            <v>0.394</v>
          </cell>
          <cell r="DD46">
            <v>0.9255</v>
          </cell>
          <cell r="DE46">
            <v>0.229</v>
          </cell>
          <cell r="DF46">
            <v>387</v>
          </cell>
          <cell r="DG46">
            <v>83</v>
          </cell>
          <cell r="DH46">
            <v>0.2735</v>
          </cell>
          <cell r="DI46">
            <v>1683</v>
          </cell>
          <cell r="DJ46">
            <v>530</v>
          </cell>
          <cell r="DK46">
            <v>2.1755</v>
          </cell>
          <cell r="DL46">
            <v>1284</v>
          </cell>
          <cell r="DM46">
            <v>0.3107</v>
          </cell>
          <cell r="DN46">
            <v>738</v>
          </cell>
          <cell r="DO46">
            <v>252</v>
          </cell>
          <cell r="DP46">
            <v>1.9286</v>
          </cell>
          <cell r="DQ46">
            <v>543</v>
          </cell>
          <cell r="DR46">
            <v>0.3591</v>
          </cell>
          <cell r="DS46">
            <v>738</v>
          </cell>
          <cell r="DT46">
            <v>252</v>
          </cell>
          <cell r="DU46">
            <v>1.9286</v>
          </cell>
          <cell r="DV46">
            <v>543</v>
          </cell>
          <cell r="DW46">
            <v>0.3591</v>
          </cell>
          <cell r="DX46">
            <v>908</v>
          </cell>
          <cell r="DY46">
            <v>414</v>
          </cell>
          <cell r="DZ46">
            <v>1.1932</v>
          </cell>
          <cell r="EA46">
            <v>689</v>
          </cell>
          <cell r="EB46">
            <v>0.3179</v>
          </cell>
          <cell r="EC46">
            <v>433</v>
          </cell>
          <cell r="ED46">
            <v>346</v>
          </cell>
          <cell r="EE46">
            <v>0.2514</v>
          </cell>
          <cell r="EF46">
            <v>484</v>
          </cell>
          <cell r="EG46">
            <v>-0.1054</v>
          </cell>
          <cell r="EH46">
            <v>0.2587</v>
          </cell>
          <cell r="EI46">
            <v>-0.4775</v>
          </cell>
          <cell r="EJ46">
            <v>93</v>
          </cell>
          <cell r="EK46">
            <v>-112</v>
          </cell>
          <cell r="EL46">
            <v>-0.5452</v>
          </cell>
          <cell r="EM46">
            <v>465</v>
          </cell>
          <cell r="EN46">
            <v>353</v>
          </cell>
          <cell r="EO46">
            <v>0.3173</v>
          </cell>
          <cell r="EP46">
            <v>511</v>
          </cell>
          <cell r="EQ46">
            <v>-0.09</v>
          </cell>
          <cell r="ER46">
            <v>413</v>
          </cell>
          <cell r="ES46">
            <v>278</v>
          </cell>
          <cell r="ET46">
            <v>0.4856</v>
          </cell>
          <cell r="EU46">
            <v>699</v>
          </cell>
          <cell r="EV46">
            <v>-0.4092</v>
          </cell>
          <cell r="EW46">
            <v>0.2467</v>
          </cell>
          <cell r="EX46">
            <v>-0.3448</v>
          </cell>
          <cell r="EY46">
            <v>89</v>
          </cell>
          <cell r="EZ46">
            <v>-76</v>
          </cell>
          <cell r="FA46">
            <v>-0.4601</v>
          </cell>
        </row>
        <row r="47">
          <cell r="A47" t="str">
            <v>涉黄</v>
          </cell>
          <cell r="B47" t="str">
            <v>云浮</v>
          </cell>
        </row>
        <row r="47">
          <cell r="AM47">
            <v>2</v>
          </cell>
          <cell r="AN47">
            <v>1</v>
          </cell>
          <cell r="AO47">
            <v>1</v>
          </cell>
          <cell r="AP47">
            <v>3</v>
          </cell>
          <cell r="AQ47">
            <v>-0.3333</v>
          </cell>
          <cell r="AR47">
            <v>1</v>
          </cell>
          <cell r="AS47">
            <v>0.75</v>
          </cell>
          <cell r="AT47">
            <v>1</v>
          </cell>
          <cell r="AU47">
            <v>3</v>
          </cell>
          <cell r="AV47">
            <v>-0.6667</v>
          </cell>
          <cell r="AW47">
            <v>3</v>
          </cell>
          <cell r="AX47">
            <v>-0.6667</v>
          </cell>
          <cell r="AY47">
            <v>1</v>
          </cell>
          <cell r="AZ47">
            <v>1</v>
          </cell>
          <cell r="BA47">
            <v>0</v>
          </cell>
          <cell r="BB47">
            <v>3</v>
          </cell>
          <cell r="BC47">
            <v>-0.6667</v>
          </cell>
          <cell r="BD47">
            <v>1</v>
          </cell>
          <cell r="BE47">
            <v>0.6667</v>
          </cell>
          <cell r="BF47">
            <v>1</v>
          </cell>
          <cell r="BG47">
            <v>1</v>
          </cell>
          <cell r="BH47">
            <v>0</v>
          </cell>
          <cell r="BI47">
            <v>0</v>
          </cell>
          <cell r="BJ47" t="str">
            <v>多1起</v>
          </cell>
          <cell r="BK47">
            <v>0.5</v>
          </cell>
          <cell r="BL47">
            <v>1</v>
          </cell>
          <cell r="BM47">
            <v>0</v>
          </cell>
          <cell r="BN47" t="str">
            <v>多1起</v>
          </cell>
          <cell r="BO47">
            <v>0</v>
          </cell>
          <cell r="BP47" t="str">
            <v>多1起</v>
          </cell>
          <cell r="BQ47">
            <v>0</v>
          </cell>
          <cell r="BR47">
            <v>3</v>
          </cell>
          <cell r="BS47" t="str">
            <v>少3起</v>
          </cell>
          <cell r="BT47">
            <v>4</v>
          </cell>
          <cell r="BU47" t="str">
            <v>少4起</v>
          </cell>
          <cell r="BV47">
            <v>0</v>
          </cell>
          <cell r="BW47">
            <v>-0.75</v>
          </cell>
          <cell r="BX47">
            <v>0</v>
          </cell>
          <cell r="BY47">
            <v>-1</v>
          </cell>
          <cell r="BZ47">
            <v>0</v>
          </cell>
          <cell r="CA47">
            <v>0</v>
          </cell>
          <cell r="CB47" t="str">
            <v>持平</v>
          </cell>
          <cell r="CC47">
            <v>0</v>
          </cell>
          <cell r="CD47" t="str">
            <v>持平</v>
          </cell>
          <cell r="CE47" t="str">
            <v/>
          </cell>
          <cell r="CF47" t="str">
            <v/>
          </cell>
          <cell r="CG47">
            <v>8</v>
          </cell>
          <cell r="CH47">
            <v>5</v>
          </cell>
          <cell r="CI47">
            <v>0.6</v>
          </cell>
          <cell r="CJ47">
            <v>34</v>
          </cell>
          <cell r="CK47">
            <v>-0.7647</v>
          </cell>
          <cell r="CL47">
            <v>400</v>
          </cell>
          <cell r="CM47">
            <v>275</v>
          </cell>
          <cell r="CN47">
            <v>2.2</v>
          </cell>
          <cell r="CO47">
            <v>20</v>
          </cell>
          <cell r="CP47">
            <v>4</v>
          </cell>
          <cell r="CQ47">
            <v>4</v>
          </cell>
          <cell r="CR47">
            <v>31</v>
          </cell>
          <cell r="CS47">
            <v>-0.3548</v>
          </cell>
          <cell r="CT47">
            <v>2.5</v>
          </cell>
          <cell r="CU47">
            <v>1.7</v>
          </cell>
          <cell r="CV47">
            <v>1000</v>
          </cell>
          <cell r="CW47">
            <v>900</v>
          </cell>
          <cell r="CX47">
            <v>9</v>
          </cell>
          <cell r="CY47">
            <v>21</v>
          </cell>
          <cell r="CZ47">
            <v>4</v>
          </cell>
          <cell r="DA47">
            <v>4.25</v>
          </cell>
          <cell r="DB47">
            <v>31</v>
          </cell>
          <cell r="DC47">
            <v>-0.3226</v>
          </cell>
          <cell r="DD47">
            <v>2.625</v>
          </cell>
          <cell r="DE47">
            <v>1.825</v>
          </cell>
          <cell r="DF47">
            <v>1050</v>
          </cell>
          <cell r="DG47">
            <v>950</v>
          </cell>
          <cell r="DH47">
            <v>9.5</v>
          </cell>
          <cell r="DI47">
            <v>13</v>
          </cell>
          <cell r="DJ47">
            <v>4</v>
          </cell>
          <cell r="DK47">
            <v>2.25</v>
          </cell>
          <cell r="DL47">
            <v>31</v>
          </cell>
          <cell r="DM47">
            <v>-0.5806</v>
          </cell>
          <cell r="DN47">
            <v>18</v>
          </cell>
          <cell r="DO47">
            <v>1</v>
          </cell>
          <cell r="DP47">
            <v>17</v>
          </cell>
          <cell r="DQ47">
            <v>1</v>
          </cell>
          <cell r="DR47">
            <v>17</v>
          </cell>
          <cell r="DS47">
            <v>18</v>
          </cell>
          <cell r="DT47">
            <v>1</v>
          </cell>
          <cell r="DU47">
            <v>17</v>
          </cell>
          <cell r="DV47">
            <v>1</v>
          </cell>
          <cell r="DW47">
            <v>17</v>
          </cell>
          <cell r="DX47">
            <v>13</v>
          </cell>
          <cell r="DY47">
            <v>4</v>
          </cell>
          <cell r="DZ47">
            <v>2.25</v>
          </cell>
          <cell r="EA47">
            <v>6</v>
          </cell>
          <cell r="EB47">
            <v>1.1667</v>
          </cell>
          <cell r="EC47">
            <v>8</v>
          </cell>
          <cell r="ED47">
            <v>1</v>
          </cell>
          <cell r="EE47">
            <v>7</v>
          </cell>
          <cell r="EF47">
            <v>5</v>
          </cell>
          <cell r="EG47">
            <v>0.6</v>
          </cell>
          <cell r="EH47">
            <v>0.4</v>
          </cell>
          <cell r="EI47">
            <v>0.15</v>
          </cell>
          <cell r="EJ47">
            <v>400</v>
          </cell>
          <cell r="EK47">
            <v>375</v>
          </cell>
          <cell r="EL47">
            <v>15</v>
          </cell>
          <cell r="EM47">
            <v>8</v>
          </cell>
          <cell r="EN47">
            <v>1</v>
          </cell>
          <cell r="EO47">
            <v>7</v>
          </cell>
          <cell r="EP47">
            <v>5</v>
          </cell>
          <cell r="EQ47">
            <v>0.6</v>
          </cell>
          <cell r="ER47">
            <v>0</v>
          </cell>
          <cell r="ES47">
            <v>5</v>
          </cell>
          <cell r="ET47" t="str">
            <v>少5人</v>
          </cell>
          <cell r="EU47">
            <v>10</v>
          </cell>
          <cell r="EV47" t="str">
            <v>少10人</v>
          </cell>
          <cell r="EW47">
            <v>0</v>
          </cell>
          <cell r="EX47">
            <v>-1.25</v>
          </cell>
          <cell r="EY47">
            <v>0</v>
          </cell>
          <cell r="EZ47">
            <v>-125</v>
          </cell>
          <cell r="FA47">
            <v>-1</v>
          </cell>
        </row>
        <row r="48">
          <cell r="A48" t="str">
            <v>涉黄</v>
          </cell>
          <cell r="B48" t="str">
            <v>云城区</v>
          </cell>
        </row>
        <row r="48">
          <cell r="AM48">
            <v>0</v>
          </cell>
          <cell r="AN48">
            <v>0</v>
          </cell>
          <cell r="AO48" t="str">
            <v>持平</v>
          </cell>
          <cell r="AP48">
            <v>2</v>
          </cell>
          <cell r="AQ48" t="str">
            <v>少2起</v>
          </cell>
          <cell r="AR48" t="str">
            <v/>
          </cell>
          <cell r="AS48" t="str">
            <v/>
          </cell>
          <cell r="AT48">
            <v>0</v>
          </cell>
          <cell r="AU48">
            <v>0</v>
          </cell>
          <cell r="AV48" t="str">
            <v>持平</v>
          </cell>
          <cell r="AW48">
            <v>1</v>
          </cell>
          <cell r="AX48" t="str">
            <v>少1起</v>
          </cell>
          <cell r="AY48">
            <v>0</v>
          </cell>
          <cell r="AZ48">
            <v>0</v>
          </cell>
          <cell r="BA48" t="str">
            <v>持平</v>
          </cell>
          <cell r="BB48">
            <v>2</v>
          </cell>
          <cell r="BC48" t="str">
            <v>少2起</v>
          </cell>
          <cell r="BD48" t="str">
            <v/>
          </cell>
          <cell r="BE48" t="str">
            <v/>
          </cell>
          <cell r="BF48">
            <v>0</v>
          </cell>
          <cell r="BG48">
            <v>1</v>
          </cell>
          <cell r="BH48" t="str">
            <v>少1起</v>
          </cell>
          <cell r="BI48">
            <v>0</v>
          </cell>
          <cell r="BJ48" t="str">
            <v>持平</v>
          </cell>
          <cell r="BK48" t="str">
            <v/>
          </cell>
          <cell r="BL48">
            <v>0</v>
          </cell>
          <cell r="BM48">
            <v>0</v>
          </cell>
          <cell r="BN48" t="str">
            <v>持平</v>
          </cell>
          <cell r="BO48">
            <v>0</v>
          </cell>
          <cell r="BP48" t="str">
            <v>持平</v>
          </cell>
          <cell r="BQ48">
            <v>0</v>
          </cell>
          <cell r="BR48">
            <v>1</v>
          </cell>
          <cell r="BS48" t="str">
            <v>少1起</v>
          </cell>
          <cell r="BT48">
            <v>3</v>
          </cell>
          <cell r="BU48" t="str">
            <v>少3起</v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>
            <v>0</v>
          </cell>
          <cell r="CA48">
            <v>0</v>
          </cell>
          <cell r="CB48" t="str">
            <v>持平</v>
          </cell>
          <cell r="CC48">
            <v>0</v>
          </cell>
          <cell r="CD48" t="str">
            <v>持平</v>
          </cell>
          <cell r="CE48" t="str">
            <v/>
          </cell>
          <cell r="CF48" t="str">
            <v/>
          </cell>
          <cell r="CG48">
            <v>2</v>
          </cell>
          <cell r="CH48">
            <v>3</v>
          </cell>
          <cell r="CI48">
            <v>-0.3333</v>
          </cell>
          <cell r="CJ48">
            <v>34</v>
          </cell>
          <cell r="CK48">
            <v>-0.9412</v>
          </cell>
          <cell r="CL48" t="str">
            <v/>
          </cell>
          <cell r="CM48" t="str">
            <v/>
          </cell>
          <cell r="CN48" t="str">
            <v/>
          </cell>
          <cell r="CO48">
            <v>12</v>
          </cell>
          <cell r="CP48">
            <v>0</v>
          </cell>
          <cell r="CQ48" t="str">
            <v>多12人</v>
          </cell>
          <cell r="CR48">
            <v>5</v>
          </cell>
          <cell r="CS48">
            <v>1.4</v>
          </cell>
          <cell r="CT48">
            <v>6</v>
          </cell>
          <cell r="CU48">
            <v>6</v>
          </cell>
          <cell r="CV48" t="str">
            <v/>
          </cell>
          <cell r="CW48" t="str">
            <v/>
          </cell>
          <cell r="CX48" t="str">
            <v/>
          </cell>
          <cell r="CY48">
            <v>12</v>
          </cell>
          <cell r="CZ48">
            <v>0</v>
          </cell>
          <cell r="DA48" t="str">
            <v>多12人</v>
          </cell>
          <cell r="DB48">
            <v>5</v>
          </cell>
          <cell r="DC48">
            <v>1.4</v>
          </cell>
          <cell r="DD48">
            <v>6</v>
          </cell>
          <cell r="DE48">
            <v>6</v>
          </cell>
          <cell r="DF48" t="str">
            <v/>
          </cell>
          <cell r="DG48" t="str">
            <v/>
          </cell>
          <cell r="DH48" t="str">
            <v/>
          </cell>
          <cell r="DI48">
            <v>0</v>
          </cell>
          <cell r="DJ48">
            <v>0</v>
          </cell>
          <cell r="DK48" t="str">
            <v>持平</v>
          </cell>
          <cell r="DL48">
            <v>0</v>
          </cell>
          <cell r="DM48" t="str">
            <v>持平</v>
          </cell>
          <cell r="DN48">
            <v>5</v>
          </cell>
          <cell r="DO48">
            <v>0</v>
          </cell>
          <cell r="DP48" t="str">
            <v>多5人</v>
          </cell>
          <cell r="DQ48">
            <v>0</v>
          </cell>
          <cell r="DR48" t="str">
            <v>多5人</v>
          </cell>
          <cell r="DS48">
            <v>5</v>
          </cell>
          <cell r="DT48">
            <v>0</v>
          </cell>
          <cell r="DU48" t="str">
            <v>多5人</v>
          </cell>
          <cell r="DV48">
            <v>0</v>
          </cell>
          <cell r="DW48" t="str">
            <v>多5人</v>
          </cell>
          <cell r="DX48">
            <v>10</v>
          </cell>
          <cell r="DY48">
            <v>1</v>
          </cell>
          <cell r="DZ48">
            <v>9</v>
          </cell>
          <cell r="EA48">
            <v>3</v>
          </cell>
          <cell r="EB48">
            <v>2.3333</v>
          </cell>
          <cell r="EC48">
            <v>8</v>
          </cell>
          <cell r="ED48">
            <v>0</v>
          </cell>
          <cell r="EE48" t="str">
            <v>多8人</v>
          </cell>
          <cell r="EF48">
            <v>3</v>
          </cell>
          <cell r="EG48">
            <v>1.6667</v>
          </cell>
          <cell r="EH48">
            <v>0.6667</v>
          </cell>
          <cell r="EI48" t="str">
            <v/>
          </cell>
          <cell r="EJ48" t="str">
            <v/>
          </cell>
          <cell r="EK48" t="str">
            <v/>
          </cell>
          <cell r="EL48" t="str">
            <v/>
          </cell>
          <cell r="EM48">
            <v>8</v>
          </cell>
          <cell r="EN48">
            <v>0</v>
          </cell>
          <cell r="EO48" t="str">
            <v>多8人</v>
          </cell>
          <cell r="EP48">
            <v>3</v>
          </cell>
          <cell r="EQ48">
            <v>1.6667</v>
          </cell>
          <cell r="ER48">
            <v>0</v>
          </cell>
          <cell r="ES48">
            <v>2</v>
          </cell>
          <cell r="ET48" t="str">
            <v>少2人</v>
          </cell>
          <cell r="EU48">
            <v>7</v>
          </cell>
          <cell r="EV48" t="str">
            <v>少7人</v>
          </cell>
          <cell r="EW48">
            <v>0</v>
          </cell>
          <cell r="EX48" t="str">
            <v/>
          </cell>
          <cell r="EY48" t="str">
            <v/>
          </cell>
          <cell r="EZ48" t="str">
            <v/>
          </cell>
          <cell r="FA48" t="str">
            <v/>
          </cell>
        </row>
        <row r="49">
          <cell r="A49" t="str">
            <v>涉黄</v>
          </cell>
          <cell r="B49" t="str">
            <v>云安区</v>
          </cell>
        </row>
        <row r="49">
          <cell r="AM49">
            <v>0</v>
          </cell>
          <cell r="AN49">
            <v>0</v>
          </cell>
          <cell r="AO49" t="str">
            <v>持平</v>
          </cell>
          <cell r="AP49">
            <v>0</v>
          </cell>
          <cell r="AQ49" t="str">
            <v>持平</v>
          </cell>
          <cell r="AR49" t="str">
            <v/>
          </cell>
          <cell r="AS49" t="str">
            <v/>
          </cell>
          <cell r="AT49">
            <v>0</v>
          </cell>
          <cell r="AU49">
            <v>0</v>
          </cell>
          <cell r="AV49" t="str">
            <v>持平</v>
          </cell>
          <cell r="AW49">
            <v>0</v>
          </cell>
          <cell r="AX49" t="str">
            <v>持平</v>
          </cell>
          <cell r="AY49">
            <v>0</v>
          </cell>
          <cell r="AZ49">
            <v>0</v>
          </cell>
          <cell r="BA49" t="str">
            <v>持平</v>
          </cell>
          <cell r="BB49">
            <v>0</v>
          </cell>
          <cell r="BC49" t="str">
            <v>持平</v>
          </cell>
          <cell r="BD49" t="str">
            <v/>
          </cell>
          <cell r="BE49" t="str">
            <v/>
          </cell>
          <cell r="BF49">
            <v>0</v>
          </cell>
          <cell r="BG49">
            <v>0</v>
          </cell>
          <cell r="BH49" t="str">
            <v>持平</v>
          </cell>
          <cell r="BI49">
            <v>0</v>
          </cell>
          <cell r="BJ49" t="str">
            <v>持平</v>
          </cell>
          <cell r="BK49" t="str">
            <v/>
          </cell>
          <cell r="BL49">
            <v>0</v>
          </cell>
          <cell r="BM49">
            <v>0</v>
          </cell>
          <cell r="BN49" t="str">
            <v>持平</v>
          </cell>
          <cell r="BO49">
            <v>0</v>
          </cell>
          <cell r="BP49" t="str">
            <v>持平</v>
          </cell>
          <cell r="BQ49">
            <v>0</v>
          </cell>
          <cell r="BR49">
            <v>0</v>
          </cell>
          <cell r="BS49" t="str">
            <v>持平</v>
          </cell>
          <cell r="BT49">
            <v>0</v>
          </cell>
          <cell r="BU49" t="str">
            <v>持平</v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>
            <v>0</v>
          </cell>
          <cell r="CA49">
            <v>0</v>
          </cell>
          <cell r="CB49" t="str">
            <v>持平</v>
          </cell>
          <cell r="CC49">
            <v>0</v>
          </cell>
          <cell r="CD49" t="str">
            <v>持平</v>
          </cell>
          <cell r="CE49" t="str">
            <v/>
          </cell>
          <cell r="CF49" t="str">
            <v/>
          </cell>
          <cell r="CG49">
            <v>0</v>
          </cell>
          <cell r="CH49">
            <v>0</v>
          </cell>
          <cell r="CI49" t="str">
            <v>持平</v>
          </cell>
          <cell r="CJ49">
            <v>0</v>
          </cell>
          <cell r="CK49" t="str">
            <v>持平</v>
          </cell>
          <cell r="CL49" t="str">
            <v/>
          </cell>
          <cell r="CM49" t="str">
            <v/>
          </cell>
          <cell r="CN49" t="str">
            <v/>
          </cell>
          <cell r="CO49">
            <v>0</v>
          </cell>
          <cell r="CP49">
            <v>0</v>
          </cell>
          <cell r="CQ49" t="str">
            <v>持平</v>
          </cell>
          <cell r="CR49">
            <v>0</v>
          </cell>
          <cell r="CS49" t="str">
            <v>持平</v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>
            <v>0</v>
          </cell>
          <cell r="CZ49">
            <v>0</v>
          </cell>
          <cell r="DA49" t="str">
            <v>持平</v>
          </cell>
          <cell r="DB49">
            <v>0</v>
          </cell>
          <cell r="DC49" t="str">
            <v>持平</v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>
            <v>0</v>
          </cell>
          <cell r="DJ49">
            <v>0</v>
          </cell>
          <cell r="DK49" t="str">
            <v>持平</v>
          </cell>
          <cell r="DL49">
            <v>0</v>
          </cell>
          <cell r="DM49" t="str">
            <v>持平</v>
          </cell>
          <cell r="DN49">
            <v>0</v>
          </cell>
          <cell r="DO49">
            <v>0</v>
          </cell>
          <cell r="DP49" t="str">
            <v>持平</v>
          </cell>
          <cell r="DQ49">
            <v>0</v>
          </cell>
          <cell r="DR49" t="str">
            <v>持平</v>
          </cell>
          <cell r="DS49">
            <v>0</v>
          </cell>
          <cell r="DT49">
            <v>0</v>
          </cell>
          <cell r="DU49" t="str">
            <v>持平</v>
          </cell>
          <cell r="DV49">
            <v>0</v>
          </cell>
          <cell r="DW49" t="str">
            <v>持平</v>
          </cell>
          <cell r="DX49">
            <v>0</v>
          </cell>
          <cell r="DY49">
            <v>0</v>
          </cell>
          <cell r="DZ49" t="str">
            <v>持平</v>
          </cell>
          <cell r="EA49">
            <v>0</v>
          </cell>
          <cell r="EB49" t="str">
            <v>持平</v>
          </cell>
          <cell r="EC49">
            <v>0</v>
          </cell>
          <cell r="ED49">
            <v>0</v>
          </cell>
          <cell r="EE49" t="str">
            <v>持平</v>
          </cell>
          <cell r="EF49">
            <v>0</v>
          </cell>
          <cell r="EG49" t="str">
            <v>持平</v>
          </cell>
          <cell r="EH49" t="str">
            <v/>
          </cell>
          <cell r="EI49" t="str">
            <v/>
          </cell>
          <cell r="EJ49" t="str">
            <v/>
          </cell>
          <cell r="EK49" t="str">
            <v/>
          </cell>
          <cell r="EL49" t="str">
            <v/>
          </cell>
          <cell r="EM49">
            <v>0</v>
          </cell>
          <cell r="EN49">
            <v>0</v>
          </cell>
          <cell r="EO49" t="str">
            <v>持平</v>
          </cell>
          <cell r="EP49">
            <v>0</v>
          </cell>
          <cell r="EQ49" t="str">
            <v>持平</v>
          </cell>
          <cell r="ER49">
            <v>0</v>
          </cell>
          <cell r="ES49">
            <v>0</v>
          </cell>
          <cell r="ET49" t="str">
            <v>持平</v>
          </cell>
          <cell r="EU49">
            <v>0</v>
          </cell>
          <cell r="EV49" t="str">
            <v>持平</v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</row>
        <row r="50">
          <cell r="A50" t="str">
            <v>涉黄</v>
          </cell>
          <cell r="B50" t="str">
            <v>新兴县</v>
          </cell>
        </row>
        <row r="50">
          <cell r="AM50">
            <v>0</v>
          </cell>
          <cell r="AN50">
            <v>1</v>
          </cell>
          <cell r="AO50" t="str">
            <v>少1起</v>
          </cell>
          <cell r="AP50">
            <v>0</v>
          </cell>
          <cell r="AQ50" t="str">
            <v>持平</v>
          </cell>
          <cell r="AR50" t="str">
            <v/>
          </cell>
          <cell r="AS50" t="str">
            <v/>
          </cell>
          <cell r="AT50">
            <v>0</v>
          </cell>
          <cell r="AU50">
            <v>2</v>
          </cell>
          <cell r="AV50" t="str">
            <v>少2起</v>
          </cell>
          <cell r="AW50">
            <v>0</v>
          </cell>
          <cell r="AX50" t="str">
            <v>持平</v>
          </cell>
          <cell r="AY50">
            <v>0</v>
          </cell>
          <cell r="AZ50">
            <v>1</v>
          </cell>
          <cell r="BA50" t="str">
            <v>少1起</v>
          </cell>
          <cell r="BB50">
            <v>0</v>
          </cell>
          <cell r="BC50" t="str">
            <v>持平</v>
          </cell>
          <cell r="BD50" t="str">
            <v/>
          </cell>
          <cell r="BE50" t="str">
            <v/>
          </cell>
          <cell r="BF50">
            <v>0</v>
          </cell>
          <cell r="BG50">
            <v>0</v>
          </cell>
          <cell r="BH50" t="str">
            <v>持平</v>
          </cell>
          <cell r="BI50">
            <v>0</v>
          </cell>
          <cell r="BJ50" t="str">
            <v>持平</v>
          </cell>
          <cell r="BK50" t="str">
            <v/>
          </cell>
          <cell r="BL50">
            <v>0</v>
          </cell>
          <cell r="BM50">
            <v>0</v>
          </cell>
          <cell r="BN50" t="str">
            <v>持平</v>
          </cell>
          <cell r="BO50">
            <v>0</v>
          </cell>
          <cell r="BP50" t="str">
            <v>持平</v>
          </cell>
          <cell r="BQ50">
            <v>0</v>
          </cell>
          <cell r="BR50">
            <v>0</v>
          </cell>
          <cell r="BS50" t="str">
            <v>持平</v>
          </cell>
          <cell r="BT50">
            <v>0</v>
          </cell>
          <cell r="BU50" t="str">
            <v>持平</v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>
            <v>0</v>
          </cell>
          <cell r="CA50">
            <v>0</v>
          </cell>
          <cell r="CB50" t="str">
            <v>持平</v>
          </cell>
          <cell r="CC50">
            <v>0</v>
          </cell>
          <cell r="CD50" t="str">
            <v>持平</v>
          </cell>
          <cell r="CE50" t="str">
            <v/>
          </cell>
          <cell r="CF50" t="str">
            <v/>
          </cell>
          <cell r="CG50">
            <v>0</v>
          </cell>
          <cell r="CH50">
            <v>1</v>
          </cell>
          <cell r="CI50" t="str">
            <v>少1人</v>
          </cell>
          <cell r="CJ50">
            <v>0</v>
          </cell>
          <cell r="CK50" t="str">
            <v>持平</v>
          </cell>
          <cell r="CL50" t="str">
            <v/>
          </cell>
          <cell r="CM50" t="str">
            <v/>
          </cell>
          <cell r="CN50" t="str">
            <v/>
          </cell>
          <cell r="CO50">
            <v>0</v>
          </cell>
          <cell r="CP50">
            <v>3</v>
          </cell>
          <cell r="CQ50" t="str">
            <v>少3人</v>
          </cell>
          <cell r="CR50">
            <v>0</v>
          </cell>
          <cell r="CS50" t="str">
            <v>持平</v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>
            <v>0</v>
          </cell>
          <cell r="CZ50">
            <v>3</v>
          </cell>
          <cell r="DA50" t="str">
            <v>少3人</v>
          </cell>
          <cell r="DB50">
            <v>0</v>
          </cell>
          <cell r="DC50" t="str">
            <v>持平</v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>
            <v>0</v>
          </cell>
          <cell r="DJ50">
            <v>3</v>
          </cell>
          <cell r="DK50" t="str">
            <v>少3人</v>
          </cell>
          <cell r="DL50">
            <v>0</v>
          </cell>
          <cell r="DM50" t="str">
            <v>持平</v>
          </cell>
          <cell r="DN50">
            <v>0</v>
          </cell>
          <cell r="DO50">
            <v>1</v>
          </cell>
          <cell r="DP50" t="str">
            <v>少1人</v>
          </cell>
          <cell r="DQ50">
            <v>0</v>
          </cell>
          <cell r="DR50" t="str">
            <v>持平</v>
          </cell>
          <cell r="DS50">
            <v>0</v>
          </cell>
          <cell r="DT50">
            <v>1</v>
          </cell>
          <cell r="DU50" t="str">
            <v>少1人</v>
          </cell>
          <cell r="DV50">
            <v>0</v>
          </cell>
          <cell r="DW50" t="str">
            <v>持平</v>
          </cell>
          <cell r="DX50">
            <v>0</v>
          </cell>
          <cell r="DY50">
            <v>3</v>
          </cell>
          <cell r="DZ50" t="str">
            <v>少3人</v>
          </cell>
          <cell r="EA50">
            <v>0</v>
          </cell>
          <cell r="EB50" t="str">
            <v>持平</v>
          </cell>
          <cell r="EC50">
            <v>0</v>
          </cell>
          <cell r="ED50">
            <v>1</v>
          </cell>
          <cell r="EE50" t="str">
            <v>少1人</v>
          </cell>
          <cell r="EF50">
            <v>0</v>
          </cell>
          <cell r="EG50" t="str">
            <v>持平</v>
          </cell>
          <cell r="EH50" t="str">
            <v/>
          </cell>
          <cell r="EI50" t="str">
            <v/>
          </cell>
          <cell r="EJ50" t="str">
            <v/>
          </cell>
          <cell r="EK50" t="str">
            <v/>
          </cell>
          <cell r="EL50" t="str">
            <v/>
          </cell>
          <cell r="EM50">
            <v>0</v>
          </cell>
          <cell r="EN50">
            <v>1</v>
          </cell>
          <cell r="EO50" t="str">
            <v>少1人</v>
          </cell>
          <cell r="EP50">
            <v>0</v>
          </cell>
          <cell r="EQ50" t="str">
            <v>持平</v>
          </cell>
          <cell r="ER50">
            <v>0</v>
          </cell>
          <cell r="ES50">
            <v>0</v>
          </cell>
          <cell r="ET50" t="str">
            <v>持平</v>
          </cell>
          <cell r="EU50">
            <v>0</v>
          </cell>
          <cell r="EV50" t="str">
            <v>持平</v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</row>
        <row r="51">
          <cell r="A51" t="str">
            <v>涉黄</v>
          </cell>
          <cell r="B51" t="str">
            <v>郁南县</v>
          </cell>
        </row>
        <row r="51">
          <cell r="AM51">
            <v>2</v>
          </cell>
          <cell r="AN51">
            <v>0</v>
          </cell>
          <cell r="AO51" t="str">
            <v>多2起</v>
          </cell>
          <cell r="AP51">
            <v>0</v>
          </cell>
          <cell r="AQ51" t="str">
            <v>多2起</v>
          </cell>
          <cell r="AR51">
            <v>2</v>
          </cell>
          <cell r="AS51" t="str">
            <v/>
          </cell>
          <cell r="AT51">
            <v>1</v>
          </cell>
          <cell r="AU51">
            <v>0</v>
          </cell>
          <cell r="AV51" t="str">
            <v>多1起</v>
          </cell>
          <cell r="AW51">
            <v>1</v>
          </cell>
          <cell r="AX51">
            <v>0</v>
          </cell>
          <cell r="AY51">
            <v>1</v>
          </cell>
          <cell r="AZ51">
            <v>0</v>
          </cell>
          <cell r="BA51" t="str">
            <v>多1起</v>
          </cell>
          <cell r="BB51">
            <v>0</v>
          </cell>
          <cell r="BC51" t="str">
            <v>多1起</v>
          </cell>
          <cell r="BD51">
            <v>1</v>
          </cell>
          <cell r="BE51" t="str">
            <v/>
          </cell>
          <cell r="BF51">
            <v>0</v>
          </cell>
          <cell r="BG51">
            <v>0</v>
          </cell>
          <cell r="BH51" t="str">
            <v>持平</v>
          </cell>
          <cell r="BI51">
            <v>0</v>
          </cell>
          <cell r="BJ51" t="str">
            <v>持平</v>
          </cell>
          <cell r="BK51">
            <v>0</v>
          </cell>
          <cell r="BL51">
            <v>1</v>
          </cell>
          <cell r="BM51">
            <v>0</v>
          </cell>
          <cell r="BN51" t="str">
            <v>多1起</v>
          </cell>
          <cell r="BO51">
            <v>0</v>
          </cell>
          <cell r="BP51" t="str">
            <v>多1起</v>
          </cell>
          <cell r="BQ51">
            <v>0</v>
          </cell>
          <cell r="BR51">
            <v>0</v>
          </cell>
          <cell r="BS51" t="str">
            <v>持平</v>
          </cell>
          <cell r="BT51">
            <v>0</v>
          </cell>
          <cell r="BU51" t="str">
            <v>持平</v>
          </cell>
          <cell r="BV51">
            <v>0</v>
          </cell>
          <cell r="BW51" t="str">
            <v/>
          </cell>
          <cell r="BX51">
            <v>0</v>
          </cell>
          <cell r="BY51" t="str">
            <v/>
          </cell>
          <cell r="BZ51">
            <v>0</v>
          </cell>
          <cell r="CA51">
            <v>0</v>
          </cell>
          <cell r="CB51" t="str">
            <v>持平</v>
          </cell>
          <cell r="CC51">
            <v>0</v>
          </cell>
          <cell r="CD51" t="str">
            <v>持平</v>
          </cell>
          <cell r="CE51" t="str">
            <v/>
          </cell>
          <cell r="CF51" t="str">
            <v/>
          </cell>
          <cell r="CG51">
            <v>6</v>
          </cell>
          <cell r="CH51">
            <v>0</v>
          </cell>
          <cell r="CI51" t="str">
            <v>多6人</v>
          </cell>
          <cell r="CJ51">
            <v>0</v>
          </cell>
          <cell r="CK51" t="str">
            <v>多6人</v>
          </cell>
          <cell r="CL51">
            <v>600</v>
          </cell>
          <cell r="CM51" t="str">
            <v/>
          </cell>
          <cell r="CN51" t="str">
            <v/>
          </cell>
          <cell r="CO51">
            <v>8</v>
          </cell>
          <cell r="CP51">
            <v>0</v>
          </cell>
          <cell r="CQ51" t="str">
            <v>多8人</v>
          </cell>
          <cell r="CR51">
            <v>0</v>
          </cell>
          <cell r="CS51" t="str">
            <v>多8人</v>
          </cell>
          <cell r="CT51">
            <v>1.3333</v>
          </cell>
          <cell r="CU51" t="str">
            <v/>
          </cell>
          <cell r="CV51">
            <v>800</v>
          </cell>
          <cell r="CW51" t="str">
            <v/>
          </cell>
          <cell r="CX51" t="str">
            <v/>
          </cell>
          <cell r="CY51">
            <v>9</v>
          </cell>
          <cell r="CZ51">
            <v>0</v>
          </cell>
          <cell r="DA51" t="str">
            <v>多9人</v>
          </cell>
          <cell r="DB51">
            <v>0</v>
          </cell>
          <cell r="DC51" t="str">
            <v>多9人</v>
          </cell>
          <cell r="DD51">
            <v>1.5</v>
          </cell>
          <cell r="DE51" t="str">
            <v/>
          </cell>
          <cell r="DF51">
            <v>900</v>
          </cell>
          <cell r="DG51" t="str">
            <v/>
          </cell>
          <cell r="DH51" t="str">
            <v/>
          </cell>
          <cell r="DI51">
            <v>2</v>
          </cell>
          <cell r="DJ51">
            <v>0</v>
          </cell>
          <cell r="DK51" t="str">
            <v>多2人</v>
          </cell>
          <cell r="DL51">
            <v>0</v>
          </cell>
          <cell r="DM51" t="str">
            <v>多2人</v>
          </cell>
          <cell r="DN51">
            <v>1</v>
          </cell>
          <cell r="DO51">
            <v>0</v>
          </cell>
          <cell r="DP51" t="str">
            <v>多1人</v>
          </cell>
          <cell r="DQ51">
            <v>0</v>
          </cell>
          <cell r="DR51" t="str">
            <v>多1人</v>
          </cell>
          <cell r="DS51">
            <v>1</v>
          </cell>
          <cell r="DT51">
            <v>0</v>
          </cell>
          <cell r="DU51" t="str">
            <v>多1人</v>
          </cell>
          <cell r="DV51">
            <v>0</v>
          </cell>
          <cell r="DW51" t="str">
            <v>多1人</v>
          </cell>
          <cell r="DX51">
            <v>3</v>
          </cell>
          <cell r="DY51">
            <v>0</v>
          </cell>
          <cell r="DZ51" t="str">
            <v>多3人</v>
          </cell>
          <cell r="EA51">
            <v>0</v>
          </cell>
          <cell r="EB51" t="str">
            <v>多3人</v>
          </cell>
          <cell r="EC51">
            <v>0</v>
          </cell>
          <cell r="ED51">
            <v>0</v>
          </cell>
          <cell r="EE51" t="str">
            <v>持平</v>
          </cell>
          <cell r="EF51">
            <v>0</v>
          </cell>
          <cell r="EG51" t="str">
            <v>持平</v>
          </cell>
          <cell r="EH51">
            <v>0</v>
          </cell>
          <cell r="EI51" t="str">
            <v/>
          </cell>
          <cell r="EJ51">
            <v>0</v>
          </cell>
          <cell r="EK51" t="str">
            <v/>
          </cell>
          <cell r="EL51" t="str">
            <v/>
          </cell>
          <cell r="EM51">
            <v>0</v>
          </cell>
          <cell r="EN51">
            <v>0</v>
          </cell>
          <cell r="EO51" t="str">
            <v>持平</v>
          </cell>
          <cell r="EP51">
            <v>0</v>
          </cell>
          <cell r="EQ51" t="str">
            <v>持平</v>
          </cell>
          <cell r="ER51">
            <v>0</v>
          </cell>
          <cell r="ES51">
            <v>0</v>
          </cell>
          <cell r="ET51" t="str">
            <v>持平</v>
          </cell>
          <cell r="EU51">
            <v>0</v>
          </cell>
          <cell r="EV51" t="str">
            <v>持平</v>
          </cell>
          <cell r="EW51">
            <v>0</v>
          </cell>
          <cell r="EX51" t="str">
            <v/>
          </cell>
          <cell r="EY51">
            <v>0</v>
          </cell>
          <cell r="EZ51" t="str">
            <v/>
          </cell>
          <cell r="FA51" t="str">
            <v/>
          </cell>
        </row>
        <row r="52">
          <cell r="A52" t="str">
            <v>涉黄</v>
          </cell>
          <cell r="B52" t="str">
            <v>罗定市</v>
          </cell>
        </row>
        <row r="52">
          <cell r="AM52">
            <v>0</v>
          </cell>
          <cell r="AN52">
            <v>0</v>
          </cell>
          <cell r="AO52" t="str">
            <v>持平</v>
          </cell>
          <cell r="AP52">
            <v>0</v>
          </cell>
          <cell r="AQ52" t="str">
            <v>持平</v>
          </cell>
          <cell r="AR52" t="str">
            <v/>
          </cell>
          <cell r="AS52" t="str">
            <v/>
          </cell>
          <cell r="AT52">
            <v>0</v>
          </cell>
          <cell r="AU52">
            <v>0</v>
          </cell>
          <cell r="AV52" t="str">
            <v>持平</v>
          </cell>
          <cell r="AW52">
            <v>0</v>
          </cell>
          <cell r="AX52" t="str">
            <v>持平</v>
          </cell>
          <cell r="AY52">
            <v>0</v>
          </cell>
          <cell r="AZ52">
            <v>0</v>
          </cell>
          <cell r="BA52" t="str">
            <v>持平</v>
          </cell>
          <cell r="BB52">
            <v>0</v>
          </cell>
          <cell r="BC52" t="str">
            <v>持平</v>
          </cell>
          <cell r="BD52" t="str">
            <v/>
          </cell>
          <cell r="BE52" t="str">
            <v/>
          </cell>
          <cell r="BF52">
            <v>0</v>
          </cell>
          <cell r="BG52">
            <v>0</v>
          </cell>
          <cell r="BH52" t="str">
            <v>持平</v>
          </cell>
          <cell r="BI52">
            <v>0</v>
          </cell>
          <cell r="BJ52" t="str">
            <v>持平</v>
          </cell>
          <cell r="BK52" t="str">
            <v/>
          </cell>
          <cell r="BL52">
            <v>0</v>
          </cell>
          <cell r="BM52">
            <v>0</v>
          </cell>
          <cell r="BN52" t="str">
            <v>持平</v>
          </cell>
          <cell r="BO52">
            <v>0</v>
          </cell>
          <cell r="BP52" t="str">
            <v>持平</v>
          </cell>
          <cell r="BQ52">
            <v>0</v>
          </cell>
          <cell r="BR52">
            <v>1</v>
          </cell>
          <cell r="BS52" t="str">
            <v>少1起</v>
          </cell>
          <cell r="BT52">
            <v>0</v>
          </cell>
          <cell r="BU52" t="str">
            <v>持平</v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>
            <v>0</v>
          </cell>
          <cell r="CA52">
            <v>0</v>
          </cell>
          <cell r="CB52" t="str">
            <v>持平</v>
          </cell>
          <cell r="CC52">
            <v>0</v>
          </cell>
          <cell r="CD52" t="str">
            <v>持平</v>
          </cell>
          <cell r="CE52" t="str">
            <v/>
          </cell>
          <cell r="CF52" t="str">
            <v/>
          </cell>
          <cell r="CG52">
            <v>0</v>
          </cell>
          <cell r="CH52">
            <v>1</v>
          </cell>
          <cell r="CI52" t="str">
            <v>少1人</v>
          </cell>
          <cell r="CJ52">
            <v>0</v>
          </cell>
          <cell r="CK52" t="str">
            <v>持平</v>
          </cell>
          <cell r="CL52" t="str">
            <v/>
          </cell>
          <cell r="CM52" t="str">
            <v/>
          </cell>
          <cell r="CN52" t="str">
            <v/>
          </cell>
          <cell r="CO52">
            <v>0</v>
          </cell>
          <cell r="CP52">
            <v>0</v>
          </cell>
          <cell r="CQ52" t="str">
            <v>持平</v>
          </cell>
          <cell r="CR52">
            <v>0</v>
          </cell>
          <cell r="CS52" t="str">
            <v>持平</v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>
            <v>0</v>
          </cell>
          <cell r="CZ52">
            <v>0</v>
          </cell>
          <cell r="DA52" t="str">
            <v>持平</v>
          </cell>
          <cell r="DB52">
            <v>0</v>
          </cell>
          <cell r="DC52" t="str">
            <v>持平</v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>
            <v>0</v>
          </cell>
          <cell r="DJ52">
            <v>0</v>
          </cell>
          <cell r="DK52" t="str">
            <v>持平</v>
          </cell>
          <cell r="DL52">
            <v>0</v>
          </cell>
          <cell r="DM52" t="str">
            <v>持平</v>
          </cell>
          <cell r="DN52">
            <v>0</v>
          </cell>
          <cell r="DO52">
            <v>0</v>
          </cell>
          <cell r="DP52" t="str">
            <v>持平</v>
          </cell>
          <cell r="DQ52">
            <v>1</v>
          </cell>
          <cell r="DR52" t="str">
            <v>少1人</v>
          </cell>
          <cell r="DS52">
            <v>0</v>
          </cell>
          <cell r="DT52">
            <v>0</v>
          </cell>
          <cell r="DU52" t="str">
            <v>持平</v>
          </cell>
          <cell r="DV52">
            <v>1</v>
          </cell>
          <cell r="DW52" t="str">
            <v>少1人</v>
          </cell>
          <cell r="DX52">
            <v>0</v>
          </cell>
          <cell r="DY52">
            <v>0</v>
          </cell>
          <cell r="DZ52" t="str">
            <v>持平</v>
          </cell>
          <cell r="EA52">
            <v>3</v>
          </cell>
          <cell r="EB52" t="str">
            <v>少3人</v>
          </cell>
          <cell r="EC52">
            <v>0</v>
          </cell>
          <cell r="ED52">
            <v>0</v>
          </cell>
          <cell r="EE52" t="str">
            <v>持平</v>
          </cell>
          <cell r="EF52">
            <v>2</v>
          </cell>
          <cell r="EG52" t="str">
            <v>少2人</v>
          </cell>
          <cell r="EH52" t="str">
            <v/>
          </cell>
          <cell r="EI52" t="str">
            <v/>
          </cell>
          <cell r="EJ52" t="str">
            <v/>
          </cell>
          <cell r="EK52" t="str">
            <v/>
          </cell>
          <cell r="EL52" t="str">
            <v/>
          </cell>
          <cell r="EM52">
            <v>0</v>
          </cell>
          <cell r="EN52">
            <v>0</v>
          </cell>
          <cell r="EO52" t="str">
            <v>持平</v>
          </cell>
          <cell r="EP52">
            <v>2</v>
          </cell>
          <cell r="EQ52" t="str">
            <v>少2人</v>
          </cell>
          <cell r="ER52">
            <v>0</v>
          </cell>
          <cell r="ES52">
            <v>1</v>
          </cell>
          <cell r="ET52" t="str">
            <v>少1人</v>
          </cell>
          <cell r="EU52">
            <v>0</v>
          </cell>
          <cell r="EV52" t="str">
            <v>持平</v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</row>
        <row r="53">
          <cell r="A53" t="str">
            <v>涉赌</v>
          </cell>
          <cell r="B53" t="str">
            <v>全省</v>
          </cell>
        </row>
        <row r="53">
          <cell r="AM53">
            <v>785</v>
          </cell>
          <cell r="AN53">
            <v>476</v>
          </cell>
          <cell r="AO53">
            <v>0.6492</v>
          </cell>
          <cell r="AP53">
            <v>861</v>
          </cell>
          <cell r="AQ53">
            <v>-0.0883</v>
          </cell>
          <cell r="AR53">
            <v>0.8781</v>
          </cell>
          <cell r="AS53">
            <v>-0.0338</v>
          </cell>
          <cell r="AT53">
            <v>635</v>
          </cell>
          <cell r="AU53">
            <v>345</v>
          </cell>
          <cell r="AV53">
            <v>0.8406</v>
          </cell>
          <cell r="AW53">
            <v>609</v>
          </cell>
          <cell r="AX53">
            <v>0.0427</v>
          </cell>
          <cell r="AY53">
            <v>477</v>
          </cell>
          <cell r="AZ53">
            <v>245</v>
          </cell>
          <cell r="BA53">
            <v>0.9469</v>
          </cell>
          <cell r="BB53">
            <v>659</v>
          </cell>
          <cell r="BC53">
            <v>-0.2762</v>
          </cell>
          <cell r="BD53">
            <v>0.7512</v>
          </cell>
          <cell r="BE53">
            <v>0.041</v>
          </cell>
          <cell r="BF53">
            <v>259</v>
          </cell>
          <cell r="BG53">
            <v>177</v>
          </cell>
          <cell r="BH53">
            <v>0.4633</v>
          </cell>
          <cell r="BI53">
            <v>84</v>
          </cell>
          <cell r="BJ53">
            <v>2.0833</v>
          </cell>
          <cell r="BK53">
            <v>0.2897</v>
          </cell>
          <cell r="BL53">
            <v>308</v>
          </cell>
          <cell r="BM53">
            <v>231</v>
          </cell>
          <cell r="BN53">
            <v>0.3333</v>
          </cell>
          <cell r="BO53">
            <v>202</v>
          </cell>
          <cell r="BP53">
            <v>0.5248</v>
          </cell>
          <cell r="BQ53">
            <v>329</v>
          </cell>
          <cell r="BR53">
            <v>221</v>
          </cell>
          <cell r="BS53">
            <v>0.4887</v>
          </cell>
          <cell r="BT53">
            <v>571</v>
          </cell>
          <cell r="BU53">
            <v>-0.4238</v>
          </cell>
          <cell r="BV53">
            <v>0.368</v>
          </cell>
          <cell r="BW53">
            <v>-0.0554</v>
          </cell>
          <cell r="BX53">
            <v>0.5181</v>
          </cell>
          <cell r="BY53">
            <v>-0.1225</v>
          </cell>
          <cell r="BZ53">
            <v>0</v>
          </cell>
          <cell r="CA53">
            <v>1</v>
          </cell>
          <cell r="CB53" t="str">
            <v>少1起</v>
          </cell>
          <cell r="CC53">
            <v>11</v>
          </cell>
          <cell r="CD53" t="str">
            <v>少11起</v>
          </cell>
          <cell r="CE53" t="str">
            <v/>
          </cell>
          <cell r="CF53" t="str">
            <v/>
          </cell>
          <cell r="CG53">
            <v>5435</v>
          </cell>
          <cell r="CH53">
            <v>2714</v>
          </cell>
          <cell r="CI53">
            <v>1.0026</v>
          </cell>
          <cell r="CJ53">
            <v>3369</v>
          </cell>
          <cell r="CK53">
            <v>0.6132</v>
          </cell>
          <cell r="CL53">
            <v>608</v>
          </cell>
          <cell r="CM53">
            <v>88</v>
          </cell>
          <cell r="CN53">
            <v>0.1693</v>
          </cell>
          <cell r="CO53">
            <v>4148</v>
          </cell>
          <cell r="CP53">
            <v>1563</v>
          </cell>
          <cell r="CQ53">
            <v>1.6539</v>
          </cell>
          <cell r="CR53">
            <v>2568</v>
          </cell>
          <cell r="CS53">
            <v>0.6153</v>
          </cell>
          <cell r="CT53">
            <v>0.7632</v>
          </cell>
          <cell r="CU53">
            <v>0.1873</v>
          </cell>
          <cell r="CV53">
            <v>464</v>
          </cell>
          <cell r="CW53">
            <v>165</v>
          </cell>
          <cell r="CX53">
            <v>0.5496</v>
          </cell>
          <cell r="CY53">
            <v>4343</v>
          </cell>
          <cell r="CZ53">
            <v>1748</v>
          </cell>
          <cell r="DA53">
            <v>1.4846</v>
          </cell>
          <cell r="DB53">
            <v>2793</v>
          </cell>
          <cell r="DC53">
            <v>0.555</v>
          </cell>
          <cell r="DD53">
            <v>0.7991</v>
          </cell>
          <cell r="DE53">
            <v>0.155</v>
          </cell>
          <cell r="DF53">
            <v>486</v>
          </cell>
          <cell r="DG53">
            <v>151</v>
          </cell>
          <cell r="DH53">
            <v>0.4507</v>
          </cell>
          <cell r="DI53">
            <v>4042</v>
          </cell>
          <cell r="DJ53">
            <v>1625</v>
          </cell>
          <cell r="DK53">
            <v>1.4874</v>
          </cell>
          <cell r="DL53">
            <v>2678</v>
          </cell>
          <cell r="DM53">
            <v>0.5093</v>
          </cell>
          <cell r="DN53">
            <v>1518</v>
          </cell>
          <cell r="DO53">
            <v>1009</v>
          </cell>
          <cell r="DP53">
            <v>0.5045</v>
          </cell>
          <cell r="DQ53">
            <v>1288</v>
          </cell>
          <cell r="DR53">
            <v>0.1786</v>
          </cell>
          <cell r="DS53">
            <v>1518</v>
          </cell>
          <cell r="DT53">
            <v>1010</v>
          </cell>
          <cell r="DU53">
            <v>0.503</v>
          </cell>
          <cell r="DV53">
            <v>1288</v>
          </cell>
          <cell r="DW53">
            <v>0.1786</v>
          </cell>
          <cell r="DX53">
            <v>1735</v>
          </cell>
          <cell r="DY53">
            <v>1048</v>
          </cell>
          <cell r="DZ53">
            <v>0.6555</v>
          </cell>
          <cell r="EA53">
            <v>1279</v>
          </cell>
          <cell r="EB53">
            <v>0.3565</v>
          </cell>
          <cell r="EC53">
            <v>642</v>
          </cell>
          <cell r="ED53">
            <v>574</v>
          </cell>
          <cell r="EE53">
            <v>0.1185</v>
          </cell>
          <cell r="EF53">
            <v>740</v>
          </cell>
          <cell r="EG53">
            <v>-0.1324</v>
          </cell>
          <cell r="EH53">
            <v>0.1548</v>
          </cell>
          <cell r="EI53">
            <v>-0.2125</v>
          </cell>
          <cell r="EJ53">
            <v>72</v>
          </cell>
          <cell r="EK53">
            <v>-38</v>
          </cell>
          <cell r="EL53">
            <v>-0.3469</v>
          </cell>
          <cell r="EM53">
            <v>660</v>
          </cell>
          <cell r="EN53">
            <v>575</v>
          </cell>
          <cell r="EO53">
            <v>0.1478</v>
          </cell>
          <cell r="EP53">
            <v>760</v>
          </cell>
          <cell r="EQ53">
            <v>-0.1316</v>
          </cell>
          <cell r="ER53">
            <v>929</v>
          </cell>
          <cell r="ES53">
            <v>627</v>
          </cell>
          <cell r="ET53">
            <v>0.4817</v>
          </cell>
          <cell r="EU53">
            <v>1408</v>
          </cell>
          <cell r="EV53">
            <v>-0.3402</v>
          </cell>
          <cell r="EW53">
            <v>0.224</v>
          </cell>
          <cell r="EX53">
            <v>-0.1772</v>
          </cell>
          <cell r="EY53">
            <v>104</v>
          </cell>
          <cell r="EZ53">
            <v>-16</v>
          </cell>
          <cell r="FA53">
            <v>-0.1349</v>
          </cell>
        </row>
        <row r="54">
          <cell r="A54" t="str">
            <v>涉赌</v>
          </cell>
          <cell r="B54" t="str">
            <v>云浮</v>
          </cell>
        </row>
        <row r="54">
          <cell r="AM54">
            <v>10</v>
          </cell>
          <cell r="AN54">
            <v>5</v>
          </cell>
          <cell r="AO54">
            <v>1</v>
          </cell>
          <cell r="AP54">
            <v>12</v>
          </cell>
          <cell r="AQ54">
            <v>-0.1667</v>
          </cell>
          <cell r="AR54">
            <v>0.8333</v>
          </cell>
          <cell r="AS54">
            <v>0.119</v>
          </cell>
          <cell r="AT54">
            <v>6</v>
          </cell>
          <cell r="AU54">
            <v>5</v>
          </cell>
          <cell r="AV54">
            <v>0.2</v>
          </cell>
          <cell r="AW54">
            <v>6</v>
          </cell>
          <cell r="AX54">
            <v>0</v>
          </cell>
          <cell r="AY54">
            <v>4</v>
          </cell>
          <cell r="AZ54">
            <v>2</v>
          </cell>
          <cell r="BA54">
            <v>1</v>
          </cell>
          <cell r="BB54">
            <v>9</v>
          </cell>
          <cell r="BC54">
            <v>-0.5556</v>
          </cell>
          <cell r="BD54">
            <v>0.6667</v>
          </cell>
          <cell r="BE54">
            <v>0.2667</v>
          </cell>
          <cell r="BF54">
            <v>6</v>
          </cell>
          <cell r="BG54">
            <v>2</v>
          </cell>
          <cell r="BH54">
            <v>2</v>
          </cell>
          <cell r="BI54">
            <v>1</v>
          </cell>
          <cell r="BJ54">
            <v>5</v>
          </cell>
          <cell r="BK54">
            <v>0.5</v>
          </cell>
          <cell r="BL54">
            <v>6</v>
          </cell>
          <cell r="BM54">
            <v>3</v>
          </cell>
          <cell r="BN54">
            <v>1</v>
          </cell>
          <cell r="BO54">
            <v>3</v>
          </cell>
          <cell r="BP54">
            <v>1</v>
          </cell>
          <cell r="BQ54">
            <v>9</v>
          </cell>
          <cell r="BR54">
            <v>9</v>
          </cell>
          <cell r="BS54">
            <v>0</v>
          </cell>
          <cell r="BT54">
            <v>10</v>
          </cell>
          <cell r="BU54">
            <v>-0.1</v>
          </cell>
          <cell r="BV54">
            <v>0.75</v>
          </cell>
          <cell r="BW54">
            <v>-0.5357</v>
          </cell>
          <cell r="BX54">
            <v>1.5</v>
          </cell>
          <cell r="BY54">
            <v>-0.3</v>
          </cell>
          <cell r="BZ54">
            <v>0</v>
          </cell>
          <cell r="CA54">
            <v>0</v>
          </cell>
          <cell r="CB54" t="str">
            <v>持平</v>
          </cell>
          <cell r="CC54">
            <v>0</v>
          </cell>
          <cell r="CD54" t="str">
            <v>持平</v>
          </cell>
          <cell r="CE54" t="str">
            <v/>
          </cell>
          <cell r="CF54" t="str">
            <v/>
          </cell>
          <cell r="CG54">
            <v>85</v>
          </cell>
          <cell r="CH54">
            <v>26</v>
          </cell>
          <cell r="CI54">
            <v>2.2692</v>
          </cell>
          <cell r="CJ54">
            <v>83</v>
          </cell>
          <cell r="CK54">
            <v>0.0241</v>
          </cell>
          <cell r="CL54">
            <v>708</v>
          </cell>
          <cell r="CM54">
            <v>337</v>
          </cell>
          <cell r="CN54">
            <v>0.9071</v>
          </cell>
          <cell r="CO54">
            <v>59</v>
          </cell>
          <cell r="CP54">
            <v>49</v>
          </cell>
          <cell r="CQ54">
            <v>0.2041</v>
          </cell>
          <cell r="CR54">
            <v>95</v>
          </cell>
          <cell r="CS54">
            <v>-0.3789</v>
          </cell>
          <cell r="CT54">
            <v>0.6941</v>
          </cell>
          <cell r="CU54">
            <v>-1.1905</v>
          </cell>
          <cell r="CV54">
            <v>492</v>
          </cell>
          <cell r="CW54">
            <v>-208</v>
          </cell>
          <cell r="CX54">
            <v>-0.2976</v>
          </cell>
          <cell r="CY54">
            <v>62</v>
          </cell>
          <cell r="CZ54">
            <v>49</v>
          </cell>
          <cell r="DA54">
            <v>0.2653</v>
          </cell>
          <cell r="DB54">
            <v>97</v>
          </cell>
          <cell r="DC54">
            <v>-0.3608</v>
          </cell>
          <cell r="DD54">
            <v>0.7294</v>
          </cell>
          <cell r="DE54">
            <v>-1.1552</v>
          </cell>
          <cell r="DF54">
            <v>517</v>
          </cell>
          <cell r="DG54">
            <v>-183</v>
          </cell>
          <cell r="DH54">
            <v>-0.2619</v>
          </cell>
          <cell r="DI54">
            <v>52</v>
          </cell>
          <cell r="DJ54">
            <v>46</v>
          </cell>
          <cell r="DK54">
            <v>0.1304</v>
          </cell>
          <cell r="DL54">
            <v>84</v>
          </cell>
          <cell r="DM54">
            <v>-0.381</v>
          </cell>
          <cell r="DN54">
            <v>27</v>
          </cell>
          <cell r="DO54">
            <v>12</v>
          </cell>
          <cell r="DP54">
            <v>1.25</v>
          </cell>
          <cell r="DQ54">
            <v>37</v>
          </cell>
          <cell r="DR54">
            <v>-0.2703</v>
          </cell>
          <cell r="DS54">
            <v>27</v>
          </cell>
          <cell r="DT54">
            <v>12</v>
          </cell>
          <cell r="DU54">
            <v>1.25</v>
          </cell>
          <cell r="DV54">
            <v>37</v>
          </cell>
          <cell r="DW54">
            <v>-0.2703</v>
          </cell>
          <cell r="DX54">
            <v>29</v>
          </cell>
          <cell r="DY54">
            <v>11</v>
          </cell>
          <cell r="DZ54">
            <v>1.6364</v>
          </cell>
          <cell r="EA54">
            <v>27</v>
          </cell>
          <cell r="EB54">
            <v>0.0741</v>
          </cell>
          <cell r="EC54">
            <v>15</v>
          </cell>
          <cell r="ED54">
            <v>7</v>
          </cell>
          <cell r="EE54">
            <v>1.1429</v>
          </cell>
          <cell r="EF54">
            <v>20</v>
          </cell>
          <cell r="EG54">
            <v>-0.25</v>
          </cell>
          <cell r="EH54">
            <v>0.2542</v>
          </cell>
          <cell r="EI54">
            <v>0.1114</v>
          </cell>
          <cell r="EJ54">
            <v>125</v>
          </cell>
          <cell r="EK54">
            <v>25</v>
          </cell>
          <cell r="EL54">
            <v>0.25</v>
          </cell>
          <cell r="EM54">
            <v>15</v>
          </cell>
          <cell r="EN54">
            <v>7</v>
          </cell>
          <cell r="EO54">
            <v>1.1429</v>
          </cell>
          <cell r="EP54">
            <v>20</v>
          </cell>
          <cell r="EQ54">
            <v>-0.25</v>
          </cell>
          <cell r="ER54">
            <v>22</v>
          </cell>
          <cell r="ES54">
            <v>10</v>
          </cell>
          <cell r="ET54">
            <v>1.2</v>
          </cell>
          <cell r="EU54">
            <v>21</v>
          </cell>
          <cell r="EV54">
            <v>0.0476</v>
          </cell>
          <cell r="EW54">
            <v>0.3729</v>
          </cell>
          <cell r="EX54">
            <v>0.1688</v>
          </cell>
          <cell r="EY54">
            <v>183</v>
          </cell>
          <cell r="EZ54">
            <v>40</v>
          </cell>
          <cell r="FA54">
            <v>0.2833</v>
          </cell>
        </row>
        <row r="55">
          <cell r="A55" t="str">
            <v>涉赌</v>
          </cell>
          <cell r="B55" t="str">
            <v>云城区</v>
          </cell>
        </row>
        <row r="55">
          <cell r="AM55">
            <v>1</v>
          </cell>
          <cell r="AN55">
            <v>0</v>
          </cell>
          <cell r="AO55" t="str">
            <v>多1起</v>
          </cell>
          <cell r="AP55">
            <v>0</v>
          </cell>
          <cell r="AQ55" t="str">
            <v>多1起</v>
          </cell>
          <cell r="AR55">
            <v>0.5</v>
          </cell>
          <cell r="AS55" t="str">
            <v/>
          </cell>
          <cell r="AT55">
            <v>2</v>
          </cell>
          <cell r="AU55">
            <v>0</v>
          </cell>
          <cell r="AV55" t="str">
            <v>多2起</v>
          </cell>
          <cell r="AW55">
            <v>0</v>
          </cell>
          <cell r="AX55" t="str">
            <v>多2起</v>
          </cell>
          <cell r="AY55">
            <v>1</v>
          </cell>
          <cell r="AZ55">
            <v>0</v>
          </cell>
          <cell r="BA55" t="str">
            <v>多1起</v>
          </cell>
          <cell r="BB55">
            <v>0</v>
          </cell>
          <cell r="BC55" t="str">
            <v>多1起</v>
          </cell>
          <cell r="BD55">
            <v>0.5</v>
          </cell>
          <cell r="BE55" t="str">
            <v/>
          </cell>
          <cell r="BF55">
            <v>0</v>
          </cell>
          <cell r="BG55">
            <v>0</v>
          </cell>
          <cell r="BH55" t="str">
            <v>持平</v>
          </cell>
          <cell r="BI55">
            <v>0</v>
          </cell>
          <cell r="BJ55" t="str">
            <v>持平</v>
          </cell>
          <cell r="BK55">
            <v>0</v>
          </cell>
          <cell r="BL55">
            <v>0</v>
          </cell>
          <cell r="BM55">
            <v>0</v>
          </cell>
          <cell r="BN55" t="str">
            <v>持平</v>
          </cell>
          <cell r="BO55">
            <v>0</v>
          </cell>
          <cell r="BP55" t="str">
            <v>持平</v>
          </cell>
          <cell r="BQ55">
            <v>0</v>
          </cell>
          <cell r="BR55">
            <v>1</v>
          </cell>
          <cell r="BS55" t="str">
            <v>少1起</v>
          </cell>
          <cell r="BT55">
            <v>0</v>
          </cell>
          <cell r="BU55" t="str">
            <v>持平</v>
          </cell>
          <cell r="BV55">
            <v>0</v>
          </cell>
          <cell r="BW55" t="str">
            <v/>
          </cell>
          <cell r="BX55">
            <v>0</v>
          </cell>
          <cell r="BY55" t="str">
            <v/>
          </cell>
          <cell r="BZ55">
            <v>0</v>
          </cell>
          <cell r="CA55">
            <v>0</v>
          </cell>
          <cell r="CB55" t="str">
            <v>持平</v>
          </cell>
          <cell r="CC55">
            <v>0</v>
          </cell>
          <cell r="CD55" t="str">
            <v>持平</v>
          </cell>
          <cell r="CE55" t="str">
            <v/>
          </cell>
          <cell r="CF55" t="str">
            <v/>
          </cell>
          <cell r="CG55">
            <v>45</v>
          </cell>
          <cell r="CH55">
            <v>0</v>
          </cell>
          <cell r="CI55" t="str">
            <v>多45人</v>
          </cell>
          <cell r="CJ55">
            <v>0</v>
          </cell>
          <cell r="CK55" t="str">
            <v>多45人</v>
          </cell>
          <cell r="CL55">
            <v>2250</v>
          </cell>
          <cell r="CM55" t="str">
            <v/>
          </cell>
          <cell r="CN55" t="str">
            <v/>
          </cell>
          <cell r="CO55">
            <v>17</v>
          </cell>
          <cell r="CP55">
            <v>0</v>
          </cell>
          <cell r="CQ55" t="str">
            <v>多17人</v>
          </cell>
          <cell r="CR55">
            <v>1</v>
          </cell>
          <cell r="CS55">
            <v>16</v>
          </cell>
          <cell r="CT55">
            <v>0.3778</v>
          </cell>
          <cell r="CU55" t="str">
            <v/>
          </cell>
          <cell r="CV55">
            <v>850</v>
          </cell>
          <cell r="CW55" t="str">
            <v/>
          </cell>
          <cell r="CX55" t="str">
            <v/>
          </cell>
          <cell r="CY55">
            <v>17</v>
          </cell>
          <cell r="CZ55">
            <v>0</v>
          </cell>
          <cell r="DA55" t="str">
            <v>多17人</v>
          </cell>
          <cell r="DB55">
            <v>1</v>
          </cell>
          <cell r="DC55">
            <v>16</v>
          </cell>
          <cell r="DD55">
            <v>0.3778</v>
          </cell>
          <cell r="DE55" t="str">
            <v/>
          </cell>
          <cell r="DF55">
            <v>850</v>
          </cell>
          <cell r="DG55" t="str">
            <v/>
          </cell>
          <cell r="DH55" t="str">
            <v/>
          </cell>
          <cell r="DI55">
            <v>0</v>
          </cell>
          <cell r="DJ55">
            <v>0</v>
          </cell>
          <cell r="DK55" t="str">
            <v>持平</v>
          </cell>
          <cell r="DL55">
            <v>0</v>
          </cell>
          <cell r="DM55" t="str">
            <v>持平</v>
          </cell>
          <cell r="DN55">
            <v>0</v>
          </cell>
          <cell r="DO55">
            <v>0</v>
          </cell>
          <cell r="DP55" t="str">
            <v>持平</v>
          </cell>
          <cell r="DQ55">
            <v>4</v>
          </cell>
          <cell r="DR55" t="str">
            <v>少4人</v>
          </cell>
          <cell r="DS55">
            <v>0</v>
          </cell>
          <cell r="DT55">
            <v>0</v>
          </cell>
          <cell r="DU55" t="str">
            <v>持平</v>
          </cell>
          <cell r="DV55">
            <v>4</v>
          </cell>
          <cell r="DW55" t="str">
            <v>少4人</v>
          </cell>
          <cell r="DX55">
            <v>7</v>
          </cell>
          <cell r="DY55">
            <v>0</v>
          </cell>
          <cell r="DZ55" t="str">
            <v>多7人</v>
          </cell>
          <cell r="EA55">
            <v>6</v>
          </cell>
          <cell r="EB55">
            <v>0.1667</v>
          </cell>
          <cell r="EC55">
            <v>1</v>
          </cell>
          <cell r="ED55">
            <v>0</v>
          </cell>
          <cell r="EE55" t="str">
            <v>多1人</v>
          </cell>
          <cell r="EF55">
            <v>4</v>
          </cell>
          <cell r="EG55">
            <v>-0.75</v>
          </cell>
          <cell r="EH55">
            <v>0.0588</v>
          </cell>
          <cell r="EI55" t="str">
            <v/>
          </cell>
          <cell r="EJ55">
            <v>50</v>
          </cell>
          <cell r="EK55" t="str">
            <v/>
          </cell>
          <cell r="EL55" t="str">
            <v/>
          </cell>
          <cell r="EM55">
            <v>1</v>
          </cell>
          <cell r="EN55">
            <v>0</v>
          </cell>
          <cell r="EO55" t="str">
            <v>多1人</v>
          </cell>
          <cell r="EP55">
            <v>4</v>
          </cell>
          <cell r="EQ55">
            <v>-0.75</v>
          </cell>
          <cell r="ER55">
            <v>0</v>
          </cell>
          <cell r="ES55">
            <v>2</v>
          </cell>
          <cell r="ET55" t="str">
            <v>少2人</v>
          </cell>
          <cell r="EU55">
            <v>0</v>
          </cell>
          <cell r="EV55" t="str">
            <v>持平</v>
          </cell>
          <cell r="EW55">
            <v>0</v>
          </cell>
          <cell r="EX55" t="str">
            <v/>
          </cell>
          <cell r="EY55">
            <v>0</v>
          </cell>
          <cell r="EZ55" t="str">
            <v/>
          </cell>
          <cell r="FA55" t="str">
            <v/>
          </cell>
        </row>
        <row r="56">
          <cell r="A56" t="str">
            <v>涉赌</v>
          </cell>
          <cell r="B56" t="str">
            <v>云安区</v>
          </cell>
        </row>
        <row r="56">
          <cell r="AM56">
            <v>1</v>
          </cell>
          <cell r="AN56">
            <v>1</v>
          </cell>
          <cell r="AO56">
            <v>0</v>
          </cell>
          <cell r="AP56">
            <v>1</v>
          </cell>
          <cell r="AQ56">
            <v>0</v>
          </cell>
          <cell r="AR56">
            <v>1</v>
          </cell>
          <cell r="AS56">
            <v>0</v>
          </cell>
          <cell r="AT56">
            <v>0</v>
          </cell>
          <cell r="AU56">
            <v>1</v>
          </cell>
          <cell r="AV56" t="str">
            <v>少1起</v>
          </cell>
          <cell r="AW56">
            <v>1</v>
          </cell>
          <cell r="AX56" t="str">
            <v>少1起</v>
          </cell>
          <cell r="AY56">
            <v>0</v>
          </cell>
          <cell r="AZ56">
            <v>1</v>
          </cell>
          <cell r="BA56" t="str">
            <v>少1起</v>
          </cell>
          <cell r="BB56">
            <v>1</v>
          </cell>
          <cell r="BC56" t="str">
            <v>少1起</v>
          </cell>
          <cell r="BD56" t="str">
            <v/>
          </cell>
          <cell r="BE56" t="str">
            <v/>
          </cell>
          <cell r="BF56">
            <v>1</v>
          </cell>
          <cell r="BG56">
            <v>0</v>
          </cell>
          <cell r="BH56" t="str">
            <v>多1起</v>
          </cell>
          <cell r="BI56">
            <v>0</v>
          </cell>
          <cell r="BJ56" t="str">
            <v>多1起</v>
          </cell>
          <cell r="BK56">
            <v>1</v>
          </cell>
          <cell r="BL56">
            <v>1</v>
          </cell>
          <cell r="BM56">
            <v>0</v>
          </cell>
          <cell r="BN56" t="str">
            <v>多1起</v>
          </cell>
          <cell r="BO56">
            <v>0</v>
          </cell>
          <cell r="BP56" t="str">
            <v>多1起</v>
          </cell>
          <cell r="BQ56">
            <v>2</v>
          </cell>
          <cell r="BR56">
            <v>2</v>
          </cell>
          <cell r="BS56">
            <v>0</v>
          </cell>
          <cell r="BT56">
            <v>2</v>
          </cell>
          <cell r="BU56">
            <v>0</v>
          </cell>
          <cell r="BV56">
            <v>2</v>
          </cell>
          <cell r="BW56">
            <v>0</v>
          </cell>
          <cell r="BX56" t="str">
            <v/>
          </cell>
          <cell r="BY56" t="str">
            <v/>
          </cell>
          <cell r="BZ56">
            <v>0</v>
          </cell>
          <cell r="CA56">
            <v>0</v>
          </cell>
          <cell r="CB56" t="str">
            <v>持平</v>
          </cell>
          <cell r="CC56">
            <v>0</v>
          </cell>
          <cell r="CD56" t="str">
            <v>持平</v>
          </cell>
          <cell r="CE56" t="str">
            <v/>
          </cell>
          <cell r="CF56" t="str">
            <v/>
          </cell>
          <cell r="CG56">
            <v>14</v>
          </cell>
          <cell r="CH56">
            <v>0</v>
          </cell>
          <cell r="CI56" t="str">
            <v>多14人</v>
          </cell>
          <cell r="CJ56">
            <v>57</v>
          </cell>
          <cell r="CK56">
            <v>-0.7544</v>
          </cell>
          <cell r="CL56">
            <v>1400</v>
          </cell>
          <cell r="CM56">
            <v>1400</v>
          </cell>
          <cell r="CN56" t="str">
            <v/>
          </cell>
          <cell r="CO56">
            <v>8</v>
          </cell>
          <cell r="CP56">
            <v>1</v>
          </cell>
          <cell r="CQ56">
            <v>7</v>
          </cell>
          <cell r="CR56">
            <v>18</v>
          </cell>
          <cell r="CS56">
            <v>-0.5556</v>
          </cell>
          <cell r="CT56">
            <v>0.5714</v>
          </cell>
          <cell r="CU56" t="str">
            <v/>
          </cell>
          <cell r="CV56">
            <v>800</v>
          </cell>
          <cell r="CW56">
            <v>700</v>
          </cell>
          <cell r="CX56">
            <v>7</v>
          </cell>
          <cell r="CY56">
            <v>8</v>
          </cell>
          <cell r="CZ56">
            <v>1</v>
          </cell>
          <cell r="DA56">
            <v>7</v>
          </cell>
          <cell r="DB56">
            <v>20</v>
          </cell>
          <cell r="DC56">
            <v>-0.6</v>
          </cell>
          <cell r="DD56">
            <v>0.5714</v>
          </cell>
          <cell r="DE56" t="str">
            <v/>
          </cell>
          <cell r="DF56">
            <v>800</v>
          </cell>
          <cell r="DG56">
            <v>700</v>
          </cell>
          <cell r="DH56">
            <v>7</v>
          </cell>
          <cell r="DI56">
            <v>0</v>
          </cell>
          <cell r="DJ56">
            <v>0</v>
          </cell>
          <cell r="DK56" t="str">
            <v>持平</v>
          </cell>
          <cell r="DL56">
            <v>0</v>
          </cell>
          <cell r="DM56" t="str">
            <v>持平</v>
          </cell>
          <cell r="DN56">
            <v>10</v>
          </cell>
          <cell r="DO56">
            <v>0</v>
          </cell>
          <cell r="DP56" t="str">
            <v>多10人</v>
          </cell>
          <cell r="DQ56">
            <v>9</v>
          </cell>
          <cell r="DR56">
            <v>0.1111</v>
          </cell>
          <cell r="DS56">
            <v>10</v>
          </cell>
          <cell r="DT56">
            <v>0</v>
          </cell>
          <cell r="DU56" t="str">
            <v>多10人</v>
          </cell>
          <cell r="DV56">
            <v>9</v>
          </cell>
          <cell r="DW56">
            <v>0.1111</v>
          </cell>
          <cell r="DX56">
            <v>4</v>
          </cell>
          <cell r="DY56">
            <v>0</v>
          </cell>
          <cell r="DZ56" t="str">
            <v>多4人</v>
          </cell>
          <cell r="EA56">
            <v>3</v>
          </cell>
          <cell r="EB56">
            <v>0.3333</v>
          </cell>
          <cell r="EC56">
            <v>2</v>
          </cell>
          <cell r="ED56">
            <v>2</v>
          </cell>
          <cell r="EE56">
            <v>0</v>
          </cell>
          <cell r="EF56">
            <v>3</v>
          </cell>
          <cell r="EG56">
            <v>-0.3333</v>
          </cell>
          <cell r="EH56">
            <v>0.25</v>
          </cell>
          <cell r="EI56">
            <v>-1.75</v>
          </cell>
          <cell r="EJ56">
            <v>200</v>
          </cell>
          <cell r="EK56">
            <v>0</v>
          </cell>
          <cell r="EL56">
            <v>0</v>
          </cell>
          <cell r="EM56">
            <v>2</v>
          </cell>
          <cell r="EN56">
            <v>2</v>
          </cell>
          <cell r="EO56">
            <v>0</v>
          </cell>
          <cell r="EP56">
            <v>3</v>
          </cell>
          <cell r="EQ56">
            <v>-0.3333</v>
          </cell>
          <cell r="ER56">
            <v>3</v>
          </cell>
          <cell r="ES56">
            <v>2</v>
          </cell>
          <cell r="ET56">
            <v>0.5</v>
          </cell>
          <cell r="EU56">
            <v>3</v>
          </cell>
          <cell r="EV56">
            <v>0</v>
          </cell>
          <cell r="EW56">
            <v>0.375</v>
          </cell>
          <cell r="EX56">
            <v>-1.625</v>
          </cell>
          <cell r="EY56">
            <v>300</v>
          </cell>
          <cell r="EZ56">
            <v>100</v>
          </cell>
          <cell r="FA56">
            <v>0.5</v>
          </cell>
        </row>
        <row r="57">
          <cell r="A57" t="str">
            <v>涉赌</v>
          </cell>
          <cell r="B57" t="str">
            <v>新兴县</v>
          </cell>
        </row>
        <row r="57">
          <cell r="AM57">
            <v>3</v>
          </cell>
          <cell r="AN57">
            <v>1</v>
          </cell>
          <cell r="AO57">
            <v>2</v>
          </cell>
          <cell r="AP57">
            <v>2</v>
          </cell>
          <cell r="AQ57">
            <v>0.5</v>
          </cell>
          <cell r="AR57">
            <v>0.75</v>
          </cell>
          <cell r="AS57">
            <v>0.25</v>
          </cell>
          <cell r="AT57">
            <v>2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0</v>
          </cell>
          <cell r="BA57" t="str">
            <v>多1起</v>
          </cell>
          <cell r="BB57">
            <v>2</v>
          </cell>
          <cell r="BC57">
            <v>-0.5</v>
          </cell>
          <cell r="BD57">
            <v>0.5</v>
          </cell>
          <cell r="BE57">
            <v>0.5</v>
          </cell>
          <cell r="BF57">
            <v>2</v>
          </cell>
          <cell r="BG57">
            <v>1</v>
          </cell>
          <cell r="BH57">
            <v>1</v>
          </cell>
          <cell r="BI57">
            <v>0</v>
          </cell>
          <cell r="BJ57" t="str">
            <v>多2起</v>
          </cell>
          <cell r="BK57">
            <v>0.5</v>
          </cell>
          <cell r="BL57">
            <v>2</v>
          </cell>
          <cell r="BM57">
            <v>1</v>
          </cell>
          <cell r="BN57">
            <v>1</v>
          </cell>
          <cell r="BO57">
            <v>0</v>
          </cell>
          <cell r="BP57" t="str">
            <v>多2起</v>
          </cell>
          <cell r="BQ57">
            <v>2</v>
          </cell>
          <cell r="BR57">
            <v>4</v>
          </cell>
          <cell r="BS57">
            <v>-0.5</v>
          </cell>
          <cell r="BT57">
            <v>2</v>
          </cell>
          <cell r="BU57">
            <v>0</v>
          </cell>
          <cell r="BV57">
            <v>0.5</v>
          </cell>
          <cell r="BW57">
            <v>-1.5</v>
          </cell>
          <cell r="BX57">
            <v>1</v>
          </cell>
          <cell r="BY57">
            <v>-3</v>
          </cell>
          <cell r="BZ57">
            <v>0</v>
          </cell>
          <cell r="CA57">
            <v>0</v>
          </cell>
          <cell r="CB57" t="str">
            <v>持平</v>
          </cell>
          <cell r="CC57">
            <v>0</v>
          </cell>
          <cell r="CD57" t="str">
            <v>持平</v>
          </cell>
          <cell r="CE57" t="str">
            <v/>
          </cell>
          <cell r="CF57" t="str">
            <v/>
          </cell>
          <cell r="CG57">
            <v>9</v>
          </cell>
          <cell r="CH57">
            <v>16</v>
          </cell>
          <cell r="CI57">
            <v>-0.4375</v>
          </cell>
          <cell r="CJ57">
            <v>1</v>
          </cell>
          <cell r="CK57">
            <v>8</v>
          </cell>
          <cell r="CL57">
            <v>225</v>
          </cell>
          <cell r="CM57">
            <v>-575</v>
          </cell>
          <cell r="CN57">
            <v>-0.7188</v>
          </cell>
          <cell r="CO57">
            <v>9</v>
          </cell>
          <cell r="CP57">
            <v>6</v>
          </cell>
          <cell r="CQ57">
            <v>0.5</v>
          </cell>
          <cell r="CR57">
            <v>3</v>
          </cell>
          <cell r="CS57">
            <v>2</v>
          </cell>
          <cell r="CT57">
            <v>1</v>
          </cell>
          <cell r="CU57">
            <v>0.625</v>
          </cell>
          <cell r="CV57">
            <v>225</v>
          </cell>
          <cell r="CW57">
            <v>-75</v>
          </cell>
          <cell r="CX57">
            <v>-0.25</v>
          </cell>
          <cell r="CY57">
            <v>10</v>
          </cell>
          <cell r="CZ57">
            <v>6</v>
          </cell>
          <cell r="DA57">
            <v>0.6667</v>
          </cell>
          <cell r="DB57">
            <v>3</v>
          </cell>
          <cell r="DC57">
            <v>2.3333</v>
          </cell>
          <cell r="DD57">
            <v>1.1111</v>
          </cell>
          <cell r="DE57">
            <v>0.7361</v>
          </cell>
          <cell r="DF57">
            <v>250</v>
          </cell>
          <cell r="DG57">
            <v>-50</v>
          </cell>
          <cell r="DH57">
            <v>-0.1667</v>
          </cell>
          <cell r="DI57">
            <v>7</v>
          </cell>
          <cell r="DJ57">
            <v>18</v>
          </cell>
          <cell r="DK57">
            <v>-0.6111</v>
          </cell>
          <cell r="DL57">
            <v>16</v>
          </cell>
          <cell r="DM57">
            <v>-0.5625</v>
          </cell>
          <cell r="DN57">
            <v>6</v>
          </cell>
          <cell r="DO57">
            <v>1</v>
          </cell>
          <cell r="DP57">
            <v>5</v>
          </cell>
          <cell r="DQ57">
            <v>0</v>
          </cell>
          <cell r="DR57" t="str">
            <v>多6人</v>
          </cell>
          <cell r="DS57">
            <v>6</v>
          </cell>
          <cell r="DT57">
            <v>1</v>
          </cell>
          <cell r="DU57">
            <v>5</v>
          </cell>
          <cell r="DV57">
            <v>0</v>
          </cell>
          <cell r="DW57" t="str">
            <v>多6人</v>
          </cell>
          <cell r="DX57">
            <v>5</v>
          </cell>
          <cell r="DY57">
            <v>1</v>
          </cell>
          <cell r="DZ57">
            <v>4</v>
          </cell>
          <cell r="EA57">
            <v>2</v>
          </cell>
          <cell r="EB57">
            <v>1.5</v>
          </cell>
          <cell r="EC57">
            <v>0</v>
          </cell>
          <cell r="ED57">
            <v>0</v>
          </cell>
          <cell r="EE57" t="str">
            <v>持平</v>
          </cell>
          <cell r="EF57">
            <v>0</v>
          </cell>
          <cell r="EG57" t="str">
            <v>持平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 t="str">
            <v/>
          </cell>
          <cell r="EM57">
            <v>0</v>
          </cell>
          <cell r="EN57">
            <v>0</v>
          </cell>
          <cell r="EO57" t="str">
            <v>持平</v>
          </cell>
          <cell r="EP57">
            <v>0</v>
          </cell>
          <cell r="EQ57" t="str">
            <v>持平</v>
          </cell>
          <cell r="ER57">
            <v>5</v>
          </cell>
          <cell r="ES57">
            <v>4</v>
          </cell>
          <cell r="ET57">
            <v>0.25</v>
          </cell>
          <cell r="EU57">
            <v>4</v>
          </cell>
          <cell r="EV57">
            <v>0.25</v>
          </cell>
          <cell r="EW57">
            <v>0.5556</v>
          </cell>
          <cell r="EX57">
            <v>-0.1111</v>
          </cell>
          <cell r="EY57">
            <v>125</v>
          </cell>
          <cell r="EZ57">
            <v>-75</v>
          </cell>
          <cell r="FA57">
            <v>-0.375</v>
          </cell>
        </row>
        <row r="58">
          <cell r="A58" t="str">
            <v>涉赌</v>
          </cell>
          <cell r="B58" t="str">
            <v>郁南县</v>
          </cell>
        </row>
        <row r="58">
          <cell r="AM58">
            <v>2</v>
          </cell>
          <cell r="AN58">
            <v>1</v>
          </cell>
          <cell r="AO58">
            <v>1</v>
          </cell>
          <cell r="AP58">
            <v>0</v>
          </cell>
          <cell r="AQ58" t="str">
            <v>多2起</v>
          </cell>
          <cell r="AR58">
            <v>1</v>
          </cell>
          <cell r="AS58">
            <v>0.5</v>
          </cell>
          <cell r="AT58">
            <v>2</v>
          </cell>
          <cell r="AU58">
            <v>2</v>
          </cell>
          <cell r="AV58">
            <v>0</v>
          </cell>
          <cell r="AW58">
            <v>0</v>
          </cell>
          <cell r="AX58" t="str">
            <v>多2起</v>
          </cell>
          <cell r="AY58">
            <v>2</v>
          </cell>
          <cell r="AZ58">
            <v>1</v>
          </cell>
          <cell r="BA58">
            <v>1</v>
          </cell>
          <cell r="BB58">
            <v>0</v>
          </cell>
          <cell r="BC58" t="str">
            <v>多2起</v>
          </cell>
          <cell r="BD58">
            <v>1</v>
          </cell>
          <cell r="BE58">
            <v>0.5</v>
          </cell>
          <cell r="BF58">
            <v>0</v>
          </cell>
          <cell r="BG58">
            <v>0</v>
          </cell>
          <cell r="BH58" t="str">
            <v>持平</v>
          </cell>
          <cell r="BI58">
            <v>0</v>
          </cell>
          <cell r="BJ58" t="str">
            <v>持平</v>
          </cell>
          <cell r="BK58">
            <v>0</v>
          </cell>
          <cell r="BL58">
            <v>0</v>
          </cell>
          <cell r="BM58">
            <v>0</v>
          </cell>
          <cell r="BN58" t="str">
            <v>持平</v>
          </cell>
          <cell r="BO58">
            <v>0</v>
          </cell>
          <cell r="BP58" t="str">
            <v>持平</v>
          </cell>
          <cell r="BQ58">
            <v>3</v>
          </cell>
          <cell r="BR58">
            <v>0</v>
          </cell>
          <cell r="BS58" t="str">
            <v>多3起</v>
          </cell>
          <cell r="BT58">
            <v>4</v>
          </cell>
          <cell r="BU58">
            <v>-0.25</v>
          </cell>
          <cell r="BV58">
            <v>1.5</v>
          </cell>
          <cell r="BW58">
            <v>1.5</v>
          </cell>
          <cell r="BX58">
            <v>1.5</v>
          </cell>
          <cell r="BY58">
            <v>1.5</v>
          </cell>
          <cell r="BZ58">
            <v>0</v>
          </cell>
          <cell r="CA58">
            <v>0</v>
          </cell>
          <cell r="CB58" t="str">
            <v>持平</v>
          </cell>
          <cell r="CC58">
            <v>0</v>
          </cell>
          <cell r="CD58" t="str">
            <v>持平</v>
          </cell>
          <cell r="CE58" t="str">
            <v/>
          </cell>
          <cell r="CF58" t="str">
            <v/>
          </cell>
          <cell r="CG58">
            <v>4</v>
          </cell>
          <cell r="CH58">
            <v>7</v>
          </cell>
          <cell r="CI58">
            <v>-0.4286</v>
          </cell>
          <cell r="CJ58">
            <v>1</v>
          </cell>
          <cell r="CK58">
            <v>3</v>
          </cell>
          <cell r="CL58">
            <v>200</v>
          </cell>
          <cell r="CM58">
            <v>-150</v>
          </cell>
          <cell r="CN58">
            <v>-0.4286</v>
          </cell>
          <cell r="CO58">
            <v>3</v>
          </cell>
          <cell r="CP58">
            <v>2</v>
          </cell>
          <cell r="CQ58">
            <v>0.5</v>
          </cell>
          <cell r="CR58">
            <v>0</v>
          </cell>
          <cell r="CS58" t="str">
            <v>多3人</v>
          </cell>
          <cell r="CT58">
            <v>0.75</v>
          </cell>
          <cell r="CU58">
            <v>0.4643</v>
          </cell>
          <cell r="CV58">
            <v>150</v>
          </cell>
          <cell r="CW58">
            <v>50</v>
          </cell>
          <cell r="CX58">
            <v>0.5</v>
          </cell>
          <cell r="CY58">
            <v>4</v>
          </cell>
          <cell r="CZ58">
            <v>2</v>
          </cell>
          <cell r="DA58">
            <v>1</v>
          </cell>
          <cell r="DB58">
            <v>0</v>
          </cell>
          <cell r="DC58" t="str">
            <v>多4人</v>
          </cell>
          <cell r="DD58">
            <v>1</v>
          </cell>
          <cell r="DE58">
            <v>0.7143</v>
          </cell>
          <cell r="DF58">
            <v>200</v>
          </cell>
          <cell r="DG58">
            <v>100</v>
          </cell>
          <cell r="DH58">
            <v>1</v>
          </cell>
          <cell r="DI58">
            <v>4</v>
          </cell>
          <cell r="DJ58">
            <v>2</v>
          </cell>
          <cell r="DK58">
            <v>1</v>
          </cell>
          <cell r="DL58">
            <v>9</v>
          </cell>
          <cell r="DM58">
            <v>-0.5556</v>
          </cell>
          <cell r="DN58">
            <v>2</v>
          </cell>
          <cell r="DO58">
            <v>5</v>
          </cell>
          <cell r="DP58">
            <v>-0.6</v>
          </cell>
          <cell r="DQ58">
            <v>5</v>
          </cell>
          <cell r="DR58">
            <v>-0.6</v>
          </cell>
          <cell r="DS58">
            <v>2</v>
          </cell>
          <cell r="DT58">
            <v>5</v>
          </cell>
          <cell r="DU58">
            <v>-0.6</v>
          </cell>
          <cell r="DV58">
            <v>5</v>
          </cell>
          <cell r="DW58">
            <v>-0.6</v>
          </cell>
          <cell r="DX58">
            <v>1</v>
          </cell>
          <cell r="DY58">
            <v>0</v>
          </cell>
          <cell r="DZ58" t="str">
            <v>多1人</v>
          </cell>
          <cell r="EA58">
            <v>8</v>
          </cell>
          <cell r="EB58">
            <v>-0.875</v>
          </cell>
          <cell r="EC58">
            <v>3</v>
          </cell>
          <cell r="ED58">
            <v>0</v>
          </cell>
          <cell r="EE58" t="str">
            <v>多3人</v>
          </cell>
          <cell r="EF58">
            <v>6</v>
          </cell>
          <cell r="EG58">
            <v>-0.5</v>
          </cell>
          <cell r="EH58">
            <v>1</v>
          </cell>
          <cell r="EI58">
            <v>1</v>
          </cell>
          <cell r="EJ58">
            <v>150</v>
          </cell>
          <cell r="EK58">
            <v>150</v>
          </cell>
          <cell r="EL58" t="str">
            <v/>
          </cell>
          <cell r="EM58">
            <v>3</v>
          </cell>
          <cell r="EN58">
            <v>0</v>
          </cell>
          <cell r="EO58" t="str">
            <v>多3人</v>
          </cell>
          <cell r="EP58">
            <v>6</v>
          </cell>
          <cell r="EQ58">
            <v>-0.5</v>
          </cell>
          <cell r="ER58">
            <v>10</v>
          </cell>
          <cell r="ES58">
            <v>0</v>
          </cell>
          <cell r="ET58" t="str">
            <v>多10人</v>
          </cell>
          <cell r="EU58">
            <v>8</v>
          </cell>
          <cell r="EV58">
            <v>0.25</v>
          </cell>
          <cell r="EW58">
            <v>3.3333</v>
          </cell>
          <cell r="EX58">
            <v>3.3333</v>
          </cell>
          <cell r="EY58">
            <v>500</v>
          </cell>
          <cell r="EZ58">
            <v>500</v>
          </cell>
          <cell r="FA58" t="str">
            <v/>
          </cell>
        </row>
        <row r="59">
          <cell r="A59" t="str">
            <v>涉赌</v>
          </cell>
          <cell r="B59" t="str">
            <v>罗定市</v>
          </cell>
        </row>
        <row r="59">
          <cell r="AM59">
            <v>2</v>
          </cell>
          <cell r="AN59">
            <v>1</v>
          </cell>
          <cell r="AO59">
            <v>1</v>
          </cell>
          <cell r="AP59">
            <v>2</v>
          </cell>
          <cell r="AQ59">
            <v>0</v>
          </cell>
          <cell r="AR59">
            <v>1</v>
          </cell>
          <cell r="AS59">
            <v>0</v>
          </cell>
          <cell r="AT59">
            <v>0</v>
          </cell>
          <cell r="AU59">
            <v>1</v>
          </cell>
          <cell r="AV59" t="str">
            <v>少1起</v>
          </cell>
          <cell r="AW59">
            <v>0</v>
          </cell>
          <cell r="AX59" t="str">
            <v>持平</v>
          </cell>
          <cell r="AY59">
            <v>0</v>
          </cell>
          <cell r="AZ59">
            <v>0</v>
          </cell>
          <cell r="BA59" t="str">
            <v>持平</v>
          </cell>
          <cell r="BB59">
            <v>1</v>
          </cell>
          <cell r="BC59" t="str">
            <v>少1起</v>
          </cell>
          <cell r="BD59" t="str">
            <v/>
          </cell>
          <cell r="BE59" t="str">
            <v/>
          </cell>
          <cell r="BF59">
            <v>2</v>
          </cell>
          <cell r="BG59">
            <v>0</v>
          </cell>
          <cell r="BH59" t="str">
            <v>多2起</v>
          </cell>
          <cell r="BI59">
            <v>0</v>
          </cell>
          <cell r="BJ59" t="str">
            <v>多2起</v>
          </cell>
          <cell r="BK59">
            <v>1</v>
          </cell>
          <cell r="BL59">
            <v>2</v>
          </cell>
          <cell r="BM59">
            <v>1</v>
          </cell>
          <cell r="BN59">
            <v>1</v>
          </cell>
          <cell r="BO59">
            <v>1</v>
          </cell>
          <cell r="BP59">
            <v>1</v>
          </cell>
          <cell r="BQ59">
            <v>1</v>
          </cell>
          <cell r="BR59">
            <v>2</v>
          </cell>
          <cell r="BS59">
            <v>-0.5</v>
          </cell>
          <cell r="BT59">
            <v>1</v>
          </cell>
          <cell r="BU59">
            <v>0</v>
          </cell>
          <cell r="BV59">
            <v>0.5</v>
          </cell>
          <cell r="BW59">
            <v>-1.5</v>
          </cell>
          <cell r="BX59" t="str">
            <v/>
          </cell>
          <cell r="BY59" t="str">
            <v/>
          </cell>
          <cell r="BZ59">
            <v>0</v>
          </cell>
          <cell r="CA59">
            <v>0</v>
          </cell>
          <cell r="CB59" t="str">
            <v>持平</v>
          </cell>
          <cell r="CC59">
            <v>0</v>
          </cell>
          <cell r="CD59" t="str">
            <v>持平</v>
          </cell>
          <cell r="CE59" t="str">
            <v/>
          </cell>
          <cell r="CF59" t="str">
            <v/>
          </cell>
          <cell r="CG59">
            <v>13</v>
          </cell>
          <cell r="CH59">
            <v>3</v>
          </cell>
          <cell r="CI59">
            <v>3.3333</v>
          </cell>
          <cell r="CJ59">
            <v>24</v>
          </cell>
          <cell r="CK59">
            <v>-0.4583</v>
          </cell>
          <cell r="CL59">
            <v>650</v>
          </cell>
          <cell r="CM59">
            <v>350</v>
          </cell>
          <cell r="CN59">
            <v>1.1667</v>
          </cell>
          <cell r="CO59">
            <v>8</v>
          </cell>
          <cell r="CP59">
            <v>15</v>
          </cell>
          <cell r="CQ59">
            <v>-0.4667</v>
          </cell>
          <cell r="CR59">
            <v>0</v>
          </cell>
          <cell r="CS59" t="str">
            <v>多8人</v>
          </cell>
          <cell r="CT59">
            <v>0.6154</v>
          </cell>
          <cell r="CU59">
            <v>-4.3846</v>
          </cell>
          <cell r="CV59">
            <v>400</v>
          </cell>
          <cell r="CW59">
            <v>-1100</v>
          </cell>
          <cell r="CX59">
            <v>-0.7333</v>
          </cell>
          <cell r="CY59">
            <v>8</v>
          </cell>
          <cell r="CZ59">
            <v>15</v>
          </cell>
          <cell r="DA59">
            <v>-0.4667</v>
          </cell>
          <cell r="DB59">
            <v>0</v>
          </cell>
          <cell r="DC59" t="str">
            <v>多8人</v>
          </cell>
          <cell r="DD59">
            <v>0.6154</v>
          </cell>
          <cell r="DE59">
            <v>-4.3846</v>
          </cell>
          <cell r="DF59">
            <v>400</v>
          </cell>
          <cell r="DG59">
            <v>-1100</v>
          </cell>
          <cell r="DH59">
            <v>-0.7333</v>
          </cell>
          <cell r="DI59">
            <v>17</v>
          </cell>
          <cell r="DJ59">
            <v>0</v>
          </cell>
          <cell r="DK59" t="str">
            <v>多17人</v>
          </cell>
          <cell r="DL59">
            <v>26</v>
          </cell>
          <cell r="DM59">
            <v>-0.3462</v>
          </cell>
          <cell r="DN59">
            <v>1</v>
          </cell>
          <cell r="DO59">
            <v>6</v>
          </cell>
          <cell r="DP59">
            <v>-0.8333</v>
          </cell>
          <cell r="DQ59">
            <v>1</v>
          </cell>
          <cell r="DR59">
            <v>0</v>
          </cell>
          <cell r="DS59">
            <v>1</v>
          </cell>
          <cell r="DT59">
            <v>6</v>
          </cell>
          <cell r="DU59">
            <v>-0.8333</v>
          </cell>
          <cell r="DV59">
            <v>1</v>
          </cell>
          <cell r="DW59">
            <v>0</v>
          </cell>
          <cell r="DX59">
            <v>12</v>
          </cell>
          <cell r="DY59">
            <v>10</v>
          </cell>
          <cell r="DZ59">
            <v>0.2</v>
          </cell>
          <cell r="EA59">
            <v>8</v>
          </cell>
          <cell r="EB59">
            <v>0.5</v>
          </cell>
          <cell r="EC59">
            <v>9</v>
          </cell>
          <cell r="ED59">
            <v>5</v>
          </cell>
          <cell r="EE59">
            <v>0.8</v>
          </cell>
          <cell r="EF59">
            <v>7</v>
          </cell>
          <cell r="EG59">
            <v>0.2857</v>
          </cell>
          <cell r="EH59">
            <v>1.125</v>
          </cell>
          <cell r="EI59">
            <v>0.7917</v>
          </cell>
          <cell r="EJ59">
            <v>450</v>
          </cell>
          <cell r="EK59">
            <v>-50</v>
          </cell>
          <cell r="EL59">
            <v>-0.1</v>
          </cell>
          <cell r="EM59">
            <v>9</v>
          </cell>
          <cell r="EN59">
            <v>5</v>
          </cell>
          <cell r="EO59">
            <v>0.8</v>
          </cell>
          <cell r="EP59">
            <v>7</v>
          </cell>
          <cell r="EQ59">
            <v>0.2857</v>
          </cell>
          <cell r="ER59">
            <v>3</v>
          </cell>
          <cell r="ES59">
            <v>2</v>
          </cell>
          <cell r="ET59">
            <v>0.5</v>
          </cell>
          <cell r="EU59">
            <v>1</v>
          </cell>
          <cell r="EV59">
            <v>2</v>
          </cell>
          <cell r="EW59">
            <v>0.375</v>
          </cell>
          <cell r="EX59">
            <v>0.2417</v>
          </cell>
          <cell r="EY59">
            <v>150</v>
          </cell>
          <cell r="EZ59">
            <v>-50</v>
          </cell>
          <cell r="FA59">
            <v>-0.25</v>
          </cell>
        </row>
        <row r="60">
          <cell r="A60" t="str">
            <v>涉毒</v>
          </cell>
          <cell r="B60" t="str">
            <v>全省</v>
          </cell>
        </row>
        <row r="60">
          <cell r="AM60">
            <v>607</v>
          </cell>
          <cell r="AN60">
            <v>446</v>
          </cell>
          <cell r="AO60">
            <v>0.361</v>
          </cell>
          <cell r="AP60">
            <v>172</v>
          </cell>
          <cell r="AQ60">
            <v>2.5291</v>
          </cell>
          <cell r="AR60">
            <v>1.0306</v>
          </cell>
          <cell r="AS60">
            <v>-0.0789</v>
          </cell>
          <cell r="AT60">
            <v>415</v>
          </cell>
          <cell r="AU60">
            <v>259</v>
          </cell>
          <cell r="AV60">
            <v>0.6023</v>
          </cell>
          <cell r="AW60">
            <v>269</v>
          </cell>
          <cell r="AX60">
            <v>0.5428</v>
          </cell>
          <cell r="AY60">
            <v>365</v>
          </cell>
          <cell r="AZ60">
            <v>270</v>
          </cell>
          <cell r="BA60">
            <v>0.3519</v>
          </cell>
          <cell r="BB60">
            <v>167</v>
          </cell>
          <cell r="BC60">
            <v>1.1856</v>
          </cell>
          <cell r="BD60">
            <v>0.8795</v>
          </cell>
          <cell r="BE60">
            <v>-0.163</v>
          </cell>
          <cell r="BF60">
            <v>174</v>
          </cell>
          <cell r="BG60">
            <v>143</v>
          </cell>
          <cell r="BH60">
            <v>0.2168</v>
          </cell>
          <cell r="BI60">
            <v>44</v>
          </cell>
          <cell r="BJ60">
            <v>2.9545</v>
          </cell>
          <cell r="BK60">
            <v>0.2954</v>
          </cell>
          <cell r="BL60">
            <v>242</v>
          </cell>
          <cell r="BM60">
            <v>176</v>
          </cell>
          <cell r="BN60">
            <v>0.375</v>
          </cell>
          <cell r="BO60">
            <v>5</v>
          </cell>
          <cell r="BP60">
            <v>47.4</v>
          </cell>
          <cell r="BQ60">
            <v>159</v>
          </cell>
          <cell r="BR60">
            <v>200</v>
          </cell>
          <cell r="BS60">
            <v>-0.205</v>
          </cell>
          <cell r="BT60">
            <v>383</v>
          </cell>
          <cell r="BU60">
            <v>-0.5849</v>
          </cell>
          <cell r="BV60">
            <v>0.2699</v>
          </cell>
          <cell r="BW60">
            <v>-0.2276</v>
          </cell>
          <cell r="BX60">
            <v>0.3831</v>
          </cell>
          <cell r="BY60">
            <v>-0.3891</v>
          </cell>
          <cell r="BZ60">
            <v>0</v>
          </cell>
          <cell r="CA60">
            <v>1</v>
          </cell>
          <cell r="CB60" t="str">
            <v>少1起</v>
          </cell>
          <cell r="CC60">
            <v>13</v>
          </cell>
          <cell r="CD60" t="str">
            <v>少13起</v>
          </cell>
          <cell r="CE60" t="str">
            <v/>
          </cell>
          <cell r="CF60" t="str">
            <v/>
          </cell>
          <cell r="CG60">
            <v>985</v>
          </cell>
          <cell r="CH60">
            <v>652</v>
          </cell>
          <cell r="CI60">
            <v>0.5107</v>
          </cell>
          <cell r="CJ60">
            <v>417</v>
          </cell>
          <cell r="CK60">
            <v>1.3621</v>
          </cell>
          <cell r="CL60">
            <v>167</v>
          </cell>
          <cell r="CM60">
            <v>5</v>
          </cell>
          <cell r="CN60">
            <v>0.0311</v>
          </cell>
          <cell r="CO60">
            <v>992</v>
          </cell>
          <cell r="CP60">
            <v>605</v>
          </cell>
          <cell r="CQ60">
            <v>0.6397</v>
          </cell>
          <cell r="CR60">
            <v>496</v>
          </cell>
          <cell r="CS60">
            <v>1</v>
          </cell>
          <cell r="CT60">
            <v>1.0071</v>
          </cell>
          <cell r="CU60">
            <v>0.0792</v>
          </cell>
          <cell r="CV60">
            <v>168</v>
          </cell>
          <cell r="CW60">
            <v>18</v>
          </cell>
          <cell r="CX60">
            <v>0.1191</v>
          </cell>
          <cell r="CY60">
            <v>1032</v>
          </cell>
          <cell r="CZ60">
            <v>645</v>
          </cell>
          <cell r="DA60">
            <v>0.6</v>
          </cell>
          <cell r="DB60">
            <v>527</v>
          </cell>
          <cell r="DC60">
            <v>0.9583</v>
          </cell>
          <cell r="DD60">
            <v>1.0477</v>
          </cell>
          <cell r="DE60">
            <v>0.0585</v>
          </cell>
          <cell r="DF60">
            <v>175</v>
          </cell>
          <cell r="DG60">
            <v>15</v>
          </cell>
          <cell r="DH60">
            <v>0.092</v>
          </cell>
          <cell r="DI60">
            <v>911</v>
          </cell>
          <cell r="DJ60">
            <v>601</v>
          </cell>
          <cell r="DK60">
            <v>0.5158</v>
          </cell>
          <cell r="DL60">
            <v>450</v>
          </cell>
          <cell r="DM60">
            <v>1.0244</v>
          </cell>
          <cell r="DN60">
            <v>180</v>
          </cell>
          <cell r="DO60">
            <v>165</v>
          </cell>
          <cell r="DP60">
            <v>0.0909</v>
          </cell>
          <cell r="DQ60">
            <v>182</v>
          </cell>
          <cell r="DR60">
            <v>-0.011</v>
          </cell>
          <cell r="DS60">
            <v>180</v>
          </cell>
          <cell r="DT60">
            <v>165</v>
          </cell>
          <cell r="DU60">
            <v>0.0909</v>
          </cell>
          <cell r="DV60">
            <v>182</v>
          </cell>
          <cell r="DW60">
            <v>-0.011</v>
          </cell>
          <cell r="DX60">
            <v>489</v>
          </cell>
          <cell r="DY60">
            <v>375</v>
          </cell>
          <cell r="DZ60">
            <v>0.304</v>
          </cell>
          <cell r="EA60">
            <v>453</v>
          </cell>
          <cell r="EB60">
            <v>0.0795</v>
          </cell>
          <cell r="EC60">
            <v>256</v>
          </cell>
          <cell r="ED60">
            <v>294</v>
          </cell>
          <cell r="EE60">
            <v>-0.1293</v>
          </cell>
          <cell r="EF60">
            <v>348</v>
          </cell>
          <cell r="EG60">
            <v>-0.2644</v>
          </cell>
          <cell r="EH60">
            <v>0.2581</v>
          </cell>
          <cell r="EI60">
            <v>-0.2279</v>
          </cell>
          <cell r="EJ60">
            <v>43</v>
          </cell>
          <cell r="EK60">
            <v>-30</v>
          </cell>
          <cell r="EL60">
            <v>-0.4057</v>
          </cell>
          <cell r="EM60">
            <v>257</v>
          </cell>
          <cell r="EN60">
            <v>296</v>
          </cell>
          <cell r="EO60">
            <v>-0.1318</v>
          </cell>
          <cell r="EP60">
            <v>351</v>
          </cell>
          <cell r="EQ60">
            <v>-0.2678</v>
          </cell>
          <cell r="ER60">
            <v>249</v>
          </cell>
          <cell r="ES60">
            <v>334</v>
          </cell>
          <cell r="ET60">
            <v>-0.2545</v>
          </cell>
          <cell r="EU60">
            <v>536</v>
          </cell>
          <cell r="EV60">
            <v>-0.5354</v>
          </cell>
          <cell r="EW60">
            <v>0.251</v>
          </cell>
          <cell r="EX60">
            <v>-0.3011</v>
          </cell>
          <cell r="EY60">
            <v>42</v>
          </cell>
          <cell r="EZ60">
            <v>-41</v>
          </cell>
          <cell r="FA60">
            <v>-0.4912</v>
          </cell>
        </row>
        <row r="61">
          <cell r="A61" t="str">
            <v>涉毒</v>
          </cell>
          <cell r="B61" t="str">
            <v>云浮</v>
          </cell>
        </row>
        <row r="61">
          <cell r="AM61">
            <v>38</v>
          </cell>
          <cell r="AN61">
            <v>32</v>
          </cell>
          <cell r="AO61">
            <v>0.1875</v>
          </cell>
          <cell r="AP61">
            <v>5</v>
          </cell>
          <cell r="AQ61">
            <v>6.6</v>
          </cell>
          <cell r="AR61">
            <v>1.4074</v>
          </cell>
          <cell r="AS61">
            <v>0.1274</v>
          </cell>
          <cell r="AT61">
            <v>15</v>
          </cell>
          <cell r="AU61">
            <v>16</v>
          </cell>
          <cell r="AV61">
            <v>-0.0625</v>
          </cell>
          <cell r="AW61">
            <v>9</v>
          </cell>
          <cell r="AX61">
            <v>0.6667</v>
          </cell>
          <cell r="AY61">
            <v>20</v>
          </cell>
          <cell r="AZ61">
            <v>19</v>
          </cell>
          <cell r="BA61">
            <v>0.0526</v>
          </cell>
          <cell r="BB61">
            <v>5</v>
          </cell>
          <cell r="BC61">
            <v>3</v>
          </cell>
          <cell r="BD61">
            <v>1.3333</v>
          </cell>
          <cell r="BE61">
            <v>0.1458</v>
          </cell>
          <cell r="BF61">
            <v>12</v>
          </cell>
          <cell r="BG61">
            <v>9</v>
          </cell>
          <cell r="BH61">
            <v>0.3333</v>
          </cell>
          <cell r="BI61">
            <v>1</v>
          </cell>
          <cell r="BJ61">
            <v>11</v>
          </cell>
          <cell r="BK61">
            <v>0.4444</v>
          </cell>
          <cell r="BL61">
            <v>18</v>
          </cell>
          <cell r="BM61">
            <v>13</v>
          </cell>
          <cell r="BN61">
            <v>0.3846</v>
          </cell>
          <cell r="BO61">
            <v>0</v>
          </cell>
          <cell r="BP61" t="str">
            <v>多18起</v>
          </cell>
          <cell r="BQ61">
            <v>5</v>
          </cell>
          <cell r="BR61">
            <v>2</v>
          </cell>
          <cell r="BS61">
            <v>1.5</v>
          </cell>
          <cell r="BT61">
            <v>17</v>
          </cell>
          <cell r="BU61">
            <v>-0.7059</v>
          </cell>
          <cell r="BV61">
            <v>0.1852</v>
          </cell>
          <cell r="BW61">
            <v>0.1052</v>
          </cell>
          <cell r="BX61">
            <v>0.3333</v>
          </cell>
          <cell r="BY61">
            <v>0.2083</v>
          </cell>
          <cell r="BZ61">
            <v>0</v>
          </cell>
          <cell r="CA61">
            <v>0</v>
          </cell>
          <cell r="CB61" t="str">
            <v>持平</v>
          </cell>
          <cell r="CC61">
            <v>0</v>
          </cell>
          <cell r="CD61" t="str">
            <v>持平</v>
          </cell>
          <cell r="CE61" t="str">
            <v/>
          </cell>
          <cell r="CF61" t="str">
            <v/>
          </cell>
          <cell r="CG61">
            <v>67</v>
          </cell>
          <cell r="CH61">
            <v>37</v>
          </cell>
          <cell r="CI61">
            <v>0.8108</v>
          </cell>
          <cell r="CJ61">
            <v>13</v>
          </cell>
          <cell r="CK61">
            <v>4.1538</v>
          </cell>
          <cell r="CL61">
            <v>248</v>
          </cell>
          <cell r="CM61">
            <v>100</v>
          </cell>
          <cell r="CN61">
            <v>0.6767</v>
          </cell>
          <cell r="CO61">
            <v>54</v>
          </cell>
          <cell r="CP61">
            <v>24</v>
          </cell>
          <cell r="CQ61">
            <v>1.25</v>
          </cell>
          <cell r="CR61">
            <v>21</v>
          </cell>
          <cell r="CS61">
            <v>1.5714</v>
          </cell>
          <cell r="CT61">
            <v>0.806</v>
          </cell>
          <cell r="CU61">
            <v>0.1573</v>
          </cell>
          <cell r="CV61">
            <v>200</v>
          </cell>
          <cell r="CW61">
            <v>104</v>
          </cell>
          <cell r="CX61">
            <v>1.0833</v>
          </cell>
          <cell r="CY61">
            <v>54</v>
          </cell>
          <cell r="CZ61">
            <v>25</v>
          </cell>
          <cell r="DA61">
            <v>1.16</v>
          </cell>
          <cell r="DB61">
            <v>21</v>
          </cell>
          <cell r="DC61">
            <v>1.5714</v>
          </cell>
          <cell r="DD61">
            <v>0.806</v>
          </cell>
          <cell r="DE61">
            <v>0.1303</v>
          </cell>
          <cell r="DF61">
            <v>200</v>
          </cell>
          <cell r="DG61">
            <v>100</v>
          </cell>
          <cell r="DH61">
            <v>1</v>
          </cell>
          <cell r="DI61">
            <v>48</v>
          </cell>
          <cell r="DJ61">
            <v>25</v>
          </cell>
          <cell r="DK61">
            <v>0.92</v>
          </cell>
          <cell r="DL61">
            <v>17</v>
          </cell>
          <cell r="DM61">
            <v>1.8235</v>
          </cell>
          <cell r="DN61">
            <v>8</v>
          </cell>
          <cell r="DO61">
            <v>7</v>
          </cell>
          <cell r="DP61">
            <v>0.1429</v>
          </cell>
          <cell r="DQ61">
            <v>5</v>
          </cell>
          <cell r="DR61">
            <v>0.6</v>
          </cell>
          <cell r="DS61">
            <v>8</v>
          </cell>
          <cell r="DT61">
            <v>7</v>
          </cell>
          <cell r="DU61">
            <v>0.1429</v>
          </cell>
          <cell r="DV61">
            <v>5</v>
          </cell>
          <cell r="DW61">
            <v>0.6</v>
          </cell>
          <cell r="DX61">
            <v>22</v>
          </cell>
          <cell r="DY61">
            <v>20</v>
          </cell>
          <cell r="DZ61">
            <v>0.1</v>
          </cell>
          <cell r="EA61">
            <v>22</v>
          </cell>
          <cell r="EB61">
            <v>0</v>
          </cell>
          <cell r="EC61">
            <v>15</v>
          </cell>
          <cell r="ED61">
            <v>9</v>
          </cell>
          <cell r="EE61">
            <v>0.6667</v>
          </cell>
          <cell r="EF61">
            <v>18</v>
          </cell>
          <cell r="EG61">
            <v>-0.1667</v>
          </cell>
          <cell r="EH61">
            <v>0.2778</v>
          </cell>
          <cell r="EI61">
            <v>-0.0972</v>
          </cell>
          <cell r="EJ61">
            <v>56</v>
          </cell>
          <cell r="EK61">
            <v>20</v>
          </cell>
          <cell r="EL61">
            <v>0.5432</v>
          </cell>
          <cell r="EM61">
            <v>15</v>
          </cell>
          <cell r="EN61">
            <v>9</v>
          </cell>
          <cell r="EO61">
            <v>0.6667</v>
          </cell>
          <cell r="EP61">
            <v>18</v>
          </cell>
          <cell r="EQ61">
            <v>-0.1667</v>
          </cell>
          <cell r="ER61">
            <v>6</v>
          </cell>
          <cell r="ES61">
            <v>8</v>
          </cell>
          <cell r="ET61">
            <v>-0.25</v>
          </cell>
          <cell r="EU61">
            <v>32</v>
          </cell>
          <cell r="EV61">
            <v>-0.8125</v>
          </cell>
          <cell r="EW61">
            <v>0.1111</v>
          </cell>
          <cell r="EX61">
            <v>-0.2222</v>
          </cell>
          <cell r="EY61">
            <v>22</v>
          </cell>
          <cell r="EZ61">
            <v>-10</v>
          </cell>
          <cell r="FA61">
            <v>-0.3056</v>
          </cell>
        </row>
        <row r="62">
          <cell r="A62" t="str">
            <v>涉毒</v>
          </cell>
          <cell r="B62" t="str">
            <v>云城区</v>
          </cell>
        </row>
        <row r="62">
          <cell r="AM62">
            <v>5</v>
          </cell>
          <cell r="AN62">
            <v>5</v>
          </cell>
          <cell r="AO62">
            <v>0</v>
          </cell>
          <cell r="AP62">
            <v>3</v>
          </cell>
          <cell r="AQ62">
            <v>0.6667</v>
          </cell>
          <cell r="AR62">
            <v>1.25</v>
          </cell>
          <cell r="AS62">
            <v>-0.4167</v>
          </cell>
          <cell r="AT62">
            <v>3</v>
          </cell>
          <cell r="AU62">
            <v>3</v>
          </cell>
          <cell r="AV62">
            <v>0</v>
          </cell>
          <cell r="AW62">
            <v>2</v>
          </cell>
          <cell r="AX62">
            <v>0.5</v>
          </cell>
          <cell r="AY62">
            <v>5</v>
          </cell>
          <cell r="AZ62">
            <v>5</v>
          </cell>
          <cell r="BA62">
            <v>0</v>
          </cell>
          <cell r="BB62">
            <v>3</v>
          </cell>
          <cell r="BC62">
            <v>0.6667</v>
          </cell>
          <cell r="BD62">
            <v>1.6667</v>
          </cell>
          <cell r="BE62">
            <v>0</v>
          </cell>
          <cell r="BF62">
            <v>1</v>
          </cell>
          <cell r="BG62">
            <v>0</v>
          </cell>
          <cell r="BH62" t="str">
            <v>多1起</v>
          </cell>
          <cell r="BI62">
            <v>0</v>
          </cell>
          <cell r="BJ62" t="str">
            <v>多1起</v>
          </cell>
          <cell r="BK62">
            <v>0.25</v>
          </cell>
          <cell r="BL62">
            <v>0</v>
          </cell>
          <cell r="BM62">
            <v>0</v>
          </cell>
          <cell r="BN62" t="str">
            <v>持平</v>
          </cell>
          <cell r="BO62">
            <v>0</v>
          </cell>
          <cell r="BP62" t="str">
            <v>持平</v>
          </cell>
          <cell r="BQ62">
            <v>1</v>
          </cell>
          <cell r="BR62">
            <v>0</v>
          </cell>
          <cell r="BS62" t="str">
            <v>多1起</v>
          </cell>
          <cell r="BT62">
            <v>7</v>
          </cell>
          <cell r="BU62">
            <v>-0.8571</v>
          </cell>
          <cell r="BV62">
            <v>0.25</v>
          </cell>
          <cell r="BW62">
            <v>0.25</v>
          </cell>
          <cell r="BX62">
            <v>0.3333</v>
          </cell>
          <cell r="BY62">
            <v>0.3333</v>
          </cell>
          <cell r="BZ62">
            <v>0</v>
          </cell>
          <cell r="CA62">
            <v>0</v>
          </cell>
          <cell r="CB62" t="str">
            <v>持平</v>
          </cell>
          <cell r="CC62">
            <v>0</v>
          </cell>
          <cell r="CD62" t="str">
            <v>持平</v>
          </cell>
          <cell r="CE62" t="str">
            <v/>
          </cell>
          <cell r="CF62" t="str">
            <v/>
          </cell>
          <cell r="CG62">
            <v>5</v>
          </cell>
          <cell r="CH62">
            <v>4</v>
          </cell>
          <cell r="CI62">
            <v>0.25</v>
          </cell>
          <cell r="CJ62">
            <v>3</v>
          </cell>
          <cell r="CK62">
            <v>0.6667</v>
          </cell>
          <cell r="CL62">
            <v>125</v>
          </cell>
          <cell r="CM62">
            <v>-8</v>
          </cell>
          <cell r="CN62">
            <v>-0.0625</v>
          </cell>
          <cell r="CO62">
            <v>6</v>
          </cell>
          <cell r="CP62">
            <v>3</v>
          </cell>
          <cell r="CQ62">
            <v>1</v>
          </cell>
          <cell r="CR62">
            <v>6</v>
          </cell>
          <cell r="CS62">
            <v>0</v>
          </cell>
          <cell r="CT62">
            <v>1.2</v>
          </cell>
          <cell r="CU62">
            <v>0.45</v>
          </cell>
          <cell r="CV62">
            <v>150</v>
          </cell>
          <cell r="CW62">
            <v>50</v>
          </cell>
          <cell r="CX62">
            <v>0.5</v>
          </cell>
          <cell r="CY62">
            <v>6</v>
          </cell>
          <cell r="CZ62">
            <v>3</v>
          </cell>
          <cell r="DA62">
            <v>1</v>
          </cell>
          <cell r="DB62">
            <v>6</v>
          </cell>
          <cell r="DC62">
            <v>0</v>
          </cell>
          <cell r="DD62">
            <v>1.2</v>
          </cell>
          <cell r="DE62">
            <v>0.45</v>
          </cell>
          <cell r="DF62">
            <v>150</v>
          </cell>
          <cell r="DG62">
            <v>50</v>
          </cell>
          <cell r="DH62">
            <v>0.5</v>
          </cell>
          <cell r="DI62">
            <v>0</v>
          </cell>
          <cell r="DJ62">
            <v>0</v>
          </cell>
          <cell r="DK62" t="str">
            <v>持平</v>
          </cell>
          <cell r="DL62">
            <v>0</v>
          </cell>
          <cell r="DM62" t="str">
            <v>持平</v>
          </cell>
          <cell r="DN62">
            <v>4</v>
          </cell>
          <cell r="DO62">
            <v>0</v>
          </cell>
          <cell r="DP62" t="str">
            <v>多4人</v>
          </cell>
          <cell r="DQ62">
            <v>0</v>
          </cell>
          <cell r="DR62" t="str">
            <v>多4人</v>
          </cell>
          <cell r="DS62">
            <v>4</v>
          </cell>
          <cell r="DT62">
            <v>0</v>
          </cell>
          <cell r="DU62" t="str">
            <v>多4人</v>
          </cell>
          <cell r="DV62">
            <v>0</v>
          </cell>
          <cell r="DW62" t="str">
            <v>多4人</v>
          </cell>
          <cell r="DX62">
            <v>3</v>
          </cell>
          <cell r="DY62">
            <v>3</v>
          </cell>
          <cell r="DZ62">
            <v>0</v>
          </cell>
          <cell r="EA62">
            <v>6</v>
          </cell>
          <cell r="EB62">
            <v>-0.5</v>
          </cell>
          <cell r="EC62">
            <v>3</v>
          </cell>
          <cell r="ED62">
            <v>2</v>
          </cell>
          <cell r="EE62">
            <v>0.5</v>
          </cell>
          <cell r="EF62">
            <v>2</v>
          </cell>
          <cell r="EG62">
            <v>0.5</v>
          </cell>
          <cell r="EH62">
            <v>0.5</v>
          </cell>
          <cell r="EI62">
            <v>-0.1667</v>
          </cell>
          <cell r="EJ62">
            <v>75</v>
          </cell>
          <cell r="EK62">
            <v>8</v>
          </cell>
          <cell r="EL62">
            <v>0.125</v>
          </cell>
          <cell r="EM62">
            <v>3</v>
          </cell>
          <cell r="EN62">
            <v>2</v>
          </cell>
          <cell r="EO62">
            <v>0.5</v>
          </cell>
          <cell r="EP62">
            <v>2</v>
          </cell>
          <cell r="EQ62">
            <v>0.5</v>
          </cell>
          <cell r="ER62">
            <v>1</v>
          </cell>
          <cell r="ES62">
            <v>4</v>
          </cell>
          <cell r="ET62">
            <v>-0.75</v>
          </cell>
          <cell r="EU62">
            <v>8</v>
          </cell>
          <cell r="EV62">
            <v>-0.875</v>
          </cell>
          <cell r="EW62">
            <v>0.1667</v>
          </cell>
          <cell r="EX62">
            <v>-1.1667</v>
          </cell>
          <cell r="EY62">
            <v>25</v>
          </cell>
          <cell r="EZ62">
            <v>-108</v>
          </cell>
          <cell r="FA62">
            <v>-0.8125</v>
          </cell>
        </row>
        <row r="63">
          <cell r="A63" t="str">
            <v>涉毒</v>
          </cell>
          <cell r="B63" t="str">
            <v>云安区</v>
          </cell>
        </row>
        <row r="63">
          <cell r="AM63">
            <v>9</v>
          </cell>
          <cell r="AN63">
            <v>6</v>
          </cell>
          <cell r="AO63">
            <v>0.5</v>
          </cell>
          <cell r="AP63">
            <v>0</v>
          </cell>
          <cell r="AQ63" t="str">
            <v>多9起</v>
          </cell>
          <cell r="AR63">
            <v>1.2857</v>
          </cell>
          <cell r="AS63">
            <v>0.2857</v>
          </cell>
          <cell r="AT63">
            <v>4</v>
          </cell>
          <cell r="AU63">
            <v>6</v>
          </cell>
          <cell r="AV63">
            <v>-0.3333</v>
          </cell>
          <cell r="AW63">
            <v>1</v>
          </cell>
          <cell r="AX63">
            <v>3</v>
          </cell>
          <cell r="AY63">
            <v>7</v>
          </cell>
          <cell r="AZ63">
            <v>6</v>
          </cell>
          <cell r="BA63">
            <v>0.1667</v>
          </cell>
          <cell r="BB63">
            <v>0</v>
          </cell>
          <cell r="BC63" t="str">
            <v>多7起</v>
          </cell>
          <cell r="BD63">
            <v>1.75</v>
          </cell>
          <cell r="BE63">
            <v>0.75</v>
          </cell>
          <cell r="BF63">
            <v>3</v>
          </cell>
          <cell r="BG63">
            <v>0</v>
          </cell>
          <cell r="BH63" t="str">
            <v>多3起</v>
          </cell>
          <cell r="BI63">
            <v>0</v>
          </cell>
          <cell r="BJ63" t="str">
            <v>多3起</v>
          </cell>
          <cell r="BK63">
            <v>0.4286</v>
          </cell>
          <cell r="BL63">
            <v>2</v>
          </cell>
          <cell r="BM63">
            <v>0</v>
          </cell>
          <cell r="BN63" t="str">
            <v>多2起</v>
          </cell>
          <cell r="BO63">
            <v>0</v>
          </cell>
          <cell r="BP63" t="str">
            <v>多2起</v>
          </cell>
          <cell r="BQ63">
            <v>1</v>
          </cell>
          <cell r="BR63">
            <v>0</v>
          </cell>
          <cell r="BS63" t="str">
            <v>多1起</v>
          </cell>
          <cell r="BT63">
            <v>2</v>
          </cell>
          <cell r="BU63">
            <v>-0.5</v>
          </cell>
          <cell r="BV63">
            <v>0.1429</v>
          </cell>
          <cell r="BW63">
            <v>0.1429</v>
          </cell>
          <cell r="BX63">
            <v>0.25</v>
          </cell>
          <cell r="BY63">
            <v>0.25</v>
          </cell>
          <cell r="BZ63">
            <v>0</v>
          </cell>
          <cell r="CA63">
            <v>0</v>
          </cell>
          <cell r="CB63" t="str">
            <v>持平</v>
          </cell>
          <cell r="CC63">
            <v>0</v>
          </cell>
          <cell r="CD63" t="str">
            <v>持平</v>
          </cell>
          <cell r="CE63" t="str">
            <v/>
          </cell>
          <cell r="CF63" t="str">
            <v/>
          </cell>
          <cell r="CG63">
            <v>14</v>
          </cell>
          <cell r="CH63">
            <v>9</v>
          </cell>
          <cell r="CI63">
            <v>0.5556</v>
          </cell>
          <cell r="CJ63">
            <v>2</v>
          </cell>
          <cell r="CK63">
            <v>6</v>
          </cell>
          <cell r="CL63">
            <v>200</v>
          </cell>
          <cell r="CM63">
            <v>50</v>
          </cell>
          <cell r="CN63">
            <v>0.3333</v>
          </cell>
          <cell r="CO63">
            <v>8</v>
          </cell>
          <cell r="CP63">
            <v>6</v>
          </cell>
          <cell r="CQ63">
            <v>0.3333</v>
          </cell>
          <cell r="CR63">
            <v>2</v>
          </cell>
          <cell r="CS63">
            <v>3</v>
          </cell>
          <cell r="CT63">
            <v>0.5714</v>
          </cell>
          <cell r="CU63">
            <v>-0.0952</v>
          </cell>
          <cell r="CV63">
            <v>114</v>
          </cell>
          <cell r="CW63">
            <v>14</v>
          </cell>
          <cell r="CX63">
            <v>0.1429</v>
          </cell>
          <cell r="CY63">
            <v>8</v>
          </cell>
          <cell r="CZ63">
            <v>6</v>
          </cell>
          <cell r="DA63">
            <v>0.3333</v>
          </cell>
          <cell r="DB63">
            <v>2</v>
          </cell>
          <cell r="DC63">
            <v>3</v>
          </cell>
          <cell r="DD63">
            <v>0.5714</v>
          </cell>
          <cell r="DE63">
            <v>-0.0952</v>
          </cell>
          <cell r="DF63">
            <v>114</v>
          </cell>
          <cell r="DG63">
            <v>14</v>
          </cell>
          <cell r="DH63">
            <v>0.1429</v>
          </cell>
          <cell r="DI63">
            <v>0</v>
          </cell>
          <cell r="DJ63">
            <v>0</v>
          </cell>
          <cell r="DK63" t="str">
            <v>持平</v>
          </cell>
          <cell r="DL63">
            <v>0</v>
          </cell>
          <cell r="DM63" t="str">
            <v>持平</v>
          </cell>
          <cell r="DN63">
            <v>2</v>
          </cell>
          <cell r="DO63">
            <v>0</v>
          </cell>
          <cell r="DP63" t="str">
            <v>多2人</v>
          </cell>
          <cell r="DQ63">
            <v>0</v>
          </cell>
          <cell r="DR63" t="str">
            <v>多2人</v>
          </cell>
          <cell r="DS63">
            <v>2</v>
          </cell>
          <cell r="DT63">
            <v>0</v>
          </cell>
          <cell r="DU63" t="str">
            <v>多2人</v>
          </cell>
          <cell r="DV63">
            <v>0</v>
          </cell>
          <cell r="DW63" t="str">
            <v>多2人</v>
          </cell>
          <cell r="DX63">
            <v>3</v>
          </cell>
          <cell r="DY63">
            <v>2</v>
          </cell>
          <cell r="DZ63">
            <v>0.5</v>
          </cell>
          <cell r="EA63">
            <v>3</v>
          </cell>
          <cell r="EB63">
            <v>0</v>
          </cell>
          <cell r="EC63">
            <v>1</v>
          </cell>
          <cell r="ED63">
            <v>2</v>
          </cell>
          <cell r="EE63">
            <v>-0.5</v>
          </cell>
          <cell r="EF63">
            <v>3</v>
          </cell>
          <cell r="EG63">
            <v>-0.6667</v>
          </cell>
          <cell r="EH63">
            <v>0.125</v>
          </cell>
          <cell r="EI63">
            <v>-0.2083</v>
          </cell>
          <cell r="EJ63">
            <v>14</v>
          </cell>
          <cell r="EK63">
            <v>-19</v>
          </cell>
          <cell r="EL63">
            <v>-0.5714</v>
          </cell>
          <cell r="EM63">
            <v>1</v>
          </cell>
          <cell r="EN63">
            <v>2</v>
          </cell>
          <cell r="EO63">
            <v>-0.5</v>
          </cell>
          <cell r="EP63">
            <v>3</v>
          </cell>
          <cell r="EQ63">
            <v>-0.6667</v>
          </cell>
          <cell r="ER63">
            <v>1</v>
          </cell>
          <cell r="ES63">
            <v>1</v>
          </cell>
          <cell r="ET63">
            <v>0</v>
          </cell>
          <cell r="EU63">
            <v>5</v>
          </cell>
          <cell r="EV63">
            <v>-0.8</v>
          </cell>
          <cell r="EW63">
            <v>0.125</v>
          </cell>
          <cell r="EX63">
            <v>-0.0417</v>
          </cell>
          <cell r="EY63">
            <v>14</v>
          </cell>
          <cell r="EZ63">
            <v>-2</v>
          </cell>
          <cell r="FA63">
            <v>-0.1429</v>
          </cell>
        </row>
        <row r="64">
          <cell r="A64" t="str">
            <v>涉毒</v>
          </cell>
          <cell r="B64" t="str">
            <v>新兴县</v>
          </cell>
        </row>
        <row r="64">
          <cell r="AM64">
            <v>7</v>
          </cell>
          <cell r="AN64">
            <v>6</v>
          </cell>
          <cell r="AO64">
            <v>0.1667</v>
          </cell>
          <cell r="AP64">
            <v>0</v>
          </cell>
          <cell r="AQ64" t="str">
            <v>多7起</v>
          </cell>
          <cell r="AR64">
            <v>0.875</v>
          </cell>
          <cell r="AS64">
            <v>0.0179</v>
          </cell>
          <cell r="AT64">
            <v>2</v>
          </cell>
          <cell r="AU64">
            <v>4</v>
          </cell>
          <cell r="AV64">
            <v>-0.5</v>
          </cell>
          <cell r="AW64">
            <v>2</v>
          </cell>
          <cell r="AX64">
            <v>0</v>
          </cell>
          <cell r="AY64">
            <v>4</v>
          </cell>
          <cell r="AZ64">
            <v>4</v>
          </cell>
          <cell r="BA64">
            <v>0</v>
          </cell>
          <cell r="BB64">
            <v>0</v>
          </cell>
          <cell r="BC64" t="str">
            <v>多4起</v>
          </cell>
          <cell r="BD64">
            <v>2</v>
          </cell>
          <cell r="BE64">
            <v>1</v>
          </cell>
          <cell r="BF64">
            <v>6</v>
          </cell>
          <cell r="BG64">
            <v>3</v>
          </cell>
          <cell r="BH64">
            <v>1</v>
          </cell>
          <cell r="BI64">
            <v>1</v>
          </cell>
          <cell r="BJ64">
            <v>5</v>
          </cell>
          <cell r="BK64">
            <v>0.75</v>
          </cell>
          <cell r="BL64">
            <v>3</v>
          </cell>
          <cell r="BM64">
            <v>2</v>
          </cell>
          <cell r="BN64">
            <v>0.5</v>
          </cell>
          <cell r="BO64">
            <v>0</v>
          </cell>
          <cell r="BP64" t="str">
            <v>多3起</v>
          </cell>
          <cell r="BQ64">
            <v>1</v>
          </cell>
          <cell r="BR64">
            <v>0</v>
          </cell>
          <cell r="BS64" t="str">
            <v>多1起</v>
          </cell>
          <cell r="BT64">
            <v>2</v>
          </cell>
          <cell r="BU64">
            <v>-0.5</v>
          </cell>
          <cell r="BV64">
            <v>0.125</v>
          </cell>
          <cell r="BW64">
            <v>0.125</v>
          </cell>
          <cell r="BX64">
            <v>0.5</v>
          </cell>
          <cell r="BY64">
            <v>0.5</v>
          </cell>
          <cell r="BZ64">
            <v>0</v>
          </cell>
          <cell r="CA64">
            <v>0</v>
          </cell>
          <cell r="CB64" t="str">
            <v>持平</v>
          </cell>
          <cell r="CC64">
            <v>0</v>
          </cell>
          <cell r="CD64" t="str">
            <v>持平</v>
          </cell>
          <cell r="CE64" t="str">
            <v/>
          </cell>
          <cell r="CF64" t="str">
            <v/>
          </cell>
          <cell r="CG64">
            <v>14</v>
          </cell>
          <cell r="CH64">
            <v>17</v>
          </cell>
          <cell r="CI64">
            <v>-0.1765</v>
          </cell>
          <cell r="CJ64">
            <v>2</v>
          </cell>
          <cell r="CK64">
            <v>6</v>
          </cell>
          <cell r="CL64">
            <v>175</v>
          </cell>
          <cell r="CM64">
            <v>-68</v>
          </cell>
          <cell r="CN64">
            <v>-0.2794</v>
          </cell>
          <cell r="CO64">
            <v>13</v>
          </cell>
          <cell r="CP64">
            <v>8</v>
          </cell>
          <cell r="CQ64">
            <v>0.625</v>
          </cell>
          <cell r="CR64">
            <v>3</v>
          </cell>
          <cell r="CS64">
            <v>3.3333</v>
          </cell>
          <cell r="CT64">
            <v>0.9286</v>
          </cell>
          <cell r="CU64">
            <v>0.458</v>
          </cell>
          <cell r="CV64">
            <v>163</v>
          </cell>
          <cell r="CW64">
            <v>48</v>
          </cell>
          <cell r="CX64">
            <v>0.4219</v>
          </cell>
          <cell r="CY64">
            <v>13</v>
          </cell>
          <cell r="CZ64">
            <v>8</v>
          </cell>
          <cell r="DA64">
            <v>0.625</v>
          </cell>
          <cell r="DB64">
            <v>3</v>
          </cell>
          <cell r="DC64">
            <v>3.3333</v>
          </cell>
          <cell r="DD64">
            <v>0.9286</v>
          </cell>
          <cell r="DE64">
            <v>0.458</v>
          </cell>
          <cell r="DF64">
            <v>163</v>
          </cell>
          <cell r="DG64">
            <v>48</v>
          </cell>
          <cell r="DH64">
            <v>0.4219</v>
          </cell>
          <cell r="DI64">
            <v>10</v>
          </cell>
          <cell r="DJ64">
            <v>8</v>
          </cell>
          <cell r="DK64">
            <v>0.25</v>
          </cell>
          <cell r="DL64">
            <v>3</v>
          </cell>
          <cell r="DM64">
            <v>2.3333</v>
          </cell>
          <cell r="DN64">
            <v>0</v>
          </cell>
          <cell r="DO64">
            <v>0</v>
          </cell>
          <cell r="DP64" t="str">
            <v>持平</v>
          </cell>
          <cell r="DQ64">
            <v>0</v>
          </cell>
          <cell r="DR64" t="str">
            <v>持平</v>
          </cell>
          <cell r="DS64">
            <v>0</v>
          </cell>
          <cell r="DT64">
            <v>0</v>
          </cell>
          <cell r="DU64" t="str">
            <v>持平</v>
          </cell>
          <cell r="DV64">
            <v>0</v>
          </cell>
          <cell r="DW64" t="str">
            <v>持平</v>
          </cell>
          <cell r="DX64">
            <v>5</v>
          </cell>
          <cell r="DY64">
            <v>3</v>
          </cell>
          <cell r="DZ64">
            <v>0.6667</v>
          </cell>
          <cell r="EA64">
            <v>2</v>
          </cell>
          <cell r="EB64">
            <v>1.5</v>
          </cell>
          <cell r="EC64">
            <v>3</v>
          </cell>
          <cell r="ED64">
            <v>0</v>
          </cell>
          <cell r="EE64" t="str">
            <v>多3人</v>
          </cell>
          <cell r="EF64">
            <v>2</v>
          </cell>
          <cell r="EG64">
            <v>0.5</v>
          </cell>
          <cell r="EH64">
            <v>0.2308</v>
          </cell>
          <cell r="EI64">
            <v>0.2308</v>
          </cell>
          <cell r="EJ64">
            <v>38</v>
          </cell>
          <cell r="EK64">
            <v>38</v>
          </cell>
          <cell r="EL64" t="str">
            <v/>
          </cell>
          <cell r="EM64">
            <v>3</v>
          </cell>
          <cell r="EN64">
            <v>0</v>
          </cell>
          <cell r="EO64" t="str">
            <v>多3人</v>
          </cell>
          <cell r="EP64">
            <v>2</v>
          </cell>
          <cell r="EQ64">
            <v>0.5</v>
          </cell>
          <cell r="ER64">
            <v>2</v>
          </cell>
          <cell r="ES64">
            <v>0</v>
          </cell>
          <cell r="ET64" t="str">
            <v>多2人</v>
          </cell>
          <cell r="EU64">
            <v>3</v>
          </cell>
          <cell r="EV64">
            <v>-0.3333</v>
          </cell>
          <cell r="EW64">
            <v>0.1538</v>
          </cell>
          <cell r="EX64">
            <v>0.1538</v>
          </cell>
          <cell r="EY64">
            <v>25</v>
          </cell>
          <cell r="EZ64">
            <v>25</v>
          </cell>
          <cell r="FA64" t="str">
            <v/>
          </cell>
        </row>
        <row r="65">
          <cell r="A65" t="str">
            <v>涉毒</v>
          </cell>
          <cell r="B65" t="str">
            <v>郁南县</v>
          </cell>
        </row>
        <row r="65">
          <cell r="AM65">
            <v>2</v>
          </cell>
          <cell r="AN65">
            <v>1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0.5</v>
          </cell>
          <cell r="AT65">
            <v>2</v>
          </cell>
          <cell r="AU65">
            <v>1</v>
          </cell>
          <cell r="AV65">
            <v>1</v>
          </cell>
          <cell r="AW65">
            <v>1</v>
          </cell>
          <cell r="AX65">
            <v>1</v>
          </cell>
          <cell r="AY65">
            <v>2</v>
          </cell>
          <cell r="AZ65">
            <v>1</v>
          </cell>
          <cell r="BA65">
            <v>1</v>
          </cell>
          <cell r="BB65">
            <v>1</v>
          </cell>
          <cell r="BC65">
            <v>1</v>
          </cell>
          <cell r="BD65">
            <v>1</v>
          </cell>
          <cell r="BE65">
            <v>0</v>
          </cell>
          <cell r="BF65">
            <v>0</v>
          </cell>
          <cell r="BG65">
            <v>1</v>
          </cell>
          <cell r="BH65" t="str">
            <v>少1起</v>
          </cell>
          <cell r="BI65">
            <v>0</v>
          </cell>
          <cell r="BJ65" t="str">
            <v>持平</v>
          </cell>
          <cell r="BK65">
            <v>0</v>
          </cell>
          <cell r="BL65">
            <v>0</v>
          </cell>
          <cell r="BM65">
            <v>0</v>
          </cell>
          <cell r="BN65" t="str">
            <v>持平</v>
          </cell>
          <cell r="BO65">
            <v>0</v>
          </cell>
          <cell r="BP65" t="str">
            <v>持平</v>
          </cell>
          <cell r="BQ65">
            <v>0</v>
          </cell>
          <cell r="BR65">
            <v>1</v>
          </cell>
          <cell r="BS65" t="str">
            <v>少1起</v>
          </cell>
          <cell r="BT65">
            <v>2</v>
          </cell>
          <cell r="BU65" t="str">
            <v>少2起</v>
          </cell>
          <cell r="BV65">
            <v>0</v>
          </cell>
          <cell r="BW65">
            <v>-0.5</v>
          </cell>
          <cell r="BX65">
            <v>0</v>
          </cell>
          <cell r="BY65">
            <v>-1</v>
          </cell>
          <cell r="BZ65">
            <v>0</v>
          </cell>
          <cell r="CA65">
            <v>0</v>
          </cell>
          <cell r="CB65" t="str">
            <v>持平</v>
          </cell>
          <cell r="CC65">
            <v>0</v>
          </cell>
          <cell r="CD65" t="str">
            <v>持平</v>
          </cell>
          <cell r="CE65" t="str">
            <v/>
          </cell>
          <cell r="CF65" t="str">
            <v/>
          </cell>
          <cell r="CG65">
            <v>5</v>
          </cell>
          <cell r="CH65">
            <v>1</v>
          </cell>
          <cell r="CI65">
            <v>4</v>
          </cell>
          <cell r="CJ65">
            <v>0</v>
          </cell>
          <cell r="CK65" t="str">
            <v>多5人</v>
          </cell>
          <cell r="CL65">
            <v>250</v>
          </cell>
          <cell r="CM65">
            <v>200</v>
          </cell>
          <cell r="CN65">
            <v>4</v>
          </cell>
          <cell r="CO65">
            <v>6</v>
          </cell>
          <cell r="CP65">
            <v>1</v>
          </cell>
          <cell r="CQ65">
            <v>5</v>
          </cell>
          <cell r="CR65">
            <v>2</v>
          </cell>
          <cell r="CS65">
            <v>2</v>
          </cell>
          <cell r="CT65">
            <v>1.2</v>
          </cell>
          <cell r="CU65">
            <v>0.2</v>
          </cell>
          <cell r="CV65">
            <v>300</v>
          </cell>
          <cell r="CW65">
            <v>250</v>
          </cell>
          <cell r="CX65">
            <v>5</v>
          </cell>
          <cell r="CY65">
            <v>6</v>
          </cell>
          <cell r="CZ65">
            <v>1</v>
          </cell>
          <cell r="DA65">
            <v>5</v>
          </cell>
          <cell r="DB65">
            <v>2</v>
          </cell>
          <cell r="DC65">
            <v>2</v>
          </cell>
          <cell r="DD65">
            <v>1.2</v>
          </cell>
          <cell r="DE65">
            <v>0.2</v>
          </cell>
          <cell r="DF65">
            <v>300</v>
          </cell>
          <cell r="DG65">
            <v>250</v>
          </cell>
          <cell r="DH65">
            <v>5</v>
          </cell>
          <cell r="DI65">
            <v>5</v>
          </cell>
          <cell r="DJ65">
            <v>1</v>
          </cell>
          <cell r="DK65">
            <v>4</v>
          </cell>
          <cell r="DL65">
            <v>2</v>
          </cell>
          <cell r="DM65">
            <v>1.5</v>
          </cell>
          <cell r="DN65">
            <v>1</v>
          </cell>
          <cell r="DO65">
            <v>0</v>
          </cell>
          <cell r="DP65" t="str">
            <v>多1人</v>
          </cell>
          <cell r="DQ65">
            <v>1</v>
          </cell>
          <cell r="DR65">
            <v>0</v>
          </cell>
          <cell r="DS65">
            <v>1</v>
          </cell>
          <cell r="DT65">
            <v>0</v>
          </cell>
          <cell r="DU65" t="str">
            <v>多1人</v>
          </cell>
          <cell r="DV65">
            <v>1</v>
          </cell>
          <cell r="DW65">
            <v>0</v>
          </cell>
          <cell r="DX65">
            <v>4</v>
          </cell>
          <cell r="DY65">
            <v>1</v>
          </cell>
          <cell r="DZ65">
            <v>3</v>
          </cell>
          <cell r="EA65">
            <v>0</v>
          </cell>
          <cell r="EB65" t="str">
            <v>多4人</v>
          </cell>
          <cell r="EC65">
            <v>3</v>
          </cell>
          <cell r="ED65">
            <v>1</v>
          </cell>
          <cell r="EE65">
            <v>2</v>
          </cell>
          <cell r="EF65">
            <v>0</v>
          </cell>
          <cell r="EG65" t="str">
            <v>多3人</v>
          </cell>
          <cell r="EH65">
            <v>0.5</v>
          </cell>
          <cell r="EI65">
            <v>-0.5</v>
          </cell>
          <cell r="EJ65">
            <v>150</v>
          </cell>
          <cell r="EK65">
            <v>100</v>
          </cell>
          <cell r="EL65">
            <v>2</v>
          </cell>
          <cell r="EM65">
            <v>3</v>
          </cell>
          <cell r="EN65">
            <v>1</v>
          </cell>
          <cell r="EO65">
            <v>2</v>
          </cell>
          <cell r="EP65">
            <v>0</v>
          </cell>
          <cell r="EQ65" t="str">
            <v>多3人</v>
          </cell>
          <cell r="ER65">
            <v>0</v>
          </cell>
          <cell r="ES65">
            <v>2</v>
          </cell>
          <cell r="ET65" t="str">
            <v>少2人</v>
          </cell>
          <cell r="EU65">
            <v>5</v>
          </cell>
          <cell r="EV65" t="str">
            <v>少5人</v>
          </cell>
          <cell r="EW65">
            <v>0</v>
          </cell>
          <cell r="EX65">
            <v>-2</v>
          </cell>
          <cell r="EY65">
            <v>0</v>
          </cell>
          <cell r="EZ65">
            <v>-100</v>
          </cell>
          <cell r="FA65">
            <v>-1</v>
          </cell>
        </row>
        <row r="66">
          <cell r="A66" t="str">
            <v>涉毒</v>
          </cell>
          <cell r="B66" t="str">
            <v>罗定市</v>
          </cell>
        </row>
        <row r="66">
          <cell r="AM66">
            <v>15</v>
          </cell>
          <cell r="AN66">
            <v>14</v>
          </cell>
          <cell r="AO66">
            <v>0.0714</v>
          </cell>
          <cell r="AP66">
            <v>1</v>
          </cell>
          <cell r="AQ66">
            <v>14</v>
          </cell>
          <cell r="AR66">
            <v>2.5</v>
          </cell>
          <cell r="AS66">
            <v>0.5</v>
          </cell>
          <cell r="AT66">
            <v>4</v>
          </cell>
          <cell r="AU66">
            <v>2</v>
          </cell>
          <cell r="AV66">
            <v>1</v>
          </cell>
          <cell r="AW66">
            <v>3</v>
          </cell>
          <cell r="AX66">
            <v>0.3333</v>
          </cell>
          <cell r="AY66">
            <v>2</v>
          </cell>
          <cell r="AZ66">
            <v>3</v>
          </cell>
          <cell r="BA66">
            <v>-0.3333</v>
          </cell>
          <cell r="BB66">
            <v>1</v>
          </cell>
          <cell r="BC66">
            <v>1</v>
          </cell>
          <cell r="BD66">
            <v>0.5</v>
          </cell>
          <cell r="BE66">
            <v>-1</v>
          </cell>
          <cell r="BF66">
            <v>2</v>
          </cell>
          <cell r="BG66">
            <v>5</v>
          </cell>
          <cell r="BH66">
            <v>-0.6</v>
          </cell>
          <cell r="BI66">
            <v>0</v>
          </cell>
          <cell r="BJ66" t="str">
            <v>多2起</v>
          </cell>
          <cell r="BK66">
            <v>0.3333</v>
          </cell>
          <cell r="BL66">
            <v>13</v>
          </cell>
          <cell r="BM66">
            <v>11</v>
          </cell>
          <cell r="BN66">
            <v>0.1818</v>
          </cell>
          <cell r="BO66">
            <v>0</v>
          </cell>
          <cell r="BP66" t="str">
            <v>多13起</v>
          </cell>
          <cell r="BQ66">
            <v>2</v>
          </cell>
          <cell r="BR66">
            <v>1</v>
          </cell>
          <cell r="BS66">
            <v>1</v>
          </cell>
          <cell r="BT66">
            <v>4</v>
          </cell>
          <cell r="BU66">
            <v>-0.5</v>
          </cell>
          <cell r="BV66">
            <v>0.3333</v>
          </cell>
          <cell r="BW66">
            <v>0.1905</v>
          </cell>
          <cell r="BX66">
            <v>0.5</v>
          </cell>
          <cell r="BY66">
            <v>0</v>
          </cell>
          <cell r="BZ66">
            <v>0</v>
          </cell>
          <cell r="CA66">
            <v>0</v>
          </cell>
          <cell r="CB66" t="str">
            <v>持平</v>
          </cell>
          <cell r="CC66">
            <v>0</v>
          </cell>
          <cell r="CD66" t="str">
            <v>持平</v>
          </cell>
          <cell r="CE66" t="str">
            <v/>
          </cell>
          <cell r="CF66" t="str">
            <v/>
          </cell>
          <cell r="CG66">
            <v>29</v>
          </cell>
          <cell r="CH66">
            <v>6</v>
          </cell>
          <cell r="CI66">
            <v>3.8333</v>
          </cell>
          <cell r="CJ66">
            <v>6</v>
          </cell>
          <cell r="CK66">
            <v>3.8333</v>
          </cell>
          <cell r="CL66">
            <v>483</v>
          </cell>
          <cell r="CM66">
            <v>398</v>
          </cell>
          <cell r="CN66">
            <v>4.6389</v>
          </cell>
          <cell r="CO66">
            <v>21</v>
          </cell>
          <cell r="CP66">
            <v>6</v>
          </cell>
          <cell r="CQ66">
            <v>2.5</v>
          </cell>
          <cell r="CR66">
            <v>8</v>
          </cell>
          <cell r="CS66">
            <v>1.625</v>
          </cell>
          <cell r="CT66">
            <v>0.7241</v>
          </cell>
          <cell r="CU66">
            <v>-0.2759</v>
          </cell>
          <cell r="CV66">
            <v>350</v>
          </cell>
          <cell r="CW66">
            <v>264</v>
          </cell>
          <cell r="CX66">
            <v>3.0833</v>
          </cell>
          <cell r="CY66">
            <v>21</v>
          </cell>
          <cell r="CZ66">
            <v>7</v>
          </cell>
          <cell r="DA66">
            <v>2</v>
          </cell>
          <cell r="DB66">
            <v>8</v>
          </cell>
          <cell r="DC66">
            <v>1.625</v>
          </cell>
          <cell r="DD66">
            <v>0.7241</v>
          </cell>
          <cell r="DE66">
            <v>-0.4425</v>
          </cell>
          <cell r="DF66">
            <v>350</v>
          </cell>
          <cell r="DG66">
            <v>250</v>
          </cell>
          <cell r="DH66">
            <v>2.5</v>
          </cell>
          <cell r="DI66">
            <v>15</v>
          </cell>
          <cell r="DJ66">
            <v>0</v>
          </cell>
          <cell r="DK66" t="str">
            <v>多15人</v>
          </cell>
          <cell r="DL66">
            <v>5</v>
          </cell>
          <cell r="DM66">
            <v>2</v>
          </cell>
          <cell r="DN66">
            <v>1</v>
          </cell>
          <cell r="DO66">
            <v>7</v>
          </cell>
          <cell r="DP66">
            <v>-0.8571</v>
          </cell>
          <cell r="DQ66">
            <v>4</v>
          </cell>
          <cell r="DR66">
            <v>-0.75</v>
          </cell>
          <cell r="DS66">
            <v>1</v>
          </cell>
          <cell r="DT66">
            <v>7</v>
          </cell>
          <cell r="DU66">
            <v>-0.8571</v>
          </cell>
          <cell r="DV66">
            <v>4</v>
          </cell>
          <cell r="DW66">
            <v>-0.75</v>
          </cell>
          <cell r="DX66">
            <v>7</v>
          </cell>
          <cell r="DY66">
            <v>11</v>
          </cell>
          <cell r="DZ66">
            <v>-0.3636</v>
          </cell>
          <cell r="EA66">
            <v>11</v>
          </cell>
          <cell r="EB66">
            <v>-0.3636</v>
          </cell>
          <cell r="EC66">
            <v>5</v>
          </cell>
          <cell r="ED66">
            <v>4</v>
          </cell>
          <cell r="EE66">
            <v>0.25</v>
          </cell>
          <cell r="EF66">
            <v>11</v>
          </cell>
          <cell r="EG66">
            <v>-0.5455</v>
          </cell>
          <cell r="EH66">
            <v>0.2381</v>
          </cell>
          <cell r="EI66">
            <v>-0.4286</v>
          </cell>
          <cell r="EJ66">
            <v>83</v>
          </cell>
          <cell r="EK66">
            <v>26</v>
          </cell>
          <cell r="EL66">
            <v>0.4583</v>
          </cell>
          <cell r="EM66">
            <v>5</v>
          </cell>
          <cell r="EN66">
            <v>4</v>
          </cell>
          <cell r="EO66">
            <v>0.25</v>
          </cell>
          <cell r="EP66">
            <v>11</v>
          </cell>
          <cell r="EQ66">
            <v>-0.5455</v>
          </cell>
          <cell r="ER66">
            <v>2</v>
          </cell>
          <cell r="ES66">
            <v>1</v>
          </cell>
          <cell r="ET66">
            <v>1</v>
          </cell>
          <cell r="EU66">
            <v>11</v>
          </cell>
          <cell r="EV66">
            <v>-0.8182</v>
          </cell>
          <cell r="EW66">
            <v>0.0952</v>
          </cell>
          <cell r="EX66">
            <v>-0.0714</v>
          </cell>
          <cell r="EY66">
            <v>33</v>
          </cell>
          <cell r="EZ66">
            <v>19</v>
          </cell>
          <cell r="FA66">
            <v>1.3333</v>
          </cell>
        </row>
        <row r="67">
          <cell r="A67" t="str">
            <v>涉黑</v>
          </cell>
          <cell r="B67" t="str">
            <v>全省</v>
          </cell>
        </row>
        <row r="67">
          <cell r="AM67">
            <v>2</v>
          </cell>
          <cell r="AN67">
            <v>2</v>
          </cell>
          <cell r="AO67">
            <v>0</v>
          </cell>
          <cell r="AP67">
            <v>3</v>
          </cell>
          <cell r="AQ67">
            <v>-0.3333</v>
          </cell>
          <cell r="AR67">
            <v>1</v>
          </cell>
          <cell r="AS67">
            <v>0</v>
          </cell>
          <cell r="AT67">
            <v>0</v>
          </cell>
          <cell r="AU67">
            <v>0</v>
          </cell>
          <cell r="AV67" t="str">
            <v>持平</v>
          </cell>
          <cell r="AW67">
            <v>0</v>
          </cell>
          <cell r="AX67" t="str">
            <v>持平</v>
          </cell>
          <cell r="AY67">
            <v>0</v>
          </cell>
          <cell r="AZ67">
            <v>0</v>
          </cell>
          <cell r="BA67" t="str">
            <v>持平</v>
          </cell>
          <cell r="BB67">
            <v>1</v>
          </cell>
          <cell r="BC67" t="str">
            <v>少1起</v>
          </cell>
          <cell r="BD67" t="str">
            <v/>
          </cell>
          <cell r="BE67" t="str">
            <v/>
          </cell>
          <cell r="BF67">
            <v>2</v>
          </cell>
          <cell r="BG67">
            <v>2</v>
          </cell>
          <cell r="BH67">
            <v>0</v>
          </cell>
          <cell r="BI67">
            <v>6</v>
          </cell>
          <cell r="BJ67">
            <v>-0.6667</v>
          </cell>
          <cell r="BK67">
            <v>1</v>
          </cell>
          <cell r="BL67">
            <v>2</v>
          </cell>
          <cell r="BM67">
            <v>2</v>
          </cell>
          <cell r="BN67">
            <v>0</v>
          </cell>
          <cell r="BO67">
            <v>2</v>
          </cell>
          <cell r="BP67">
            <v>0</v>
          </cell>
          <cell r="BQ67">
            <v>1</v>
          </cell>
          <cell r="BR67">
            <v>2</v>
          </cell>
          <cell r="BS67">
            <v>-0.5</v>
          </cell>
          <cell r="BT67">
            <v>0</v>
          </cell>
          <cell r="BU67" t="str">
            <v>多1起</v>
          </cell>
          <cell r="BV67">
            <v>0.5</v>
          </cell>
          <cell r="BW67">
            <v>-0.5</v>
          </cell>
          <cell r="BX67" t="str">
            <v/>
          </cell>
          <cell r="BY67" t="str">
            <v/>
          </cell>
          <cell r="BZ67">
            <v>0</v>
          </cell>
          <cell r="CA67">
            <v>0</v>
          </cell>
          <cell r="CB67" t="str">
            <v>持平</v>
          </cell>
          <cell r="CC67">
            <v>0</v>
          </cell>
          <cell r="CD67" t="str">
            <v>持平</v>
          </cell>
          <cell r="CE67" t="str">
            <v/>
          </cell>
          <cell r="CF67" t="str">
            <v/>
          </cell>
          <cell r="CG67">
            <v>59</v>
          </cell>
          <cell r="CH67">
            <v>3</v>
          </cell>
          <cell r="CI67">
            <v>18.6667</v>
          </cell>
          <cell r="CJ67">
            <v>70</v>
          </cell>
          <cell r="CK67">
            <v>-0.1571</v>
          </cell>
          <cell r="CL67">
            <v>2950</v>
          </cell>
          <cell r="CM67">
            <v>2800</v>
          </cell>
          <cell r="CN67">
            <v>18.6667</v>
          </cell>
          <cell r="CO67">
            <v>36</v>
          </cell>
          <cell r="CP67">
            <v>1</v>
          </cell>
          <cell r="CQ67">
            <v>35</v>
          </cell>
          <cell r="CR67">
            <v>6</v>
          </cell>
          <cell r="CS67">
            <v>5</v>
          </cell>
          <cell r="CT67">
            <v>0.6102</v>
          </cell>
          <cell r="CU67">
            <v>0.2768</v>
          </cell>
          <cell r="CV67">
            <v>1800</v>
          </cell>
          <cell r="CW67">
            <v>1750</v>
          </cell>
          <cell r="CX67">
            <v>35</v>
          </cell>
          <cell r="CY67">
            <v>37</v>
          </cell>
          <cell r="CZ67">
            <v>1</v>
          </cell>
          <cell r="DA67">
            <v>36</v>
          </cell>
          <cell r="DB67">
            <v>6</v>
          </cell>
          <cell r="DC67">
            <v>5.1667</v>
          </cell>
          <cell r="DD67">
            <v>0.6271</v>
          </cell>
          <cell r="DE67">
            <v>0.2938</v>
          </cell>
          <cell r="DF67">
            <v>1850</v>
          </cell>
          <cell r="DG67">
            <v>1800</v>
          </cell>
          <cell r="DH67">
            <v>36</v>
          </cell>
          <cell r="DI67">
            <v>36</v>
          </cell>
          <cell r="DJ67">
            <v>6</v>
          </cell>
          <cell r="DK67">
            <v>5</v>
          </cell>
          <cell r="DL67">
            <v>6</v>
          </cell>
          <cell r="DM67">
            <v>5</v>
          </cell>
          <cell r="DN67">
            <v>1</v>
          </cell>
          <cell r="DO67">
            <v>2</v>
          </cell>
          <cell r="DP67">
            <v>-0.5</v>
          </cell>
          <cell r="DQ67">
            <v>10</v>
          </cell>
          <cell r="DR67">
            <v>-0.9</v>
          </cell>
          <cell r="DS67">
            <v>1</v>
          </cell>
          <cell r="DT67">
            <v>2</v>
          </cell>
          <cell r="DU67">
            <v>-0.5</v>
          </cell>
          <cell r="DV67">
            <v>10</v>
          </cell>
          <cell r="DW67">
            <v>-0.9</v>
          </cell>
          <cell r="DX67">
            <v>22</v>
          </cell>
          <cell r="DY67">
            <v>5</v>
          </cell>
          <cell r="DZ67">
            <v>3.4</v>
          </cell>
          <cell r="EA67">
            <v>12</v>
          </cell>
          <cell r="EB67">
            <v>0.8333</v>
          </cell>
          <cell r="EC67">
            <v>6</v>
          </cell>
          <cell r="ED67">
            <v>4</v>
          </cell>
          <cell r="EE67">
            <v>0.5</v>
          </cell>
          <cell r="EF67">
            <v>13</v>
          </cell>
          <cell r="EG67">
            <v>-0.5385</v>
          </cell>
          <cell r="EH67">
            <v>0.1667</v>
          </cell>
          <cell r="EI67">
            <v>-3.8333</v>
          </cell>
          <cell r="EJ67">
            <v>300</v>
          </cell>
          <cell r="EK67">
            <v>100</v>
          </cell>
          <cell r="EL67">
            <v>0.5</v>
          </cell>
          <cell r="EM67">
            <v>7</v>
          </cell>
          <cell r="EN67">
            <v>4</v>
          </cell>
          <cell r="EO67">
            <v>0.75</v>
          </cell>
          <cell r="EP67">
            <v>13</v>
          </cell>
          <cell r="EQ67">
            <v>-0.4615</v>
          </cell>
          <cell r="ER67">
            <v>2</v>
          </cell>
          <cell r="ES67">
            <v>16</v>
          </cell>
          <cell r="ET67">
            <v>-0.875</v>
          </cell>
          <cell r="EU67">
            <v>7</v>
          </cell>
          <cell r="EV67">
            <v>-0.7143</v>
          </cell>
          <cell r="EW67">
            <v>0.0556</v>
          </cell>
          <cell r="EX67">
            <v>-15.9444</v>
          </cell>
          <cell r="EY67">
            <v>100</v>
          </cell>
          <cell r="EZ67">
            <v>-700</v>
          </cell>
          <cell r="FA67">
            <v>-0.875</v>
          </cell>
        </row>
        <row r="68">
          <cell r="A68" t="str">
            <v>涉黑</v>
          </cell>
          <cell r="B68" t="str">
            <v>云浮</v>
          </cell>
        </row>
        <row r="68">
          <cell r="AM68">
            <v>0</v>
          </cell>
          <cell r="AN68">
            <v>0</v>
          </cell>
          <cell r="AO68" t="str">
            <v>持平</v>
          </cell>
          <cell r="AP68">
            <v>0</v>
          </cell>
          <cell r="AQ68" t="str">
            <v>持平</v>
          </cell>
          <cell r="AR68" t="str">
            <v/>
          </cell>
          <cell r="AS68" t="str">
            <v/>
          </cell>
          <cell r="AT68">
            <v>0</v>
          </cell>
          <cell r="AU68">
            <v>0</v>
          </cell>
          <cell r="AV68" t="str">
            <v>持平</v>
          </cell>
          <cell r="AW68">
            <v>0</v>
          </cell>
          <cell r="AX68" t="str">
            <v>持平</v>
          </cell>
          <cell r="AY68">
            <v>0</v>
          </cell>
          <cell r="AZ68">
            <v>0</v>
          </cell>
          <cell r="BA68" t="str">
            <v>持平</v>
          </cell>
          <cell r="BB68">
            <v>0</v>
          </cell>
          <cell r="BC68" t="str">
            <v>持平</v>
          </cell>
          <cell r="BD68" t="str">
            <v/>
          </cell>
          <cell r="BE68" t="str">
            <v/>
          </cell>
          <cell r="BF68">
            <v>0</v>
          </cell>
          <cell r="BG68">
            <v>0</v>
          </cell>
          <cell r="BH68" t="str">
            <v>持平</v>
          </cell>
          <cell r="BI68">
            <v>0</v>
          </cell>
          <cell r="BJ68" t="str">
            <v>持平</v>
          </cell>
          <cell r="BK68" t="str">
            <v/>
          </cell>
          <cell r="BL68">
            <v>0</v>
          </cell>
          <cell r="BM68">
            <v>0</v>
          </cell>
          <cell r="BN68" t="str">
            <v>持平</v>
          </cell>
          <cell r="BO68">
            <v>0</v>
          </cell>
          <cell r="BP68" t="str">
            <v>持平</v>
          </cell>
          <cell r="BQ68">
            <v>0</v>
          </cell>
          <cell r="BR68">
            <v>0</v>
          </cell>
          <cell r="BS68" t="str">
            <v>持平</v>
          </cell>
          <cell r="BT68">
            <v>0</v>
          </cell>
          <cell r="BU68" t="str">
            <v>持平</v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>
            <v>0</v>
          </cell>
          <cell r="CA68">
            <v>0</v>
          </cell>
          <cell r="CB68" t="str">
            <v>持平</v>
          </cell>
          <cell r="CC68">
            <v>0</v>
          </cell>
          <cell r="CD68" t="str">
            <v>持平</v>
          </cell>
          <cell r="CE68" t="str">
            <v/>
          </cell>
          <cell r="CF68" t="str">
            <v/>
          </cell>
          <cell r="CG68">
            <v>0</v>
          </cell>
          <cell r="CH68">
            <v>0</v>
          </cell>
          <cell r="CI68" t="str">
            <v>持平</v>
          </cell>
          <cell r="CJ68">
            <v>0</v>
          </cell>
          <cell r="CK68" t="str">
            <v>持平</v>
          </cell>
          <cell r="CL68" t="str">
            <v/>
          </cell>
          <cell r="CM68" t="str">
            <v/>
          </cell>
          <cell r="CN68" t="str">
            <v/>
          </cell>
          <cell r="CO68">
            <v>0</v>
          </cell>
          <cell r="CP68">
            <v>0</v>
          </cell>
          <cell r="CQ68" t="str">
            <v>持平</v>
          </cell>
          <cell r="CR68">
            <v>0</v>
          </cell>
          <cell r="CS68" t="str">
            <v>持平</v>
          </cell>
          <cell r="CT68" t="str">
            <v/>
          </cell>
          <cell r="CU68" t="str">
            <v/>
          </cell>
          <cell r="CV68" t="str">
            <v/>
          </cell>
          <cell r="CW68" t="str">
            <v/>
          </cell>
          <cell r="CX68" t="str">
            <v/>
          </cell>
          <cell r="CY68">
            <v>0</v>
          </cell>
          <cell r="CZ68">
            <v>0</v>
          </cell>
          <cell r="DA68" t="str">
            <v>持平</v>
          </cell>
          <cell r="DB68">
            <v>0</v>
          </cell>
          <cell r="DC68" t="str">
            <v>持平</v>
          </cell>
          <cell r="DD68" t="str">
            <v/>
          </cell>
          <cell r="DE68" t="str">
            <v/>
          </cell>
          <cell r="DF68" t="str">
            <v/>
          </cell>
          <cell r="DG68" t="str">
            <v/>
          </cell>
          <cell r="DH68" t="str">
            <v/>
          </cell>
          <cell r="DI68">
            <v>0</v>
          </cell>
          <cell r="DJ68">
            <v>0</v>
          </cell>
          <cell r="DK68" t="str">
            <v>持平</v>
          </cell>
          <cell r="DL68">
            <v>0</v>
          </cell>
          <cell r="DM68" t="str">
            <v>持平</v>
          </cell>
          <cell r="DN68">
            <v>0</v>
          </cell>
          <cell r="DO68">
            <v>0</v>
          </cell>
          <cell r="DP68" t="str">
            <v>持平</v>
          </cell>
          <cell r="DQ68">
            <v>0</v>
          </cell>
          <cell r="DR68" t="str">
            <v>持平</v>
          </cell>
          <cell r="DS68">
            <v>0</v>
          </cell>
          <cell r="DT68">
            <v>0</v>
          </cell>
          <cell r="DU68" t="str">
            <v>持平</v>
          </cell>
          <cell r="DV68">
            <v>0</v>
          </cell>
          <cell r="DW68" t="str">
            <v>持平</v>
          </cell>
          <cell r="DX68">
            <v>0</v>
          </cell>
          <cell r="DY68">
            <v>0</v>
          </cell>
          <cell r="DZ68" t="str">
            <v>持平</v>
          </cell>
          <cell r="EA68">
            <v>0</v>
          </cell>
          <cell r="EB68" t="str">
            <v>持平</v>
          </cell>
          <cell r="EC68">
            <v>0</v>
          </cell>
          <cell r="ED68">
            <v>0</v>
          </cell>
          <cell r="EE68" t="str">
            <v>持平</v>
          </cell>
          <cell r="EF68">
            <v>0</v>
          </cell>
          <cell r="EG68" t="str">
            <v>持平</v>
          </cell>
          <cell r="EH68" t="str">
            <v/>
          </cell>
          <cell r="EI68" t="str">
            <v/>
          </cell>
          <cell r="EJ68" t="str">
            <v/>
          </cell>
          <cell r="EK68" t="str">
            <v/>
          </cell>
          <cell r="EL68" t="str">
            <v/>
          </cell>
          <cell r="EM68">
            <v>0</v>
          </cell>
          <cell r="EN68">
            <v>0</v>
          </cell>
          <cell r="EO68" t="str">
            <v>持平</v>
          </cell>
          <cell r="EP68">
            <v>0</v>
          </cell>
          <cell r="EQ68" t="str">
            <v>持平</v>
          </cell>
          <cell r="ER68">
            <v>0</v>
          </cell>
          <cell r="ES68">
            <v>0</v>
          </cell>
          <cell r="ET68" t="str">
            <v>持平</v>
          </cell>
          <cell r="EU68">
            <v>0</v>
          </cell>
          <cell r="EV68" t="str">
            <v>持平</v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</row>
        <row r="69">
          <cell r="A69" t="str">
            <v>涉黑</v>
          </cell>
          <cell r="B69" t="str">
            <v>云城区</v>
          </cell>
        </row>
        <row r="69">
          <cell r="AM69">
            <v>0</v>
          </cell>
          <cell r="AN69">
            <v>0</v>
          </cell>
          <cell r="AO69" t="str">
            <v>持平</v>
          </cell>
          <cell r="AP69">
            <v>0</v>
          </cell>
          <cell r="AQ69" t="str">
            <v>持平</v>
          </cell>
          <cell r="AR69" t="str">
            <v/>
          </cell>
          <cell r="AS69" t="str">
            <v/>
          </cell>
          <cell r="AT69">
            <v>0</v>
          </cell>
          <cell r="AU69">
            <v>0</v>
          </cell>
          <cell r="AV69" t="str">
            <v>持平</v>
          </cell>
          <cell r="AW69">
            <v>0</v>
          </cell>
          <cell r="AX69" t="str">
            <v>持平</v>
          </cell>
          <cell r="AY69">
            <v>0</v>
          </cell>
          <cell r="AZ69">
            <v>0</v>
          </cell>
          <cell r="BA69" t="str">
            <v>持平</v>
          </cell>
          <cell r="BB69">
            <v>0</v>
          </cell>
          <cell r="BC69" t="str">
            <v>持平</v>
          </cell>
          <cell r="BD69" t="str">
            <v/>
          </cell>
          <cell r="BE69" t="str">
            <v/>
          </cell>
          <cell r="BF69">
            <v>0</v>
          </cell>
          <cell r="BG69">
            <v>0</v>
          </cell>
          <cell r="BH69" t="str">
            <v>持平</v>
          </cell>
          <cell r="BI69">
            <v>0</v>
          </cell>
          <cell r="BJ69" t="str">
            <v>持平</v>
          </cell>
          <cell r="BK69" t="str">
            <v/>
          </cell>
          <cell r="BL69">
            <v>0</v>
          </cell>
          <cell r="BM69">
            <v>0</v>
          </cell>
          <cell r="BN69" t="str">
            <v>持平</v>
          </cell>
          <cell r="BO69">
            <v>0</v>
          </cell>
          <cell r="BP69" t="str">
            <v>持平</v>
          </cell>
          <cell r="BQ69">
            <v>0</v>
          </cell>
          <cell r="BR69">
            <v>0</v>
          </cell>
          <cell r="BS69" t="str">
            <v>持平</v>
          </cell>
          <cell r="BT69">
            <v>0</v>
          </cell>
          <cell r="BU69" t="str">
            <v>持平</v>
          </cell>
          <cell r="BV69" t="str">
            <v/>
          </cell>
          <cell r="BW69" t="str">
            <v/>
          </cell>
          <cell r="BX69" t="str">
            <v/>
          </cell>
          <cell r="BY69" t="str">
            <v/>
          </cell>
          <cell r="BZ69">
            <v>0</v>
          </cell>
          <cell r="CA69">
            <v>0</v>
          </cell>
          <cell r="CB69" t="str">
            <v>持平</v>
          </cell>
          <cell r="CC69">
            <v>0</v>
          </cell>
          <cell r="CD69" t="str">
            <v>持平</v>
          </cell>
          <cell r="CE69" t="str">
            <v/>
          </cell>
          <cell r="CF69" t="str">
            <v/>
          </cell>
          <cell r="CG69">
            <v>0</v>
          </cell>
          <cell r="CH69">
            <v>0</v>
          </cell>
          <cell r="CI69" t="str">
            <v>持平</v>
          </cell>
          <cell r="CJ69">
            <v>0</v>
          </cell>
          <cell r="CK69" t="str">
            <v>持平</v>
          </cell>
          <cell r="CL69" t="str">
            <v/>
          </cell>
          <cell r="CM69" t="str">
            <v/>
          </cell>
          <cell r="CN69" t="str">
            <v/>
          </cell>
          <cell r="CO69">
            <v>0</v>
          </cell>
          <cell r="CP69">
            <v>0</v>
          </cell>
          <cell r="CQ69" t="str">
            <v>持平</v>
          </cell>
          <cell r="CR69">
            <v>0</v>
          </cell>
          <cell r="CS69" t="str">
            <v>持平</v>
          </cell>
          <cell r="CT69" t="str">
            <v/>
          </cell>
          <cell r="CU69" t="str">
            <v/>
          </cell>
          <cell r="CV69" t="str">
            <v/>
          </cell>
          <cell r="CW69" t="str">
            <v/>
          </cell>
          <cell r="CX69" t="str">
            <v/>
          </cell>
          <cell r="CY69">
            <v>0</v>
          </cell>
          <cell r="CZ69">
            <v>0</v>
          </cell>
          <cell r="DA69" t="str">
            <v>持平</v>
          </cell>
          <cell r="DB69">
            <v>0</v>
          </cell>
          <cell r="DC69" t="str">
            <v>持平</v>
          </cell>
          <cell r="DD69" t="str">
            <v/>
          </cell>
          <cell r="DE69" t="str">
            <v/>
          </cell>
          <cell r="DF69" t="str">
            <v/>
          </cell>
          <cell r="DG69" t="str">
            <v/>
          </cell>
          <cell r="DH69" t="str">
            <v/>
          </cell>
          <cell r="DI69">
            <v>0</v>
          </cell>
          <cell r="DJ69">
            <v>0</v>
          </cell>
          <cell r="DK69" t="str">
            <v>持平</v>
          </cell>
          <cell r="DL69">
            <v>0</v>
          </cell>
          <cell r="DM69" t="str">
            <v>持平</v>
          </cell>
          <cell r="DN69">
            <v>0</v>
          </cell>
          <cell r="DO69">
            <v>0</v>
          </cell>
          <cell r="DP69" t="str">
            <v>持平</v>
          </cell>
          <cell r="DQ69">
            <v>0</v>
          </cell>
          <cell r="DR69" t="str">
            <v>持平</v>
          </cell>
          <cell r="DS69">
            <v>0</v>
          </cell>
          <cell r="DT69">
            <v>0</v>
          </cell>
          <cell r="DU69" t="str">
            <v>持平</v>
          </cell>
          <cell r="DV69">
            <v>0</v>
          </cell>
          <cell r="DW69" t="str">
            <v>持平</v>
          </cell>
          <cell r="DX69">
            <v>0</v>
          </cell>
          <cell r="DY69">
            <v>0</v>
          </cell>
          <cell r="DZ69" t="str">
            <v>持平</v>
          </cell>
          <cell r="EA69">
            <v>0</v>
          </cell>
          <cell r="EB69" t="str">
            <v>持平</v>
          </cell>
          <cell r="EC69">
            <v>0</v>
          </cell>
          <cell r="ED69">
            <v>0</v>
          </cell>
          <cell r="EE69" t="str">
            <v>持平</v>
          </cell>
          <cell r="EF69">
            <v>0</v>
          </cell>
          <cell r="EG69" t="str">
            <v>持平</v>
          </cell>
          <cell r="EH69" t="str">
            <v/>
          </cell>
          <cell r="EI69" t="str">
            <v/>
          </cell>
          <cell r="EJ69" t="str">
            <v/>
          </cell>
          <cell r="EK69" t="str">
            <v/>
          </cell>
          <cell r="EL69" t="str">
            <v/>
          </cell>
          <cell r="EM69">
            <v>0</v>
          </cell>
          <cell r="EN69">
            <v>0</v>
          </cell>
          <cell r="EO69" t="str">
            <v>持平</v>
          </cell>
          <cell r="EP69">
            <v>0</v>
          </cell>
          <cell r="EQ69" t="str">
            <v>持平</v>
          </cell>
          <cell r="ER69">
            <v>0</v>
          </cell>
          <cell r="ES69">
            <v>0</v>
          </cell>
          <cell r="ET69" t="str">
            <v>持平</v>
          </cell>
          <cell r="EU69">
            <v>0</v>
          </cell>
          <cell r="EV69" t="str">
            <v>持平</v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</row>
        <row r="70">
          <cell r="A70" t="str">
            <v>涉黑</v>
          </cell>
          <cell r="B70" t="str">
            <v>云安区</v>
          </cell>
        </row>
        <row r="70">
          <cell r="AM70">
            <v>0</v>
          </cell>
          <cell r="AN70">
            <v>0</v>
          </cell>
          <cell r="AO70" t="str">
            <v>持平</v>
          </cell>
          <cell r="AP70">
            <v>0</v>
          </cell>
          <cell r="AQ70" t="str">
            <v>持平</v>
          </cell>
          <cell r="AR70" t="str">
            <v/>
          </cell>
          <cell r="AS70" t="str">
            <v/>
          </cell>
          <cell r="AT70">
            <v>0</v>
          </cell>
          <cell r="AU70">
            <v>0</v>
          </cell>
          <cell r="AV70" t="str">
            <v>持平</v>
          </cell>
          <cell r="AW70">
            <v>0</v>
          </cell>
          <cell r="AX70" t="str">
            <v>持平</v>
          </cell>
          <cell r="AY70">
            <v>0</v>
          </cell>
          <cell r="AZ70">
            <v>0</v>
          </cell>
          <cell r="BA70" t="str">
            <v>持平</v>
          </cell>
          <cell r="BB70">
            <v>0</v>
          </cell>
          <cell r="BC70" t="str">
            <v>持平</v>
          </cell>
          <cell r="BD70" t="str">
            <v/>
          </cell>
          <cell r="BE70" t="str">
            <v/>
          </cell>
          <cell r="BF70">
            <v>0</v>
          </cell>
          <cell r="BG70">
            <v>0</v>
          </cell>
          <cell r="BH70" t="str">
            <v>持平</v>
          </cell>
          <cell r="BI70">
            <v>0</v>
          </cell>
          <cell r="BJ70" t="str">
            <v>持平</v>
          </cell>
          <cell r="BK70" t="str">
            <v/>
          </cell>
          <cell r="BL70">
            <v>0</v>
          </cell>
          <cell r="BM70">
            <v>0</v>
          </cell>
          <cell r="BN70" t="str">
            <v>持平</v>
          </cell>
          <cell r="BO70">
            <v>0</v>
          </cell>
          <cell r="BP70" t="str">
            <v>持平</v>
          </cell>
          <cell r="BQ70">
            <v>0</v>
          </cell>
          <cell r="BR70">
            <v>0</v>
          </cell>
          <cell r="BS70" t="str">
            <v>持平</v>
          </cell>
          <cell r="BT70">
            <v>0</v>
          </cell>
          <cell r="BU70" t="str">
            <v>持平</v>
          </cell>
          <cell r="BV70" t="str">
            <v/>
          </cell>
          <cell r="BW70" t="str">
            <v/>
          </cell>
          <cell r="BX70" t="str">
            <v/>
          </cell>
          <cell r="BY70" t="str">
            <v/>
          </cell>
          <cell r="BZ70">
            <v>0</v>
          </cell>
          <cell r="CA70">
            <v>0</v>
          </cell>
          <cell r="CB70" t="str">
            <v>持平</v>
          </cell>
          <cell r="CC70">
            <v>0</v>
          </cell>
          <cell r="CD70" t="str">
            <v>持平</v>
          </cell>
          <cell r="CE70" t="str">
            <v/>
          </cell>
          <cell r="CF70" t="str">
            <v/>
          </cell>
          <cell r="CG70">
            <v>0</v>
          </cell>
          <cell r="CH70">
            <v>0</v>
          </cell>
          <cell r="CI70" t="str">
            <v>持平</v>
          </cell>
          <cell r="CJ70">
            <v>0</v>
          </cell>
          <cell r="CK70" t="str">
            <v>持平</v>
          </cell>
          <cell r="CL70" t="str">
            <v/>
          </cell>
          <cell r="CM70" t="str">
            <v/>
          </cell>
          <cell r="CN70" t="str">
            <v/>
          </cell>
          <cell r="CO70">
            <v>0</v>
          </cell>
          <cell r="CP70">
            <v>0</v>
          </cell>
          <cell r="CQ70" t="str">
            <v>持平</v>
          </cell>
          <cell r="CR70">
            <v>0</v>
          </cell>
          <cell r="CS70" t="str">
            <v>持平</v>
          </cell>
          <cell r="CT70" t="str">
            <v/>
          </cell>
          <cell r="CU70" t="str">
            <v/>
          </cell>
          <cell r="CV70" t="str">
            <v/>
          </cell>
          <cell r="CW70" t="str">
            <v/>
          </cell>
          <cell r="CX70" t="str">
            <v/>
          </cell>
          <cell r="CY70">
            <v>0</v>
          </cell>
          <cell r="CZ70">
            <v>0</v>
          </cell>
          <cell r="DA70" t="str">
            <v>持平</v>
          </cell>
          <cell r="DB70">
            <v>0</v>
          </cell>
          <cell r="DC70" t="str">
            <v>持平</v>
          </cell>
          <cell r="DD70" t="str">
            <v/>
          </cell>
          <cell r="DE70" t="str">
            <v/>
          </cell>
          <cell r="DF70" t="str">
            <v/>
          </cell>
          <cell r="DG70" t="str">
            <v/>
          </cell>
          <cell r="DH70" t="str">
            <v/>
          </cell>
          <cell r="DI70">
            <v>0</v>
          </cell>
          <cell r="DJ70">
            <v>0</v>
          </cell>
          <cell r="DK70" t="str">
            <v>持平</v>
          </cell>
          <cell r="DL70">
            <v>0</v>
          </cell>
          <cell r="DM70" t="str">
            <v>持平</v>
          </cell>
          <cell r="DN70">
            <v>0</v>
          </cell>
          <cell r="DO70">
            <v>0</v>
          </cell>
          <cell r="DP70" t="str">
            <v>持平</v>
          </cell>
          <cell r="DQ70">
            <v>0</v>
          </cell>
          <cell r="DR70" t="str">
            <v>持平</v>
          </cell>
          <cell r="DS70">
            <v>0</v>
          </cell>
          <cell r="DT70">
            <v>0</v>
          </cell>
          <cell r="DU70" t="str">
            <v>持平</v>
          </cell>
          <cell r="DV70">
            <v>0</v>
          </cell>
          <cell r="DW70" t="str">
            <v>持平</v>
          </cell>
          <cell r="DX70">
            <v>0</v>
          </cell>
          <cell r="DY70">
            <v>0</v>
          </cell>
          <cell r="DZ70" t="str">
            <v>持平</v>
          </cell>
          <cell r="EA70">
            <v>0</v>
          </cell>
          <cell r="EB70" t="str">
            <v>持平</v>
          </cell>
          <cell r="EC70">
            <v>0</v>
          </cell>
          <cell r="ED70">
            <v>0</v>
          </cell>
          <cell r="EE70" t="str">
            <v>持平</v>
          </cell>
          <cell r="EF70">
            <v>0</v>
          </cell>
          <cell r="EG70" t="str">
            <v>持平</v>
          </cell>
          <cell r="EH70" t="str">
            <v/>
          </cell>
          <cell r="EI70" t="str">
            <v/>
          </cell>
          <cell r="EJ70" t="str">
            <v/>
          </cell>
          <cell r="EK70" t="str">
            <v/>
          </cell>
          <cell r="EL70" t="str">
            <v/>
          </cell>
          <cell r="EM70">
            <v>0</v>
          </cell>
          <cell r="EN70">
            <v>0</v>
          </cell>
          <cell r="EO70" t="str">
            <v>持平</v>
          </cell>
          <cell r="EP70">
            <v>0</v>
          </cell>
          <cell r="EQ70" t="str">
            <v>持平</v>
          </cell>
          <cell r="ER70">
            <v>0</v>
          </cell>
          <cell r="ES70">
            <v>0</v>
          </cell>
          <cell r="ET70" t="str">
            <v>持平</v>
          </cell>
          <cell r="EU70">
            <v>0</v>
          </cell>
          <cell r="EV70" t="str">
            <v>持平</v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</row>
        <row r="71">
          <cell r="A71" t="str">
            <v>涉黑</v>
          </cell>
          <cell r="B71" t="str">
            <v>新兴县</v>
          </cell>
        </row>
        <row r="71">
          <cell r="AM71">
            <v>0</v>
          </cell>
          <cell r="AN71">
            <v>0</v>
          </cell>
          <cell r="AO71" t="str">
            <v>持平</v>
          </cell>
          <cell r="AP71">
            <v>0</v>
          </cell>
          <cell r="AQ71" t="str">
            <v>持平</v>
          </cell>
          <cell r="AR71" t="str">
            <v/>
          </cell>
          <cell r="AS71" t="str">
            <v/>
          </cell>
          <cell r="AT71">
            <v>0</v>
          </cell>
          <cell r="AU71">
            <v>0</v>
          </cell>
          <cell r="AV71" t="str">
            <v>持平</v>
          </cell>
          <cell r="AW71">
            <v>0</v>
          </cell>
          <cell r="AX71" t="str">
            <v>持平</v>
          </cell>
          <cell r="AY71">
            <v>0</v>
          </cell>
          <cell r="AZ71">
            <v>0</v>
          </cell>
          <cell r="BA71" t="str">
            <v>持平</v>
          </cell>
          <cell r="BB71">
            <v>0</v>
          </cell>
          <cell r="BC71" t="str">
            <v>持平</v>
          </cell>
          <cell r="BD71" t="str">
            <v/>
          </cell>
          <cell r="BE71" t="str">
            <v/>
          </cell>
          <cell r="BF71">
            <v>0</v>
          </cell>
          <cell r="BG71">
            <v>0</v>
          </cell>
          <cell r="BH71" t="str">
            <v>持平</v>
          </cell>
          <cell r="BI71">
            <v>0</v>
          </cell>
          <cell r="BJ71" t="str">
            <v>持平</v>
          </cell>
          <cell r="BK71" t="str">
            <v/>
          </cell>
          <cell r="BL71">
            <v>0</v>
          </cell>
          <cell r="BM71">
            <v>0</v>
          </cell>
          <cell r="BN71" t="str">
            <v>持平</v>
          </cell>
          <cell r="BO71">
            <v>0</v>
          </cell>
          <cell r="BP71" t="str">
            <v>持平</v>
          </cell>
          <cell r="BQ71">
            <v>0</v>
          </cell>
          <cell r="BR71">
            <v>0</v>
          </cell>
          <cell r="BS71" t="str">
            <v>持平</v>
          </cell>
          <cell r="BT71">
            <v>0</v>
          </cell>
          <cell r="BU71" t="str">
            <v>持平</v>
          </cell>
          <cell r="BV71" t="str">
            <v/>
          </cell>
          <cell r="BW71" t="str">
            <v/>
          </cell>
          <cell r="BX71" t="str">
            <v/>
          </cell>
          <cell r="BY71" t="str">
            <v/>
          </cell>
          <cell r="BZ71">
            <v>0</v>
          </cell>
          <cell r="CA71">
            <v>0</v>
          </cell>
          <cell r="CB71" t="str">
            <v>持平</v>
          </cell>
          <cell r="CC71">
            <v>0</v>
          </cell>
          <cell r="CD71" t="str">
            <v>持平</v>
          </cell>
          <cell r="CE71" t="str">
            <v/>
          </cell>
          <cell r="CF71" t="str">
            <v/>
          </cell>
          <cell r="CG71">
            <v>0</v>
          </cell>
          <cell r="CH71">
            <v>0</v>
          </cell>
          <cell r="CI71" t="str">
            <v>持平</v>
          </cell>
          <cell r="CJ71">
            <v>0</v>
          </cell>
          <cell r="CK71" t="str">
            <v>持平</v>
          </cell>
          <cell r="CL71" t="str">
            <v/>
          </cell>
          <cell r="CM71" t="str">
            <v/>
          </cell>
          <cell r="CN71" t="str">
            <v/>
          </cell>
          <cell r="CO71">
            <v>0</v>
          </cell>
          <cell r="CP71">
            <v>0</v>
          </cell>
          <cell r="CQ71" t="str">
            <v>持平</v>
          </cell>
          <cell r="CR71">
            <v>0</v>
          </cell>
          <cell r="CS71" t="str">
            <v>持平</v>
          </cell>
          <cell r="CT71" t="str">
            <v/>
          </cell>
          <cell r="CU71" t="str">
            <v/>
          </cell>
          <cell r="CV71" t="str">
            <v/>
          </cell>
          <cell r="CW71" t="str">
            <v/>
          </cell>
          <cell r="CX71" t="str">
            <v/>
          </cell>
          <cell r="CY71">
            <v>0</v>
          </cell>
          <cell r="CZ71">
            <v>0</v>
          </cell>
          <cell r="DA71" t="str">
            <v>持平</v>
          </cell>
          <cell r="DB71">
            <v>0</v>
          </cell>
          <cell r="DC71" t="str">
            <v>持平</v>
          </cell>
          <cell r="DD71" t="str">
            <v/>
          </cell>
          <cell r="DE71" t="str">
            <v/>
          </cell>
          <cell r="DF71" t="str">
            <v/>
          </cell>
          <cell r="DG71" t="str">
            <v/>
          </cell>
          <cell r="DH71" t="str">
            <v/>
          </cell>
          <cell r="DI71">
            <v>0</v>
          </cell>
          <cell r="DJ71">
            <v>0</v>
          </cell>
          <cell r="DK71" t="str">
            <v>持平</v>
          </cell>
          <cell r="DL71">
            <v>0</v>
          </cell>
          <cell r="DM71" t="str">
            <v>持平</v>
          </cell>
          <cell r="DN71">
            <v>0</v>
          </cell>
          <cell r="DO71">
            <v>0</v>
          </cell>
          <cell r="DP71" t="str">
            <v>持平</v>
          </cell>
          <cell r="DQ71">
            <v>0</v>
          </cell>
          <cell r="DR71" t="str">
            <v>持平</v>
          </cell>
          <cell r="DS71">
            <v>0</v>
          </cell>
          <cell r="DT71">
            <v>0</v>
          </cell>
          <cell r="DU71" t="str">
            <v>持平</v>
          </cell>
          <cell r="DV71">
            <v>0</v>
          </cell>
          <cell r="DW71" t="str">
            <v>持平</v>
          </cell>
          <cell r="DX71">
            <v>0</v>
          </cell>
          <cell r="DY71">
            <v>0</v>
          </cell>
          <cell r="DZ71" t="str">
            <v>持平</v>
          </cell>
          <cell r="EA71">
            <v>0</v>
          </cell>
          <cell r="EB71" t="str">
            <v>持平</v>
          </cell>
          <cell r="EC71">
            <v>0</v>
          </cell>
          <cell r="ED71">
            <v>0</v>
          </cell>
          <cell r="EE71" t="str">
            <v>持平</v>
          </cell>
          <cell r="EF71">
            <v>0</v>
          </cell>
          <cell r="EG71" t="str">
            <v>持平</v>
          </cell>
          <cell r="EH71" t="str">
            <v/>
          </cell>
          <cell r="EI71" t="str">
            <v/>
          </cell>
          <cell r="EJ71" t="str">
            <v/>
          </cell>
          <cell r="EK71" t="str">
            <v/>
          </cell>
          <cell r="EL71" t="str">
            <v/>
          </cell>
          <cell r="EM71">
            <v>0</v>
          </cell>
          <cell r="EN71">
            <v>0</v>
          </cell>
          <cell r="EO71" t="str">
            <v>持平</v>
          </cell>
          <cell r="EP71">
            <v>0</v>
          </cell>
          <cell r="EQ71" t="str">
            <v>持平</v>
          </cell>
          <cell r="ER71">
            <v>0</v>
          </cell>
          <cell r="ES71">
            <v>0</v>
          </cell>
          <cell r="ET71" t="str">
            <v>持平</v>
          </cell>
          <cell r="EU71">
            <v>0</v>
          </cell>
          <cell r="EV71" t="str">
            <v>持平</v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</row>
        <row r="72">
          <cell r="A72" t="str">
            <v>涉黑</v>
          </cell>
          <cell r="B72" t="str">
            <v>郁南县</v>
          </cell>
        </row>
        <row r="72">
          <cell r="AM72">
            <v>0</v>
          </cell>
          <cell r="AN72">
            <v>0</v>
          </cell>
          <cell r="AO72" t="str">
            <v>持平</v>
          </cell>
          <cell r="AP72">
            <v>0</v>
          </cell>
          <cell r="AQ72" t="str">
            <v>持平</v>
          </cell>
          <cell r="AR72" t="str">
            <v/>
          </cell>
          <cell r="AS72" t="str">
            <v/>
          </cell>
          <cell r="AT72">
            <v>0</v>
          </cell>
          <cell r="AU72">
            <v>0</v>
          </cell>
          <cell r="AV72" t="str">
            <v>持平</v>
          </cell>
          <cell r="AW72">
            <v>0</v>
          </cell>
          <cell r="AX72" t="str">
            <v>持平</v>
          </cell>
          <cell r="AY72">
            <v>0</v>
          </cell>
          <cell r="AZ72">
            <v>0</v>
          </cell>
          <cell r="BA72" t="str">
            <v>持平</v>
          </cell>
          <cell r="BB72">
            <v>0</v>
          </cell>
          <cell r="BC72" t="str">
            <v>持平</v>
          </cell>
          <cell r="BD72" t="str">
            <v/>
          </cell>
          <cell r="BE72" t="str">
            <v/>
          </cell>
          <cell r="BF72">
            <v>0</v>
          </cell>
          <cell r="BG72">
            <v>0</v>
          </cell>
          <cell r="BH72" t="str">
            <v>持平</v>
          </cell>
          <cell r="BI72">
            <v>0</v>
          </cell>
          <cell r="BJ72" t="str">
            <v>持平</v>
          </cell>
          <cell r="BK72" t="str">
            <v/>
          </cell>
          <cell r="BL72">
            <v>0</v>
          </cell>
          <cell r="BM72">
            <v>0</v>
          </cell>
          <cell r="BN72" t="str">
            <v>持平</v>
          </cell>
          <cell r="BO72">
            <v>0</v>
          </cell>
          <cell r="BP72" t="str">
            <v>持平</v>
          </cell>
          <cell r="BQ72">
            <v>0</v>
          </cell>
          <cell r="BR72">
            <v>0</v>
          </cell>
          <cell r="BS72" t="str">
            <v>持平</v>
          </cell>
          <cell r="BT72">
            <v>0</v>
          </cell>
          <cell r="BU72" t="str">
            <v>持平</v>
          </cell>
          <cell r="BV72" t="str">
            <v/>
          </cell>
          <cell r="BW72" t="str">
            <v/>
          </cell>
          <cell r="BX72" t="str">
            <v/>
          </cell>
          <cell r="BY72" t="str">
            <v/>
          </cell>
          <cell r="BZ72">
            <v>0</v>
          </cell>
          <cell r="CA72">
            <v>0</v>
          </cell>
          <cell r="CB72" t="str">
            <v>持平</v>
          </cell>
          <cell r="CC72">
            <v>0</v>
          </cell>
          <cell r="CD72" t="str">
            <v>持平</v>
          </cell>
          <cell r="CE72" t="str">
            <v/>
          </cell>
          <cell r="CF72" t="str">
            <v/>
          </cell>
          <cell r="CG72">
            <v>0</v>
          </cell>
          <cell r="CH72">
            <v>0</v>
          </cell>
          <cell r="CI72" t="str">
            <v>持平</v>
          </cell>
          <cell r="CJ72">
            <v>0</v>
          </cell>
          <cell r="CK72" t="str">
            <v>持平</v>
          </cell>
          <cell r="CL72" t="str">
            <v/>
          </cell>
          <cell r="CM72" t="str">
            <v/>
          </cell>
          <cell r="CN72" t="str">
            <v/>
          </cell>
          <cell r="CO72">
            <v>0</v>
          </cell>
          <cell r="CP72">
            <v>0</v>
          </cell>
          <cell r="CQ72" t="str">
            <v>持平</v>
          </cell>
          <cell r="CR72">
            <v>0</v>
          </cell>
          <cell r="CS72" t="str">
            <v>持平</v>
          </cell>
          <cell r="CT72" t="str">
            <v/>
          </cell>
          <cell r="CU72" t="str">
            <v/>
          </cell>
          <cell r="CV72" t="str">
            <v/>
          </cell>
          <cell r="CW72" t="str">
            <v/>
          </cell>
          <cell r="CX72" t="str">
            <v/>
          </cell>
          <cell r="CY72">
            <v>0</v>
          </cell>
          <cell r="CZ72">
            <v>0</v>
          </cell>
          <cell r="DA72" t="str">
            <v>持平</v>
          </cell>
          <cell r="DB72">
            <v>0</v>
          </cell>
          <cell r="DC72" t="str">
            <v>持平</v>
          </cell>
          <cell r="DD72" t="str">
            <v/>
          </cell>
          <cell r="DE72" t="str">
            <v/>
          </cell>
          <cell r="DF72" t="str">
            <v/>
          </cell>
          <cell r="DG72" t="str">
            <v/>
          </cell>
          <cell r="DH72" t="str">
            <v/>
          </cell>
          <cell r="DI72">
            <v>0</v>
          </cell>
          <cell r="DJ72">
            <v>0</v>
          </cell>
          <cell r="DK72" t="str">
            <v>持平</v>
          </cell>
          <cell r="DL72">
            <v>0</v>
          </cell>
          <cell r="DM72" t="str">
            <v>持平</v>
          </cell>
          <cell r="DN72">
            <v>0</v>
          </cell>
          <cell r="DO72">
            <v>0</v>
          </cell>
          <cell r="DP72" t="str">
            <v>持平</v>
          </cell>
          <cell r="DQ72">
            <v>0</v>
          </cell>
          <cell r="DR72" t="str">
            <v>持平</v>
          </cell>
          <cell r="DS72">
            <v>0</v>
          </cell>
          <cell r="DT72">
            <v>0</v>
          </cell>
          <cell r="DU72" t="str">
            <v>持平</v>
          </cell>
          <cell r="DV72">
            <v>0</v>
          </cell>
          <cell r="DW72" t="str">
            <v>持平</v>
          </cell>
          <cell r="DX72">
            <v>0</v>
          </cell>
          <cell r="DY72">
            <v>0</v>
          </cell>
          <cell r="DZ72" t="str">
            <v>持平</v>
          </cell>
          <cell r="EA72">
            <v>0</v>
          </cell>
          <cell r="EB72" t="str">
            <v>持平</v>
          </cell>
          <cell r="EC72">
            <v>0</v>
          </cell>
          <cell r="ED72">
            <v>0</v>
          </cell>
          <cell r="EE72" t="str">
            <v>持平</v>
          </cell>
          <cell r="EF72">
            <v>0</v>
          </cell>
          <cell r="EG72" t="str">
            <v>持平</v>
          </cell>
          <cell r="EH72" t="str">
            <v/>
          </cell>
          <cell r="EI72" t="str">
            <v/>
          </cell>
          <cell r="EJ72" t="str">
            <v/>
          </cell>
          <cell r="EK72" t="str">
            <v/>
          </cell>
          <cell r="EL72" t="str">
            <v/>
          </cell>
          <cell r="EM72">
            <v>0</v>
          </cell>
          <cell r="EN72">
            <v>0</v>
          </cell>
          <cell r="EO72" t="str">
            <v>持平</v>
          </cell>
          <cell r="EP72">
            <v>0</v>
          </cell>
          <cell r="EQ72" t="str">
            <v>持平</v>
          </cell>
          <cell r="ER72">
            <v>0</v>
          </cell>
          <cell r="ES72">
            <v>0</v>
          </cell>
          <cell r="ET72" t="str">
            <v>持平</v>
          </cell>
          <cell r="EU72">
            <v>0</v>
          </cell>
          <cell r="EV72" t="str">
            <v>持平</v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</row>
        <row r="73">
          <cell r="A73" t="str">
            <v>涉黑</v>
          </cell>
          <cell r="B73" t="str">
            <v>罗定市</v>
          </cell>
        </row>
        <row r="73">
          <cell r="AM73">
            <v>0</v>
          </cell>
          <cell r="AN73">
            <v>0</v>
          </cell>
          <cell r="AO73" t="str">
            <v>持平</v>
          </cell>
          <cell r="AP73">
            <v>0</v>
          </cell>
          <cell r="AQ73" t="str">
            <v>持平</v>
          </cell>
          <cell r="AR73" t="str">
            <v/>
          </cell>
          <cell r="AS73" t="str">
            <v/>
          </cell>
          <cell r="AT73">
            <v>0</v>
          </cell>
          <cell r="AU73">
            <v>0</v>
          </cell>
          <cell r="AV73" t="str">
            <v>持平</v>
          </cell>
          <cell r="AW73">
            <v>0</v>
          </cell>
          <cell r="AX73" t="str">
            <v>持平</v>
          </cell>
          <cell r="AY73">
            <v>0</v>
          </cell>
          <cell r="AZ73">
            <v>0</v>
          </cell>
          <cell r="BA73" t="str">
            <v>持平</v>
          </cell>
          <cell r="BB73">
            <v>0</v>
          </cell>
          <cell r="BC73" t="str">
            <v>持平</v>
          </cell>
          <cell r="BD73" t="str">
            <v/>
          </cell>
          <cell r="BE73" t="str">
            <v/>
          </cell>
          <cell r="BF73">
            <v>0</v>
          </cell>
          <cell r="BG73">
            <v>0</v>
          </cell>
          <cell r="BH73" t="str">
            <v>持平</v>
          </cell>
          <cell r="BI73">
            <v>0</v>
          </cell>
          <cell r="BJ73" t="str">
            <v>持平</v>
          </cell>
          <cell r="BK73" t="str">
            <v/>
          </cell>
          <cell r="BL73">
            <v>0</v>
          </cell>
          <cell r="BM73">
            <v>0</v>
          </cell>
          <cell r="BN73" t="str">
            <v>持平</v>
          </cell>
          <cell r="BO73">
            <v>0</v>
          </cell>
          <cell r="BP73" t="str">
            <v>持平</v>
          </cell>
          <cell r="BQ73">
            <v>0</v>
          </cell>
          <cell r="BR73">
            <v>0</v>
          </cell>
          <cell r="BS73" t="str">
            <v>持平</v>
          </cell>
          <cell r="BT73">
            <v>0</v>
          </cell>
          <cell r="BU73" t="str">
            <v>持平</v>
          </cell>
          <cell r="BV73" t="str">
            <v/>
          </cell>
          <cell r="BW73" t="str">
            <v/>
          </cell>
          <cell r="BX73" t="str">
            <v/>
          </cell>
          <cell r="BY73" t="str">
            <v/>
          </cell>
          <cell r="BZ73">
            <v>0</v>
          </cell>
          <cell r="CA73">
            <v>0</v>
          </cell>
          <cell r="CB73" t="str">
            <v>持平</v>
          </cell>
          <cell r="CC73">
            <v>0</v>
          </cell>
          <cell r="CD73" t="str">
            <v>持平</v>
          </cell>
          <cell r="CE73" t="str">
            <v/>
          </cell>
          <cell r="CF73" t="str">
            <v/>
          </cell>
          <cell r="CG73">
            <v>0</v>
          </cell>
          <cell r="CH73">
            <v>0</v>
          </cell>
          <cell r="CI73" t="str">
            <v>持平</v>
          </cell>
          <cell r="CJ73">
            <v>0</v>
          </cell>
          <cell r="CK73" t="str">
            <v>持平</v>
          </cell>
          <cell r="CL73" t="str">
            <v/>
          </cell>
          <cell r="CM73" t="str">
            <v/>
          </cell>
          <cell r="CN73" t="str">
            <v/>
          </cell>
          <cell r="CO73">
            <v>0</v>
          </cell>
          <cell r="CP73">
            <v>0</v>
          </cell>
          <cell r="CQ73" t="str">
            <v>持平</v>
          </cell>
          <cell r="CR73">
            <v>0</v>
          </cell>
          <cell r="CS73" t="str">
            <v>持平</v>
          </cell>
          <cell r="CT73" t="str">
            <v/>
          </cell>
          <cell r="CU73" t="str">
            <v/>
          </cell>
          <cell r="CV73" t="str">
            <v/>
          </cell>
          <cell r="CW73" t="str">
            <v/>
          </cell>
          <cell r="CX73" t="str">
            <v/>
          </cell>
          <cell r="CY73">
            <v>0</v>
          </cell>
          <cell r="CZ73">
            <v>0</v>
          </cell>
          <cell r="DA73" t="str">
            <v>持平</v>
          </cell>
          <cell r="DB73">
            <v>0</v>
          </cell>
          <cell r="DC73" t="str">
            <v>持平</v>
          </cell>
          <cell r="DD73" t="str">
            <v/>
          </cell>
          <cell r="DE73" t="str">
            <v/>
          </cell>
          <cell r="DF73" t="str">
            <v/>
          </cell>
          <cell r="DG73" t="str">
            <v/>
          </cell>
          <cell r="DH73" t="str">
            <v/>
          </cell>
          <cell r="DI73">
            <v>0</v>
          </cell>
          <cell r="DJ73">
            <v>0</v>
          </cell>
          <cell r="DK73" t="str">
            <v>持平</v>
          </cell>
          <cell r="DL73">
            <v>0</v>
          </cell>
          <cell r="DM73" t="str">
            <v>持平</v>
          </cell>
          <cell r="DN73">
            <v>0</v>
          </cell>
          <cell r="DO73">
            <v>0</v>
          </cell>
          <cell r="DP73" t="str">
            <v>持平</v>
          </cell>
          <cell r="DQ73">
            <v>0</v>
          </cell>
          <cell r="DR73" t="str">
            <v>持平</v>
          </cell>
          <cell r="DS73">
            <v>0</v>
          </cell>
          <cell r="DT73">
            <v>0</v>
          </cell>
          <cell r="DU73" t="str">
            <v>持平</v>
          </cell>
          <cell r="DV73">
            <v>0</v>
          </cell>
          <cell r="DW73" t="str">
            <v>持平</v>
          </cell>
          <cell r="DX73">
            <v>0</v>
          </cell>
          <cell r="DY73">
            <v>0</v>
          </cell>
          <cell r="DZ73" t="str">
            <v>持平</v>
          </cell>
          <cell r="EA73">
            <v>0</v>
          </cell>
          <cell r="EB73" t="str">
            <v>持平</v>
          </cell>
          <cell r="EC73">
            <v>0</v>
          </cell>
          <cell r="ED73">
            <v>0</v>
          </cell>
          <cell r="EE73" t="str">
            <v>持平</v>
          </cell>
          <cell r="EF73">
            <v>0</v>
          </cell>
          <cell r="EG73" t="str">
            <v>持平</v>
          </cell>
          <cell r="EH73" t="str">
            <v/>
          </cell>
          <cell r="EI73" t="str">
            <v/>
          </cell>
          <cell r="EJ73" t="str">
            <v/>
          </cell>
          <cell r="EK73" t="str">
            <v/>
          </cell>
          <cell r="EL73" t="str">
            <v/>
          </cell>
          <cell r="EM73">
            <v>0</v>
          </cell>
          <cell r="EN73">
            <v>0</v>
          </cell>
          <cell r="EO73" t="str">
            <v>持平</v>
          </cell>
          <cell r="EP73">
            <v>0</v>
          </cell>
          <cell r="EQ73" t="str">
            <v>持平</v>
          </cell>
          <cell r="ER73">
            <v>0</v>
          </cell>
          <cell r="ES73">
            <v>0</v>
          </cell>
          <cell r="ET73" t="str">
            <v>持平</v>
          </cell>
          <cell r="EU73">
            <v>0</v>
          </cell>
          <cell r="EV73" t="str">
            <v>持平</v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</row>
        <row r="74">
          <cell r="A74" t="str">
            <v>涉恶</v>
          </cell>
          <cell r="B74" t="str">
            <v>全省</v>
          </cell>
        </row>
        <row r="74">
          <cell r="AM74">
            <v>1023</v>
          </cell>
          <cell r="AN74">
            <v>711</v>
          </cell>
          <cell r="AO74">
            <v>0.4388</v>
          </cell>
          <cell r="AP74">
            <v>1540</v>
          </cell>
          <cell r="AQ74">
            <v>-0.3357</v>
          </cell>
          <cell r="AR74">
            <v>0.8561</v>
          </cell>
          <cell r="AS74">
            <v>0.2447</v>
          </cell>
          <cell r="AT74">
            <v>763</v>
          </cell>
          <cell r="AU74">
            <v>675</v>
          </cell>
          <cell r="AV74">
            <v>0.1304</v>
          </cell>
          <cell r="AW74">
            <v>1144</v>
          </cell>
          <cell r="AX74">
            <v>-0.333</v>
          </cell>
          <cell r="AY74">
            <v>557</v>
          </cell>
          <cell r="AZ74">
            <v>396</v>
          </cell>
          <cell r="BA74">
            <v>0.4066</v>
          </cell>
          <cell r="BB74">
            <v>1131</v>
          </cell>
          <cell r="BC74">
            <v>-0.5075</v>
          </cell>
          <cell r="BD74">
            <v>0.73</v>
          </cell>
          <cell r="BE74">
            <v>0.1433</v>
          </cell>
          <cell r="BF74">
            <v>432</v>
          </cell>
          <cell r="BG74">
            <v>488</v>
          </cell>
          <cell r="BH74">
            <v>-0.1148</v>
          </cell>
          <cell r="BI74">
            <v>129</v>
          </cell>
          <cell r="BJ74">
            <v>2.3488</v>
          </cell>
          <cell r="BK74">
            <v>0.3615</v>
          </cell>
          <cell r="BL74">
            <v>466</v>
          </cell>
          <cell r="BM74">
            <v>315</v>
          </cell>
          <cell r="BN74">
            <v>0.4794</v>
          </cell>
          <cell r="BO74">
            <v>409</v>
          </cell>
          <cell r="BP74">
            <v>0.1394</v>
          </cell>
          <cell r="BQ74">
            <v>523</v>
          </cell>
          <cell r="BR74">
            <v>449</v>
          </cell>
          <cell r="BS74">
            <v>0.1648</v>
          </cell>
          <cell r="BT74">
            <v>963</v>
          </cell>
          <cell r="BU74">
            <v>-0.4569</v>
          </cell>
          <cell r="BV74">
            <v>0.4377</v>
          </cell>
          <cell r="BW74">
            <v>0.0516</v>
          </cell>
          <cell r="BX74">
            <v>0.6855</v>
          </cell>
          <cell r="BY74">
            <v>0.0203</v>
          </cell>
          <cell r="BZ74">
            <v>2</v>
          </cell>
          <cell r="CA74">
            <v>3</v>
          </cell>
          <cell r="CB74">
            <v>-0.3333</v>
          </cell>
          <cell r="CC74">
            <v>46</v>
          </cell>
          <cell r="CD74">
            <v>-0.9565</v>
          </cell>
          <cell r="CE74" t="str">
            <v/>
          </cell>
          <cell r="CF74" t="str">
            <v/>
          </cell>
          <cell r="CG74">
            <v>5266</v>
          </cell>
          <cell r="CH74">
            <v>3403</v>
          </cell>
          <cell r="CI74">
            <v>0.5475</v>
          </cell>
          <cell r="CJ74">
            <v>4060</v>
          </cell>
          <cell r="CK74">
            <v>0.297</v>
          </cell>
          <cell r="CL74">
            <v>441</v>
          </cell>
          <cell r="CM74">
            <v>148</v>
          </cell>
          <cell r="CN74">
            <v>0.506</v>
          </cell>
          <cell r="CO74">
            <v>4186</v>
          </cell>
          <cell r="CP74">
            <v>2141</v>
          </cell>
          <cell r="CQ74">
            <v>0.9552</v>
          </cell>
          <cell r="CR74">
            <v>3210</v>
          </cell>
          <cell r="CS74">
            <v>0.304</v>
          </cell>
          <cell r="CT74">
            <v>0.7949</v>
          </cell>
          <cell r="CU74">
            <v>0.1658</v>
          </cell>
          <cell r="CV74">
            <v>350</v>
          </cell>
          <cell r="CW74">
            <v>166</v>
          </cell>
          <cell r="CX74">
            <v>0.9028</v>
          </cell>
          <cell r="CY74">
            <v>4489</v>
          </cell>
          <cell r="CZ74">
            <v>2439</v>
          </cell>
          <cell r="DA74">
            <v>0.8405</v>
          </cell>
          <cell r="DB74">
            <v>3586</v>
          </cell>
          <cell r="DC74">
            <v>0.2518</v>
          </cell>
          <cell r="DD74">
            <v>0.8524</v>
          </cell>
          <cell r="DE74">
            <v>0.1357</v>
          </cell>
          <cell r="DF74">
            <v>376</v>
          </cell>
          <cell r="DG74">
            <v>166</v>
          </cell>
          <cell r="DH74">
            <v>0.7912</v>
          </cell>
          <cell r="DI74">
            <v>4065</v>
          </cell>
          <cell r="DJ74">
            <v>2346</v>
          </cell>
          <cell r="DK74">
            <v>0.7327</v>
          </cell>
          <cell r="DL74">
            <v>3415</v>
          </cell>
          <cell r="DM74">
            <v>0.1903</v>
          </cell>
          <cell r="DN74">
            <v>1826</v>
          </cell>
          <cell r="DO74">
            <v>1432</v>
          </cell>
          <cell r="DP74">
            <v>0.2751</v>
          </cell>
          <cell r="DQ74">
            <v>1786</v>
          </cell>
          <cell r="DR74">
            <v>0.0224</v>
          </cell>
          <cell r="DS74">
            <v>1826</v>
          </cell>
          <cell r="DT74">
            <v>1433</v>
          </cell>
          <cell r="DU74">
            <v>0.2742</v>
          </cell>
          <cell r="DV74">
            <v>1786</v>
          </cell>
          <cell r="DW74">
            <v>0.0224</v>
          </cell>
          <cell r="DX74">
            <v>2312</v>
          </cell>
          <cell r="DY74">
            <v>1702</v>
          </cell>
          <cell r="DZ74">
            <v>0.3584</v>
          </cell>
          <cell r="EA74">
            <v>1996</v>
          </cell>
          <cell r="EB74">
            <v>0.1583</v>
          </cell>
          <cell r="EC74">
            <v>1030</v>
          </cell>
          <cell r="ED74">
            <v>1084</v>
          </cell>
          <cell r="EE74">
            <v>-0.0498</v>
          </cell>
          <cell r="EF74">
            <v>1214</v>
          </cell>
          <cell r="EG74">
            <v>-0.1516</v>
          </cell>
          <cell r="EH74">
            <v>0.2461</v>
          </cell>
          <cell r="EI74">
            <v>-0.2602</v>
          </cell>
          <cell r="EJ74">
            <v>86</v>
          </cell>
          <cell r="EK74">
            <v>-7</v>
          </cell>
          <cell r="EL74">
            <v>-0.0753</v>
          </cell>
          <cell r="EM74">
            <v>1056</v>
          </cell>
          <cell r="EN74">
            <v>1092</v>
          </cell>
          <cell r="EO74">
            <v>-0.033</v>
          </cell>
          <cell r="EP74">
            <v>1235</v>
          </cell>
          <cell r="EQ74">
            <v>-0.1449</v>
          </cell>
          <cell r="ER74">
            <v>1417</v>
          </cell>
          <cell r="ES74">
            <v>1181</v>
          </cell>
          <cell r="ET74">
            <v>0.1998</v>
          </cell>
          <cell r="EU74">
            <v>2360</v>
          </cell>
          <cell r="EV74">
            <v>-0.3996</v>
          </cell>
          <cell r="EW74">
            <v>0.3385</v>
          </cell>
          <cell r="EX74">
            <v>-0.2131</v>
          </cell>
          <cell r="EY74">
            <v>119</v>
          </cell>
          <cell r="EZ74">
            <v>17</v>
          </cell>
          <cell r="FA74">
            <v>0.1677</v>
          </cell>
        </row>
        <row r="75">
          <cell r="A75" t="str">
            <v>涉恶</v>
          </cell>
          <cell r="B75" t="str">
            <v>云浮</v>
          </cell>
        </row>
        <row r="75">
          <cell r="AM75">
            <v>10</v>
          </cell>
          <cell r="AN75">
            <v>7</v>
          </cell>
          <cell r="AO75">
            <v>0.4286</v>
          </cell>
          <cell r="AP75">
            <v>14</v>
          </cell>
          <cell r="AQ75">
            <v>-0.2857</v>
          </cell>
          <cell r="AR75">
            <v>0.7692</v>
          </cell>
          <cell r="AS75">
            <v>0.0692</v>
          </cell>
          <cell r="AT75">
            <v>4</v>
          </cell>
          <cell r="AU75">
            <v>6</v>
          </cell>
          <cell r="AV75">
            <v>-0.3333</v>
          </cell>
          <cell r="AW75">
            <v>9</v>
          </cell>
          <cell r="AX75">
            <v>-0.5556</v>
          </cell>
          <cell r="AY75">
            <v>3</v>
          </cell>
          <cell r="AZ75">
            <v>3</v>
          </cell>
          <cell r="BA75">
            <v>0</v>
          </cell>
          <cell r="BB75">
            <v>10</v>
          </cell>
          <cell r="BC75">
            <v>-0.7</v>
          </cell>
          <cell r="BD75">
            <v>0.75</v>
          </cell>
          <cell r="BE75">
            <v>0.25</v>
          </cell>
          <cell r="BF75">
            <v>9</v>
          </cell>
          <cell r="BG75">
            <v>4</v>
          </cell>
          <cell r="BH75">
            <v>1.25</v>
          </cell>
          <cell r="BI75">
            <v>1</v>
          </cell>
          <cell r="BJ75">
            <v>8</v>
          </cell>
          <cell r="BK75">
            <v>0.6923</v>
          </cell>
          <cell r="BL75">
            <v>7</v>
          </cell>
          <cell r="BM75">
            <v>4</v>
          </cell>
          <cell r="BN75">
            <v>0.75</v>
          </cell>
          <cell r="BO75">
            <v>4</v>
          </cell>
          <cell r="BP75">
            <v>0.75</v>
          </cell>
          <cell r="BQ75">
            <v>3</v>
          </cell>
          <cell r="BR75">
            <v>8</v>
          </cell>
          <cell r="BS75">
            <v>-0.625</v>
          </cell>
          <cell r="BT75">
            <v>12</v>
          </cell>
          <cell r="BU75">
            <v>-0.75</v>
          </cell>
          <cell r="BV75">
            <v>0.2308</v>
          </cell>
          <cell r="BW75">
            <v>-0.5692</v>
          </cell>
          <cell r="BX75">
            <v>0.75</v>
          </cell>
          <cell r="BY75">
            <v>-0.5833</v>
          </cell>
          <cell r="BZ75">
            <v>0</v>
          </cell>
          <cell r="CA75">
            <v>0</v>
          </cell>
          <cell r="CB75" t="str">
            <v>持平</v>
          </cell>
          <cell r="CC75">
            <v>0</v>
          </cell>
          <cell r="CD75" t="str">
            <v>持平</v>
          </cell>
          <cell r="CE75" t="str">
            <v/>
          </cell>
          <cell r="CF75" t="str">
            <v/>
          </cell>
          <cell r="CG75">
            <v>80</v>
          </cell>
          <cell r="CH75">
            <v>36</v>
          </cell>
          <cell r="CI75">
            <v>1.2222</v>
          </cell>
          <cell r="CJ75">
            <v>113</v>
          </cell>
          <cell r="CK75">
            <v>-0.292</v>
          </cell>
          <cell r="CL75">
            <v>615</v>
          </cell>
          <cell r="CM75">
            <v>255</v>
          </cell>
          <cell r="CN75">
            <v>0.7094</v>
          </cell>
          <cell r="CO75">
            <v>54</v>
          </cell>
          <cell r="CP75">
            <v>61</v>
          </cell>
          <cell r="CQ75">
            <v>-0.1148</v>
          </cell>
          <cell r="CR75">
            <v>119</v>
          </cell>
          <cell r="CS75">
            <v>-0.5462</v>
          </cell>
          <cell r="CT75">
            <v>0.675</v>
          </cell>
          <cell r="CU75">
            <v>-1.0194</v>
          </cell>
          <cell r="CV75">
            <v>415</v>
          </cell>
          <cell r="CW75">
            <v>-195</v>
          </cell>
          <cell r="CX75">
            <v>-0.319</v>
          </cell>
          <cell r="CY75">
            <v>56</v>
          </cell>
          <cell r="CZ75">
            <v>64</v>
          </cell>
          <cell r="DA75">
            <v>-0.125</v>
          </cell>
          <cell r="DB75">
            <v>121</v>
          </cell>
          <cell r="DC75">
            <v>-0.5372</v>
          </cell>
          <cell r="DD75">
            <v>0.7</v>
          </cell>
          <cell r="DE75">
            <v>-1.0778</v>
          </cell>
          <cell r="DF75">
            <v>431</v>
          </cell>
          <cell r="DG75">
            <v>-209</v>
          </cell>
          <cell r="DH75">
            <v>-0.3269</v>
          </cell>
          <cell r="DI75">
            <v>37</v>
          </cell>
          <cell r="DJ75">
            <v>55</v>
          </cell>
          <cell r="DK75">
            <v>-0.3273</v>
          </cell>
          <cell r="DL75">
            <v>107</v>
          </cell>
          <cell r="DM75">
            <v>-0.6542</v>
          </cell>
          <cell r="DN75">
            <v>36</v>
          </cell>
          <cell r="DO75">
            <v>8</v>
          </cell>
          <cell r="DP75">
            <v>3.5</v>
          </cell>
          <cell r="DQ75">
            <v>29</v>
          </cell>
          <cell r="DR75">
            <v>0.2414</v>
          </cell>
          <cell r="DS75">
            <v>36</v>
          </cell>
          <cell r="DT75">
            <v>8</v>
          </cell>
          <cell r="DU75">
            <v>3.5</v>
          </cell>
          <cell r="DV75">
            <v>29</v>
          </cell>
          <cell r="DW75">
            <v>0.2414</v>
          </cell>
          <cell r="DX75">
            <v>31</v>
          </cell>
          <cell r="DY75">
            <v>3</v>
          </cell>
          <cell r="DZ75">
            <v>9.3333</v>
          </cell>
          <cell r="EA75">
            <v>24</v>
          </cell>
          <cell r="EB75">
            <v>0.2917</v>
          </cell>
          <cell r="EC75">
            <v>19</v>
          </cell>
          <cell r="ED75">
            <v>2</v>
          </cell>
          <cell r="EE75">
            <v>8.5</v>
          </cell>
          <cell r="EF75">
            <v>14</v>
          </cell>
          <cell r="EG75">
            <v>0.3571</v>
          </cell>
          <cell r="EH75">
            <v>0.3519</v>
          </cell>
          <cell r="EI75">
            <v>0.3191</v>
          </cell>
          <cell r="EJ75">
            <v>146</v>
          </cell>
          <cell r="EK75">
            <v>126</v>
          </cell>
          <cell r="EL75">
            <v>6.3077</v>
          </cell>
          <cell r="EM75">
            <v>19</v>
          </cell>
          <cell r="EN75">
            <v>2</v>
          </cell>
          <cell r="EO75">
            <v>8.5</v>
          </cell>
          <cell r="EP75">
            <v>14</v>
          </cell>
          <cell r="EQ75">
            <v>0.3571</v>
          </cell>
          <cell r="ER75">
            <v>5</v>
          </cell>
          <cell r="ES75">
            <v>10</v>
          </cell>
          <cell r="ET75">
            <v>-0.5</v>
          </cell>
          <cell r="EU75">
            <v>24</v>
          </cell>
          <cell r="EV75">
            <v>-0.7917</v>
          </cell>
          <cell r="EW75">
            <v>0.0926</v>
          </cell>
          <cell r="EX75">
            <v>-0.0713</v>
          </cell>
          <cell r="EY75">
            <v>38</v>
          </cell>
          <cell r="EZ75">
            <v>-62</v>
          </cell>
          <cell r="FA75">
            <v>-0.6154</v>
          </cell>
        </row>
        <row r="76">
          <cell r="A76" t="str">
            <v>涉恶</v>
          </cell>
          <cell r="B76" t="str">
            <v>云城区</v>
          </cell>
        </row>
        <row r="76">
          <cell r="AM76">
            <v>1</v>
          </cell>
          <cell r="AN76">
            <v>1</v>
          </cell>
          <cell r="AO76">
            <v>0</v>
          </cell>
          <cell r="AP76">
            <v>0</v>
          </cell>
          <cell r="AQ76" t="str">
            <v>多1起</v>
          </cell>
          <cell r="AR76">
            <v>0.5</v>
          </cell>
          <cell r="AS76">
            <v>0</v>
          </cell>
          <cell r="AT76">
            <v>1</v>
          </cell>
          <cell r="AU76">
            <v>1</v>
          </cell>
          <cell r="AV76">
            <v>0</v>
          </cell>
          <cell r="AW76">
            <v>0</v>
          </cell>
          <cell r="AX76" t="str">
            <v>多1起</v>
          </cell>
          <cell r="AY76">
            <v>1</v>
          </cell>
          <cell r="AZ76">
            <v>1</v>
          </cell>
          <cell r="BA76">
            <v>0</v>
          </cell>
          <cell r="BB76">
            <v>0</v>
          </cell>
          <cell r="BC76" t="str">
            <v>多1起</v>
          </cell>
          <cell r="BD76">
            <v>1</v>
          </cell>
          <cell r="BE76">
            <v>0</v>
          </cell>
          <cell r="BF76">
            <v>1</v>
          </cell>
          <cell r="BG76">
            <v>1</v>
          </cell>
          <cell r="BH76">
            <v>0</v>
          </cell>
          <cell r="BI76">
            <v>0</v>
          </cell>
          <cell r="BJ76" t="str">
            <v>多1起</v>
          </cell>
          <cell r="BK76">
            <v>0.5</v>
          </cell>
          <cell r="BL76">
            <v>0</v>
          </cell>
          <cell r="BM76">
            <v>0</v>
          </cell>
          <cell r="BN76" t="str">
            <v>持平</v>
          </cell>
          <cell r="BO76">
            <v>0</v>
          </cell>
          <cell r="BP76" t="str">
            <v>持平</v>
          </cell>
          <cell r="BQ76">
            <v>0</v>
          </cell>
          <cell r="BR76">
            <v>1</v>
          </cell>
          <cell r="BS76" t="str">
            <v>少1起</v>
          </cell>
          <cell r="BT76">
            <v>1</v>
          </cell>
          <cell r="BU76" t="str">
            <v>少1起</v>
          </cell>
          <cell r="BV76">
            <v>0</v>
          </cell>
          <cell r="BW76">
            <v>-0.5</v>
          </cell>
          <cell r="BX76">
            <v>0</v>
          </cell>
          <cell r="BY76">
            <v>-1</v>
          </cell>
          <cell r="BZ76">
            <v>0</v>
          </cell>
          <cell r="CA76">
            <v>0</v>
          </cell>
          <cell r="CB76" t="str">
            <v>持平</v>
          </cell>
          <cell r="CC76">
            <v>0</v>
          </cell>
          <cell r="CD76" t="str">
            <v>持平</v>
          </cell>
          <cell r="CE76" t="str">
            <v/>
          </cell>
          <cell r="CF76" t="str">
            <v/>
          </cell>
          <cell r="CG76">
            <v>44</v>
          </cell>
          <cell r="CH76">
            <v>9</v>
          </cell>
          <cell r="CI76">
            <v>3.8889</v>
          </cell>
          <cell r="CJ76">
            <v>30</v>
          </cell>
          <cell r="CK76">
            <v>0.4667</v>
          </cell>
          <cell r="CL76">
            <v>2200</v>
          </cell>
          <cell r="CM76">
            <v>1750</v>
          </cell>
          <cell r="CN76">
            <v>3.8889</v>
          </cell>
          <cell r="CO76">
            <v>15</v>
          </cell>
          <cell r="CP76">
            <v>6</v>
          </cell>
          <cell r="CQ76">
            <v>1.5</v>
          </cell>
          <cell r="CR76">
            <v>0</v>
          </cell>
          <cell r="CS76" t="str">
            <v>多15人</v>
          </cell>
          <cell r="CT76">
            <v>0.3409</v>
          </cell>
          <cell r="CU76">
            <v>-0.3258</v>
          </cell>
          <cell r="CV76">
            <v>750</v>
          </cell>
          <cell r="CW76">
            <v>450</v>
          </cell>
          <cell r="CX76">
            <v>1.5</v>
          </cell>
          <cell r="CY76">
            <v>15</v>
          </cell>
          <cell r="CZ76">
            <v>6</v>
          </cell>
          <cell r="DA76">
            <v>1.5</v>
          </cell>
          <cell r="DB76">
            <v>0</v>
          </cell>
          <cell r="DC76" t="str">
            <v>多15人</v>
          </cell>
          <cell r="DD76">
            <v>0.3409</v>
          </cell>
          <cell r="DE76">
            <v>-0.3258</v>
          </cell>
          <cell r="DF76">
            <v>750</v>
          </cell>
          <cell r="DG76">
            <v>450</v>
          </cell>
          <cell r="DH76">
            <v>1.5</v>
          </cell>
          <cell r="DI76">
            <v>0</v>
          </cell>
          <cell r="DJ76">
            <v>0</v>
          </cell>
          <cell r="DK76" t="str">
            <v>持平</v>
          </cell>
          <cell r="DL76">
            <v>0</v>
          </cell>
          <cell r="DM76" t="str">
            <v>持平</v>
          </cell>
          <cell r="DN76">
            <v>0</v>
          </cell>
          <cell r="DO76">
            <v>0</v>
          </cell>
          <cell r="DP76" t="str">
            <v>持平</v>
          </cell>
          <cell r="DQ76">
            <v>0</v>
          </cell>
          <cell r="DR76" t="str">
            <v>持平</v>
          </cell>
          <cell r="DS76">
            <v>0</v>
          </cell>
          <cell r="DT76">
            <v>0</v>
          </cell>
          <cell r="DU76" t="str">
            <v>持平</v>
          </cell>
          <cell r="DV76">
            <v>0</v>
          </cell>
          <cell r="DW76" t="str">
            <v>持平</v>
          </cell>
          <cell r="DX76">
            <v>11</v>
          </cell>
          <cell r="DY76">
            <v>1</v>
          </cell>
          <cell r="DZ76">
            <v>10</v>
          </cell>
          <cell r="EA76">
            <v>0</v>
          </cell>
          <cell r="EB76" t="str">
            <v>多11人</v>
          </cell>
          <cell r="EC76">
            <v>5</v>
          </cell>
          <cell r="ED76">
            <v>0</v>
          </cell>
          <cell r="EE76" t="str">
            <v>多5人</v>
          </cell>
          <cell r="EF76">
            <v>0</v>
          </cell>
          <cell r="EG76" t="str">
            <v>多5人</v>
          </cell>
          <cell r="EH76">
            <v>0.3333</v>
          </cell>
          <cell r="EI76">
            <v>0.3333</v>
          </cell>
          <cell r="EJ76">
            <v>250</v>
          </cell>
          <cell r="EK76">
            <v>250</v>
          </cell>
          <cell r="EL76" t="str">
            <v/>
          </cell>
          <cell r="EM76">
            <v>5</v>
          </cell>
          <cell r="EN76">
            <v>0</v>
          </cell>
          <cell r="EO76" t="str">
            <v>多5人</v>
          </cell>
          <cell r="EP76">
            <v>0</v>
          </cell>
          <cell r="EQ76" t="str">
            <v>多5人</v>
          </cell>
          <cell r="ER76">
            <v>0</v>
          </cell>
          <cell r="ES76">
            <v>2</v>
          </cell>
          <cell r="ET76" t="str">
            <v>少2人</v>
          </cell>
          <cell r="EU76">
            <v>1</v>
          </cell>
          <cell r="EV76" t="str">
            <v>少1人</v>
          </cell>
          <cell r="EW76">
            <v>0</v>
          </cell>
          <cell r="EX76">
            <v>-0.3333</v>
          </cell>
          <cell r="EY76">
            <v>0</v>
          </cell>
          <cell r="EZ76">
            <v>-100</v>
          </cell>
          <cell r="FA76">
            <v>-1</v>
          </cell>
        </row>
        <row r="77">
          <cell r="A77" t="str">
            <v>涉恶</v>
          </cell>
          <cell r="B77" t="str">
            <v>云安区</v>
          </cell>
        </row>
        <row r="77">
          <cell r="AM77">
            <v>2</v>
          </cell>
          <cell r="AN77">
            <v>1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0</v>
          </cell>
          <cell r="AT77">
            <v>0</v>
          </cell>
          <cell r="AU77">
            <v>1</v>
          </cell>
          <cell r="AV77" t="str">
            <v>少1起</v>
          </cell>
          <cell r="AW77">
            <v>1</v>
          </cell>
          <cell r="AX77" t="str">
            <v>少1起</v>
          </cell>
          <cell r="AY77">
            <v>0</v>
          </cell>
          <cell r="AZ77">
            <v>1</v>
          </cell>
          <cell r="BA77" t="str">
            <v>少1起</v>
          </cell>
          <cell r="BB77">
            <v>1</v>
          </cell>
          <cell r="BC77" t="str">
            <v>少1起</v>
          </cell>
          <cell r="BD77" t="str">
            <v/>
          </cell>
          <cell r="BE77" t="str">
            <v/>
          </cell>
          <cell r="BF77">
            <v>2</v>
          </cell>
          <cell r="BG77">
            <v>0</v>
          </cell>
          <cell r="BH77" t="str">
            <v>多2起</v>
          </cell>
          <cell r="BI77">
            <v>0</v>
          </cell>
          <cell r="BJ77" t="str">
            <v>多2起</v>
          </cell>
          <cell r="BK77">
            <v>1</v>
          </cell>
          <cell r="BL77">
            <v>2</v>
          </cell>
          <cell r="BM77">
            <v>0</v>
          </cell>
          <cell r="BN77" t="str">
            <v>多2起</v>
          </cell>
          <cell r="BO77">
            <v>0</v>
          </cell>
          <cell r="BP77" t="str">
            <v>多2起</v>
          </cell>
          <cell r="BQ77">
            <v>1</v>
          </cell>
          <cell r="BR77">
            <v>2</v>
          </cell>
          <cell r="BS77">
            <v>-0.5</v>
          </cell>
          <cell r="BT77">
            <v>2</v>
          </cell>
          <cell r="BU77">
            <v>-0.5</v>
          </cell>
          <cell r="BV77">
            <v>0.5</v>
          </cell>
          <cell r="BW77">
            <v>-1.5</v>
          </cell>
          <cell r="BX77" t="str">
            <v/>
          </cell>
          <cell r="BY77" t="str">
            <v/>
          </cell>
          <cell r="BZ77">
            <v>0</v>
          </cell>
          <cell r="CA77">
            <v>0</v>
          </cell>
          <cell r="CB77" t="str">
            <v>持平</v>
          </cell>
          <cell r="CC77">
            <v>0</v>
          </cell>
          <cell r="CD77" t="str">
            <v>持平</v>
          </cell>
          <cell r="CE77" t="str">
            <v/>
          </cell>
          <cell r="CF77" t="str">
            <v/>
          </cell>
          <cell r="CG77">
            <v>14</v>
          </cell>
          <cell r="CH77">
            <v>0</v>
          </cell>
          <cell r="CI77" t="str">
            <v>多14人</v>
          </cell>
          <cell r="CJ77">
            <v>57</v>
          </cell>
          <cell r="CK77">
            <v>-0.7544</v>
          </cell>
          <cell r="CL77">
            <v>700</v>
          </cell>
          <cell r="CM77">
            <v>700</v>
          </cell>
          <cell r="CN77" t="str">
            <v/>
          </cell>
          <cell r="CO77">
            <v>8</v>
          </cell>
          <cell r="CP77">
            <v>1</v>
          </cell>
          <cell r="CQ77">
            <v>7</v>
          </cell>
          <cell r="CR77">
            <v>18</v>
          </cell>
          <cell r="CS77">
            <v>-0.5556</v>
          </cell>
          <cell r="CT77">
            <v>0.5714</v>
          </cell>
          <cell r="CU77" t="str">
            <v/>
          </cell>
          <cell r="CV77">
            <v>400</v>
          </cell>
          <cell r="CW77">
            <v>300</v>
          </cell>
          <cell r="CX77">
            <v>3</v>
          </cell>
          <cell r="CY77">
            <v>8</v>
          </cell>
          <cell r="CZ77">
            <v>1</v>
          </cell>
          <cell r="DA77">
            <v>7</v>
          </cell>
          <cell r="DB77">
            <v>20</v>
          </cell>
          <cell r="DC77">
            <v>-0.6</v>
          </cell>
          <cell r="DD77">
            <v>0.5714</v>
          </cell>
          <cell r="DE77" t="str">
            <v/>
          </cell>
          <cell r="DF77">
            <v>400</v>
          </cell>
          <cell r="DG77">
            <v>300</v>
          </cell>
          <cell r="DH77">
            <v>3</v>
          </cell>
          <cell r="DI77">
            <v>0</v>
          </cell>
          <cell r="DJ77">
            <v>0</v>
          </cell>
          <cell r="DK77" t="str">
            <v>持平</v>
          </cell>
          <cell r="DL77">
            <v>0</v>
          </cell>
          <cell r="DM77" t="str">
            <v>持平</v>
          </cell>
          <cell r="DN77">
            <v>10</v>
          </cell>
          <cell r="DO77">
            <v>0</v>
          </cell>
          <cell r="DP77" t="str">
            <v>多10人</v>
          </cell>
          <cell r="DQ77">
            <v>9</v>
          </cell>
          <cell r="DR77">
            <v>0.1111</v>
          </cell>
          <cell r="DS77">
            <v>10</v>
          </cell>
          <cell r="DT77">
            <v>0</v>
          </cell>
          <cell r="DU77" t="str">
            <v>多10人</v>
          </cell>
          <cell r="DV77">
            <v>9</v>
          </cell>
          <cell r="DW77">
            <v>0.1111</v>
          </cell>
          <cell r="DX77">
            <v>4</v>
          </cell>
          <cell r="DY77">
            <v>0</v>
          </cell>
          <cell r="DZ77" t="str">
            <v>多4人</v>
          </cell>
          <cell r="EA77">
            <v>3</v>
          </cell>
          <cell r="EB77">
            <v>0.3333</v>
          </cell>
          <cell r="EC77">
            <v>2</v>
          </cell>
          <cell r="ED77">
            <v>1</v>
          </cell>
          <cell r="EE77">
            <v>1</v>
          </cell>
          <cell r="EF77">
            <v>3</v>
          </cell>
          <cell r="EG77">
            <v>-0.3333</v>
          </cell>
          <cell r="EH77">
            <v>0.25</v>
          </cell>
          <cell r="EI77">
            <v>-0.75</v>
          </cell>
          <cell r="EJ77">
            <v>100</v>
          </cell>
          <cell r="EK77">
            <v>0</v>
          </cell>
          <cell r="EL77">
            <v>0</v>
          </cell>
          <cell r="EM77">
            <v>2</v>
          </cell>
          <cell r="EN77">
            <v>1</v>
          </cell>
          <cell r="EO77">
            <v>1</v>
          </cell>
          <cell r="EP77">
            <v>3</v>
          </cell>
          <cell r="EQ77">
            <v>-0.3333</v>
          </cell>
          <cell r="ER77">
            <v>2</v>
          </cell>
          <cell r="ES77">
            <v>2</v>
          </cell>
          <cell r="ET77">
            <v>0</v>
          </cell>
          <cell r="EU77">
            <v>3</v>
          </cell>
          <cell r="EV77">
            <v>-0.3333</v>
          </cell>
          <cell r="EW77">
            <v>0.25</v>
          </cell>
          <cell r="EX77">
            <v>-1.75</v>
          </cell>
          <cell r="EY77">
            <v>100</v>
          </cell>
          <cell r="EZ77">
            <v>-100</v>
          </cell>
          <cell r="FA77">
            <v>-0.5</v>
          </cell>
        </row>
        <row r="78">
          <cell r="A78" t="str">
            <v>涉恶</v>
          </cell>
          <cell r="B78" t="str">
            <v>新兴县</v>
          </cell>
        </row>
        <row r="78">
          <cell r="AM78">
            <v>1</v>
          </cell>
          <cell r="AN78">
            <v>1</v>
          </cell>
          <cell r="AO78">
            <v>0</v>
          </cell>
          <cell r="AP78">
            <v>2</v>
          </cell>
          <cell r="AQ78">
            <v>-0.5</v>
          </cell>
          <cell r="AR78">
            <v>0.5</v>
          </cell>
          <cell r="AS78">
            <v>0.1667</v>
          </cell>
          <cell r="AT78">
            <v>1</v>
          </cell>
          <cell r="AU78">
            <v>1</v>
          </cell>
          <cell r="AV78">
            <v>0</v>
          </cell>
          <cell r="AW78">
            <v>2</v>
          </cell>
          <cell r="AX78">
            <v>-0.5</v>
          </cell>
          <cell r="AY78">
            <v>0</v>
          </cell>
          <cell r="AZ78">
            <v>0</v>
          </cell>
          <cell r="BA78" t="str">
            <v>持平</v>
          </cell>
          <cell r="BB78">
            <v>2</v>
          </cell>
          <cell r="BC78" t="str">
            <v>少2起</v>
          </cell>
          <cell r="BD78">
            <v>0</v>
          </cell>
          <cell r="BE78">
            <v>0</v>
          </cell>
          <cell r="BF78">
            <v>1</v>
          </cell>
          <cell r="BG78">
            <v>2</v>
          </cell>
          <cell r="BH78">
            <v>-0.5</v>
          </cell>
          <cell r="BI78">
            <v>0</v>
          </cell>
          <cell r="BJ78" t="str">
            <v>多1起</v>
          </cell>
          <cell r="BK78">
            <v>0.5</v>
          </cell>
          <cell r="BL78">
            <v>1</v>
          </cell>
          <cell r="BM78">
            <v>1</v>
          </cell>
          <cell r="BN78">
            <v>0</v>
          </cell>
          <cell r="BO78">
            <v>0</v>
          </cell>
          <cell r="BP78" t="str">
            <v>多1起</v>
          </cell>
          <cell r="BQ78">
            <v>1</v>
          </cell>
          <cell r="BR78">
            <v>3</v>
          </cell>
          <cell r="BS78">
            <v>-0.6667</v>
          </cell>
          <cell r="BT78">
            <v>1</v>
          </cell>
          <cell r="BU78">
            <v>0</v>
          </cell>
          <cell r="BV78">
            <v>0.5</v>
          </cell>
          <cell r="BW78">
            <v>-0.5</v>
          </cell>
          <cell r="BX78">
            <v>1</v>
          </cell>
          <cell r="BY78">
            <v>-2</v>
          </cell>
          <cell r="BZ78">
            <v>0</v>
          </cell>
          <cell r="CA78">
            <v>0</v>
          </cell>
          <cell r="CB78" t="str">
            <v>持平</v>
          </cell>
          <cell r="CC78">
            <v>0</v>
          </cell>
          <cell r="CD78" t="str">
            <v>持平</v>
          </cell>
          <cell r="CE78" t="str">
            <v/>
          </cell>
          <cell r="CF78" t="str">
            <v/>
          </cell>
          <cell r="CG78">
            <v>6</v>
          </cell>
          <cell r="CH78">
            <v>17</v>
          </cell>
          <cell r="CI78">
            <v>-0.6471</v>
          </cell>
          <cell r="CJ78">
            <v>2</v>
          </cell>
          <cell r="CK78">
            <v>2</v>
          </cell>
          <cell r="CL78">
            <v>300</v>
          </cell>
          <cell r="CM78">
            <v>-267</v>
          </cell>
          <cell r="CN78">
            <v>-0.4706</v>
          </cell>
          <cell r="CO78">
            <v>6</v>
          </cell>
          <cell r="CP78">
            <v>10</v>
          </cell>
          <cell r="CQ78">
            <v>-0.4</v>
          </cell>
          <cell r="CR78">
            <v>2</v>
          </cell>
          <cell r="CS78">
            <v>2</v>
          </cell>
          <cell r="CT78">
            <v>1</v>
          </cell>
          <cell r="CU78">
            <v>0.4118</v>
          </cell>
          <cell r="CV78">
            <v>300</v>
          </cell>
          <cell r="CW78">
            <v>-33</v>
          </cell>
          <cell r="CX78">
            <v>-0.1</v>
          </cell>
          <cell r="CY78">
            <v>6</v>
          </cell>
          <cell r="CZ78">
            <v>10</v>
          </cell>
          <cell r="DA78">
            <v>-0.4</v>
          </cell>
          <cell r="DB78">
            <v>2</v>
          </cell>
          <cell r="DC78">
            <v>2</v>
          </cell>
          <cell r="DD78">
            <v>1</v>
          </cell>
          <cell r="DE78">
            <v>0.4118</v>
          </cell>
          <cell r="DF78">
            <v>300</v>
          </cell>
          <cell r="DG78">
            <v>-33</v>
          </cell>
          <cell r="DH78">
            <v>-0.1</v>
          </cell>
          <cell r="DI78">
            <v>1</v>
          </cell>
          <cell r="DJ78">
            <v>20</v>
          </cell>
          <cell r="DK78">
            <v>-0.95</v>
          </cell>
          <cell r="DL78">
            <v>14</v>
          </cell>
          <cell r="DM78">
            <v>-0.9286</v>
          </cell>
          <cell r="DN78">
            <v>3</v>
          </cell>
          <cell r="DO78">
            <v>1</v>
          </cell>
          <cell r="DP78">
            <v>2</v>
          </cell>
          <cell r="DQ78">
            <v>0</v>
          </cell>
          <cell r="DR78" t="str">
            <v>多3人</v>
          </cell>
          <cell r="DS78">
            <v>3</v>
          </cell>
          <cell r="DT78">
            <v>1</v>
          </cell>
          <cell r="DU78">
            <v>2</v>
          </cell>
          <cell r="DV78">
            <v>0</v>
          </cell>
          <cell r="DW78" t="str">
            <v>多3人</v>
          </cell>
          <cell r="DX78">
            <v>3</v>
          </cell>
          <cell r="DY78">
            <v>1</v>
          </cell>
          <cell r="DZ78">
            <v>2</v>
          </cell>
          <cell r="EA78">
            <v>2</v>
          </cell>
          <cell r="EB78">
            <v>0.5</v>
          </cell>
          <cell r="EC78">
            <v>0</v>
          </cell>
          <cell r="ED78">
            <v>0</v>
          </cell>
          <cell r="EE78" t="str">
            <v>持平</v>
          </cell>
          <cell r="EF78">
            <v>0</v>
          </cell>
          <cell r="EG78" t="str">
            <v>持平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 t="str">
            <v/>
          </cell>
          <cell r="EM78">
            <v>0</v>
          </cell>
          <cell r="EN78">
            <v>0</v>
          </cell>
          <cell r="EO78" t="str">
            <v>持平</v>
          </cell>
          <cell r="EP78">
            <v>0</v>
          </cell>
          <cell r="EQ78" t="str">
            <v>持平</v>
          </cell>
          <cell r="ER78">
            <v>1</v>
          </cell>
          <cell r="ES78">
            <v>3</v>
          </cell>
          <cell r="ET78">
            <v>-0.6667</v>
          </cell>
          <cell r="EU78">
            <v>2</v>
          </cell>
          <cell r="EV78">
            <v>-0.5</v>
          </cell>
          <cell r="EW78">
            <v>0.1667</v>
          </cell>
          <cell r="EX78">
            <v>-0.1333</v>
          </cell>
          <cell r="EY78">
            <v>50</v>
          </cell>
          <cell r="EZ78">
            <v>-50</v>
          </cell>
          <cell r="FA78">
            <v>-0.5</v>
          </cell>
        </row>
        <row r="79">
          <cell r="A79" t="str">
            <v>涉恶</v>
          </cell>
          <cell r="B79" t="str">
            <v>郁南县</v>
          </cell>
        </row>
        <row r="79">
          <cell r="AM79">
            <v>2</v>
          </cell>
          <cell r="AN79">
            <v>1</v>
          </cell>
          <cell r="AO79">
            <v>1</v>
          </cell>
          <cell r="AP79">
            <v>0</v>
          </cell>
          <cell r="AQ79" t="str">
            <v>多2起</v>
          </cell>
          <cell r="AR79">
            <v>0.6667</v>
          </cell>
          <cell r="AS79">
            <v>-0.3333</v>
          </cell>
          <cell r="AT79">
            <v>2</v>
          </cell>
          <cell r="AU79">
            <v>1</v>
          </cell>
          <cell r="AV79">
            <v>1</v>
          </cell>
          <cell r="AW79">
            <v>0</v>
          </cell>
          <cell r="AX79" t="str">
            <v>多2起</v>
          </cell>
          <cell r="AY79">
            <v>2</v>
          </cell>
          <cell r="AZ79">
            <v>1</v>
          </cell>
          <cell r="BA79">
            <v>1</v>
          </cell>
          <cell r="BB79">
            <v>0</v>
          </cell>
          <cell r="BC79" t="str">
            <v>多2起</v>
          </cell>
          <cell r="BD79">
            <v>1</v>
          </cell>
          <cell r="BE79">
            <v>0</v>
          </cell>
          <cell r="BF79">
            <v>1</v>
          </cell>
          <cell r="BG79">
            <v>0</v>
          </cell>
          <cell r="BH79" t="str">
            <v>多1起</v>
          </cell>
          <cell r="BI79">
            <v>0</v>
          </cell>
          <cell r="BJ79" t="str">
            <v>多1起</v>
          </cell>
          <cell r="BK79">
            <v>0.3333</v>
          </cell>
          <cell r="BL79">
            <v>0</v>
          </cell>
          <cell r="BM79">
            <v>0</v>
          </cell>
          <cell r="BN79" t="str">
            <v>持平</v>
          </cell>
          <cell r="BO79">
            <v>0</v>
          </cell>
          <cell r="BP79" t="str">
            <v>持平</v>
          </cell>
          <cell r="BQ79">
            <v>0</v>
          </cell>
          <cell r="BR79">
            <v>0</v>
          </cell>
          <cell r="BS79" t="str">
            <v>持平</v>
          </cell>
          <cell r="BT79">
            <v>2</v>
          </cell>
          <cell r="BU79" t="str">
            <v>少2起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 t="str">
            <v>持平</v>
          </cell>
          <cell r="CC79">
            <v>0</v>
          </cell>
          <cell r="CD79" t="str">
            <v>持平</v>
          </cell>
          <cell r="CE79" t="str">
            <v/>
          </cell>
          <cell r="CF79" t="str">
            <v/>
          </cell>
          <cell r="CG79">
            <v>3</v>
          </cell>
          <cell r="CH79">
            <v>4</v>
          </cell>
          <cell r="CI79">
            <v>-0.25</v>
          </cell>
          <cell r="CJ79">
            <v>0</v>
          </cell>
          <cell r="CK79" t="str">
            <v>多3人</v>
          </cell>
          <cell r="CL79">
            <v>100</v>
          </cell>
          <cell r="CM79">
            <v>-300</v>
          </cell>
          <cell r="CN79">
            <v>-0.75</v>
          </cell>
          <cell r="CO79">
            <v>3</v>
          </cell>
          <cell r="CP79">
            <v>1</v>
          </cell>
          <cell r="CQ79">
            <v>2</v>
          </cell>
          <cell r="CR79">
            <v>0</v>
          </cell>
          <cell r="CS79" t="str">
            <v>多3人</v>
          </cell>
          <cell r="CT79">
            <v>1</v>
          </cell>
          <cell r="CU79">
            <v>0.75</v>
          </cell>
          <cell r="CV79">
            <v>100</v>
          </cell>
          <cell r="CW79">
            <v>0</v>
          </cell>
          <cell r="CX79">
            <v>0</v>
          </cell>
          <cell r="CY79">
            <v>4</v>
          </cell>
          <cell r="CZ79">
            <v>1</v>
          </cell>
          <cell r="DA79">
            <v>3</v>
          </cell>
          <cell r="DB79">
            <v>0</v>
          </cell>
          <cell r="DC79" t="str">
            <v>多4人</v>
          </cell>
          <cell r="DD79">
            <v>1.3333</v>
          </cell>
          <cell r="DE79">
            <v>1.0833</v>
          </cell>
          <cell r="DF79">
            <v>133</v>
          </cell>
          <cell r="DG79">
            <v>33</v>
          </cell>
          <cell r="DH79">
            <v>0.3333</v>
          </cell>
          <cell r="DI79">
            <v>3</v>
          </cell>
          <cell r="DJ79">
            <v>0</v>
          </cell>
          <cell r="DK79" t="str">
            <v>多3人</v>
          </cell>
          <cell r="DL79">
            <v>9</v>
          </cell>
          <cell r="DM79">
            <v>-0.6667</v>
          </cell>
          <cell r="DN79">
            <v>2</v>
          </cell>
          <cell r="DO79">
            <v>2</v>
          </cell>
          <cell r="DP79">
            <v>0</v>
          </cell>
          <cell r="DQ79">
            <v>1</v>
          </cell>
          <cell r="DR79">
            <v>1</v>
          </cell>
          <cell r="DS79">
            <v>2</v>
          </cell>
          <cell r="DT79">
            <v>2</v>
          </cell>
          <cell r="DU79">
            <v>0</v>
          </cell>
          <cell r="DV79">
            <v>1</v>
          </cell>
          <cell r="DW79">
            <v>1</v>
          </cell>
          <cell r="DX79">
            <v>1</v>
          </cell>
          <cell r="DY79">
            <v>0</v>
          </cell>
          <cell r="DZ79" t="str">
            <v>多1人</v>
          </cell>
          <cell r="EA79">
            <v>6</v>
          </cell>
          <cell r="EB79">
            <v>-0.8333</v>
          </cell>
          <cell r="EC79">
            <v>3</v>
          </cell>
          <cell r="ED79">
            <v>0</v>
          </cell>
          <cell r="EE79" t="str">
            <v>多3人</v>
          </cell>
          <cell r="EF79">
            <v>1</v>
          </cell>
          <cell r="EG79">
            <v>2</v>
          </cell>
          <cell r="EH79">
            <v>1</v>
          </cell>
          <cell r="EI79">
            <v>1</v>
          </cell>
          <cell r="EJ79">
            <v>100</v>
          </cell>
          <cell r="EK79">
            <v>100</v>
          </cell>
          <cell r="EL79" t="str">
            <v/>
          </cell>
          <cell r="EM79">
            <v>3</v>
          </cell>
          <cell r="EN79">
            <v>0</v>
          </cell>
          <cell r="EO79" t="str">
            <v>多3人</v>
          </cell>
          <cell r="EP79">
            <v>1</v>
          </cell>
          <cell r="EQ79">
            <v>2</v>
          </cell>
          <cell r="ER79">
            <v>0</v>
          </cell>
          <cell r="ES79">
            <v>0</v>
          </cell>
          <cell r="ET79" t="str">
            <v>持平</v>
          </cell>
          <cell r="EU79">
            <v>5</v>
          </cell>
          <cell r="EV79" t="str">
            <v>少5人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 t="str">
            <v/>
          </cell>
        </row>
        <row r="80">
          <cell r="A80" t="str">
            <v>涉恶</v>
          </cell>
          <cell r="B80" t="str">
            <v>罗定市</v>
          </cell>
        </row>
        <row r="80">
          <cell r="AM80">
            <v>3</v>
          </cell>
          <cell r="AN80">
            <v>2</v>
          </cell>
          <cell r="AO80">
            <v>0.5</v>
          </cell>
          <cell r="AP80">
            <v>3</v>
          </cell>
          <cell r="AQ80">
            <v>0</v>
          </cell>
          <cell r="AR80">
            <v>1.5</v>
          </cell>
          <cell r="AS80">
            <v>-0.5</v>
          </cell>
          <cell r="AT80">
            <v>0</v>
          </cell>
          <cell r="AU80">
            <v>1</v>
          </cell>
          <cell r="AV80" t="str">
            <v>少1起</v>
          </cell>
          <cell r="AW80">
            <v>1</v>
          </cell>
          <cell r="AX80" t="str">
            <v>少1起</v>
          </cell>
          <cell r="AY80">
            <v>0</v>
          </cell>
          <cell r="AZ80">
            <v>0</v>
          </cell>
          <cell r="BA80" t="str">
            <v>持平</v>
          </cell>
          <cell r="BB80">
            <v>1</v>
          </cell>
          <cell r="BC80" t="str">
            <v>少1起</v>
          </cell>
          <cell r="BD80" t="str">
            <v/>
          </cell>
          <cell r="BE80" t="str">
            <v/>
          </cell>
          <cell r="BF80">
            <v>2</v>
          </cell>
          <cell r="BG80">
            <v>0</v>
          </cell>
          <cell r="BH80" t="str">
            <v>多2起</v>
          </cell>
          <cell r="BI80">
            <v>0</v>
          </cell>
          <cell r="BJ80" t="str">
            <v>多2起</v>
          </cell>
          <cell r="BK80">
            <v>1</v>
          </cell>
          <cell r="BL80">
            <v>3</v>
          </cell>
          <cell r="BM80">
            <v>2</v>
          </cell>
          <cell r="BN80">
            <v>0.5</v>
          </cell>
          <cell r="BO80">
            <v>2</v>
          </cell>
          <cell r="BP80">
            <v>0.5</v>
          </cell>
          <cell r="BQ80">
            <v>0</v>
          </cell>
          <cell r="BR80">
            <v>1</v>
          </cell>
          <cell r="BS80" t="str">
            <v>少1起</v>
          </cell>
          <cell r="BT80">
            <v>4</v>
          </cell>
          <cell r="BU80" t="str">
            <v>少4起</v>
          </cell>
          <cell r="BV80">
            <v>0</v>
          </cell>
          <cell r="BW80">
            <v>-1</v>
          </cell>
          <cell r="BX80" t="str">
            <v/>
          </cell>
          <cell r="BY80" t="str">
            <v/>
          </cell>
          <cell r="BZ80">
            <v>0</v>
          </cell>
          <cell r="CA80">
            <v>0</v>
          </cell>
          <cell r="CB80" t="str">
            <v>持平</v>
          </cell>
          <cell r="CC80">
            <v>0</v>
          </cell>
          <cell r="CD80" t="str">
            <v>持平</v>
          </cell>
          <cell r="CE80" t="str">
            <v/>
          </cell>
          <cell r="CF80" t="str">
            <v/>
          </cell>
          <cell r="CG80">
            <v>13</v>
          </cell>
          <cell r="CH80">
            <v>6</v>
          </cell>
          <cell r="CI80">
            <v>1.1667</v>
          </cell>
          <cell r="CJ80">
            <v>24</v>
          </cell>
          <cell r="CK80">
            <v>-0.4583</v>
          </cell>
          <cell r="CL80">
            <v>650</v>
          </cell>
          <cell r="CM80">
            <v>50</v>
          </cell>
          <cell r="CN80">
            <v>0.0833</v>
          </cell>
          <cell r="CO80">
            <v>8</v>
          </cell>
          <cell r="CP80">
            <v>17</v>
          </cell>
          <cell r="CQ80">
            <v>-0.5294</v>
          </cell>
          <cell r="CR80">
            <v>0</v>
          </cell>
          <cell r="CS80" t="str">
            <v>多8人</v>
          </cell>
          <cell r="CT80">
            <v>0.6154</v>
          </cell>
          <cell r="CU80">
            <v>-2.2179</v>
          </cell>
          <cell r="CV80">
            <v>400</v>
          </cell>
          <cell r="CW80">
            <v>-1300</v>
          </cell>
          <cell r="CX80">
            <v>-0.7647</v>
          </cell>
          <cell r="CY80">
            <v>8</v>
          </cell>
          <cell r="CZ80">
            <v>20</v>
          </cell>
          <cell r="DA80">
            <v>-0.6</v>
          </cell>
          <cell r="DB80">
            <v>0</v>
          </cell>
          <cell r="DC80" t="str">
            <v>多8人</v>
          </cell>
          <cell r="DD80">
            <v>0.6154</v>
          </cell>
          <cell r="DE80">
            <v>-2.7179</v>
          </cell>
          <cell r="DF80">
            <v>400</v>
          </cell>
          <cell r="DG80">
            <v>-1600</v>
          </cell>
          <cell r="DH80">
            <v>-0.8</v>
          </cell>
          <cell r="DI80">
            <v>17</v>
          </cell>
          <cell r="DJ80">
            <v>0</v>
          </cell>
          <cell r="DK80" t="str">
            <v>多17人</v>
          </cell>
          <cell r="DL80">
            <v>26</v>
          </cell>
          <cell r="DM80">
            <v>-0.3462</v>
          </cell>
          <cell r="DN80">
            <v>1</v>
          </cell>
          <cell r="DO80">
            <v>5</v>
          </cell>
          <cell r="DP80">
            <v>-0.8</v>
          </cell>
          <cell r="DQ80">
            <v>1</v>
          </cell>
          <cell r="DR80">
            <v>0</v>
          </cell>
          <cell r="DS80">
            <v>1</v>
          </cell>
          <cell r="DT80">
            <v>5</v>
          </cell>
          <cell r="DU80">
            <v>-0.8</v>
          </cell>
          <cell r="DV80">
            <v>1</v>
          </cell>
          <cell r="DW80">
            <v>0</v>
          </cell>
          <cell r="DX80">
            <v>12</v>
          </cell>
          <cell r="DY80">
            <v>1</v>
          </cell>
          <cell r="DZ80">
            <v>11</v>
          </cell>
          <cell r="EA80">
            <v>13</v>
          </cell>
          <cell r="EB80">
            <v>-0.0769</v>
          </cell>
          <cell r="EC80">
            <v>9</v>
          </cell>
          <cell r="ED80">
            <v>1</v>
          </cell>
          <cell r="EE80">
            <v>8</v>
          </cell>
          <cell r="EF80">
            <v>10</v>
          </cell>
          <cell r="EG80">
            <v>-0.1</v>
          </cell>
          <cell r="EH80">
            <v>1.125</v>
          </cell>
          <cell r="EI80">
            <v>1.0662</v>
          </cell>
          <cell r="EJ80">
            <v>450</v>
          </cell>
          <cell r="EK80">
            <v>350</v>
          </cell>
          <cell r="EL80">
            <v>3.5</v>
          </cell>
          <cell r="EM80">
            <v>9</v>
          </cell>
          <cell r="EN80">
            <v>1</v>
          </cell>
          <cell r="EO80">
            <v>8</v>
          </cell>
          <cell r="EP80">
            <v>10</v>
          </cell>
          <cell r="EQ80">
            <v>-0.1</v>
          </cell>
          <cell r="ER80">
            <v>1</v>
          </cell>
          <cell r="ES80">
            <v>1</v>
          </cell>
          <cell r="ET80">
            <v>0</v>
          </cell>
          <cell r="EU80">
            <v>5</v>
          </cell>
          <cell r="EV80">
            <v>-0.8</v>
          </cell>
          <cell r="EW80">
            <v>0.125</v>
          </cell>
          <cell r="EX80">
            <v>0.0662</v>
          </cell>
          <cell r="EY80">
            <v>50</v>
          </cell>
          <cell r="EZ80">
            <v>-50</v>
          </cell>
          <cell r="FA80">
            <v>-0.5</v>
          </cell>
        </row>
        <row r="81">
          <cell r="A81" t="str">
            <v>入室盗窃</v>
          </cell>
          <cell r="B81" t="str">
            <v>全省</v>
          </cell>
        </row>
        <row r="81">
          <cell r="AM81">
            <v>18</v>
          </cell>
          <cell r="AN81">
            <v>9</v>
          </cell>
          <cell r="AO81">
            <v>1</v>
          </cell>
          <cell r="AP81">
            <v>48</v>
          </cell>
          <cell r="AQ81">
            <v>-0.625</v>
          </cell>
          <cell r="AR81" t="str">
            <v/>
          </cell>
          <cell r="AS81" t="str">
            <v/>
          </cell>
          <cell r="AT81">
            <v>0</v>
          </cell>
          <cell r="AU81">
            <v>1</v>
          </cell>
          <cell r="AV81" t="str">
            <v>少1起</v>
          </cell>
          <cell r="AW81">
            <v>0</v>
          </cell>
          <cell r="AX81" t="str">
            <v>持平</v>
          </cell>
          <cell r="AY81">
            <v>0</v>
          </cell>
          <cell r="AZ81">
            <v>1</v>
          </cell>
          <cell r="BA81" t="str">
            <v>少1起</v>
          </cell>
          <cell r="BB81">
            <v>0</v>
          </cell>
          <cell r="BC81" t="str">
            <v>持平</v>
          </cell>
          <cell r="BD81" t="str">
            <v/>
          </cell>
          <cell r="BE81" t="str">
            <v/>
          </cell>
          <cell r="BF81">
            <v>0</v>
          </cell>
          <cell r="BG81">
            <v>0</v>
          </cell>
          <cell r="BH81" t="str">
            <v>持平</v>
          </cell>
          <cell r="BI81">
            <v>1</v>
          </cell>
          <cell r="BJ81" t="str">
            <v>少1起</v>
          </cell>
          <cell r="BK81" t="str">
            <v/>
          </cell>
          <cell r="BL81">
            <v>18</v>
          </cell>
          <cell r="BM81">
            <v>8</v>
          </cell>
          <cell r="BN81">
            <v>1.25</v>
          </cell>
          <cell r="BO81">
            <v>48</v>
          </cell>
          <cell r="BP81">
            <v>-0.625</v>
          </cell>
          <cell r="BQ81">
            <v>3</v>
          </cell>
          <cell r="BR81">
            <v>2</v>
          </cell>
          <cell r="BS81">
            <v>0.5</v>
          </cell>
          <cell r="BT81">
            <v>5</v>
          </cell>
          <cell r="BU81">
            <v>-0.4</v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>
            <v>0</v>
          </cell>
          <cell r="CA81">
            <v>0</v>
          </cell>
          <cell r="CB81" t="str">
            <v>持平</v>
          </cell>
          <cell r="CC81">
            <v>0</v>
          </cell>
          <cell r="CD81" t="str">
            <v>持平</v>
          </cell>
          <cell r="CE81" t="str">
            <v/>
          </cell>
          <cell r="CF81" t="str">
            <v/>
          </cell>
          <cell r="CG81">
            <v>13</v>
          </cell>
          <cell r="CH81">
            <v>8</v>
          </cell>
          <cell r="CI81">
            <v>0.625</v>
          </cell>
          <cell r="CJ81">
            <v>6</v>
          </cell>
          <cell r="CK81">
            <v>1.1667</v>
          </cell>
          <cell r="CL81" t="str">
            <v/>
          </cell>
          <cell r="CM81" t="str">
            <v/>
          </cell>
          <cell r="CN81" t="str">
            <v/>
          </cell>
          <cell r="CO81">
            <v>6</v>
          </cell>
          <cell r="CP81">
            <v>4</v>
          </cell>
          <cell r="CQ81">
            <v>0.5</v>
          </cell>
          <cell r="CR81">
            <v>1</v>
          </cell>
          <cell r="CS81">
            <v>5</v>
          </cell>
          <cell r="CT81">
            <v>0.4615</v>
          </cell>
          <cell r="CU81">
            <v>-0.0385</v>
          </cell>
          <cell r="CV81" t="str">
            <v/>
          </cell>
          <cell r="CW81" t="str">
            <v/>
          </cell>
          <cell r="CX81" t="str">
            <v/>
          </cell>
          <cell r="CY81">
            <v>8</v>
          </cell>
          <cell r="CZ81">
            <v>7</v>
          </cell>
          <cell r="DA81">
            <v>0.1429</v>
          </cell>
          <cell r="DB81">
            <v>3</v>
          </cell>
          <cell r="DC81">
            <v>1.6667</v>
          </cell>
          <cell r="DD81">
            <v>0.6154</v>
          </cell>
          <cell r="DE81">
            <v>-0.2596</v>
          </cell>
          <cell r="DF81" t="str">
            <v/>
          </cell>
          <cell r="DG81" t="str">
            <v/>
          </cell>
          <cell r="DH81" t="str">
            <v/>
          </cell>
          <cell r="DI81">
            <v>3</v>
          </cell>
          <cell r="DJ81">
            <v>2</v>
          </cell>
          <cell r="DK81">
            <v>0.5</v>
          </cell>
          <cell r="DL81">
            <v>1</v>
          </cell>
          <cell r="DM81">
            <v>2</v>
          </cell>
          <cell r="DN81">
            <v>4</v>
          </cell>
          <cell r="DO81">
            <v>9</v>
          </cell>
          <cell r="DP81">
            <v>-0.5556</v>
          </cell>
          <cell r="DQ81">
            <v>7</v>
          </cell>
          <cell r="DR81">
            <v>-0.4286</v>
          </cell>
          <cell r="DS81">
            <v>4</v>
          </cell>
          <cell r="DT81">
            <v>9</v>
          </cell>
          <cell r="DU81">
            <v>-0.5556</v>
          </cell>
          <cell r="DV81">
            <v>7</v>
          </cell>
          <cell r="DW81">
            <v>-0.4286</v>
          </cell>
          <cell r="DX81">
            <v>4</v>
          </cell>
          <cell r="DY81">
            <v>7</v>
          </cell>
          <cell r="DZ81">
            <v>-0.4286</v>
          </cell>
          <cell r="EA81">
            <v>8</v>
          </cell>
          <cell r="EB81">
            <v>-0.5</v>
          </cell>
          <cell r="EC81">
            <v>2</v>
          </cell>
          <cell r="ED81">
            <v>2</v>
          </cell>
          <cell r="EE81">
            <v>0</v>
          </cell>
          <cell r="EF81">
            <v>4</v>
          </cell>
          <cell r="EG81">
            <v>-0.5</v>
          </cell>
          <cell r="EH81">
            <v>0.3333</v>
          </cell>
          <cell r="EI81">
            <v>-0.1667</v>
          </cell>
          <cell r="EJ81" t="str">
            <v/>
          </cell>
          <cell r="EK81" t="str">
            <v/>
          </cell>
          <cell r="EL81" t="str">
            <v/>
          </cell>
          <cell r="EM81">
            <v>2</v>
          </cell>
          <cell r="EN81">
            <v>1</v>
          </cell>
          <cell r="EO81">
            <v>1</v>
          </cell>
          <cell r="EP81">
            <v>4</v>
          </cell>
          <cell r="EQ81">
            <v>-0.5</v>
          </cell>
          <cell r="ER81">
            <v>3</v>
          </cell>
          <cell r="ES81">
            <v>2</v>
          </cell>
          <cell r="ET81">
            <v>0.5</v>
          </cell>
          <cell r="EU81">
            <v>4</v>
          </cell>
          <cell r="EV81">
            <v>-0.25</v>
          </cell>
          <cell r="EW81">
            <v>0.5</v>
          </cell>
          <cell r="EX81">
            <v>0</v>
          </cell>
          <cell r="EY81" t="str">
            <v/>
          </cell>
          <cell r="EZ81" t="str">
            <v/>
          </cell>
          <cell r="FA81" t="str">
            <v/>
          </cell>
        </row>
        <row r="82">
          <cell r="A82" t="str">
            <v>入室盗窃</v>
          </cell>
          <cell r="B82" t="str">
            <v>云浮</v>
          </cell>
        </row>
        <row r="82">
          <cell r="AM82">
            <v>0</v>
          </cell>
          <cell r="AN82">
            <v>0</v>
          </cell>
          <cell r="AO82" t="str">
            <v>持平</v>
          </cell>
          <cell r="AP82">
            <v>0</v>
          </cell>
          <cell r="AQ82" t="str">
            <v>持平</v>
          </cell>
          <cell r="AR82" t="str">
            <v/>
          </cell>
          <cell r="AS82" t="str">
            <v/>
          </cell>
          <cell r="AT82">
            <v>0</v>
          </cell>
          <cell r="AU82">
            <v>0</v>
          </cell>
          <cell r="AV82" t="str">
            <v>持平</v>
          </cell>
          <cell r="AW82">
            <v>0</v>
          </cell>
          <cell r="AX82" t="str">
            <v>持平</v>
          </cell>
          <cell r="AY82">
            <v>0</v>
          </cell>
          <cell r="AZ82">
            <v>0</v>
          </cell>
          <cell r="BA82" t="str">
            <v>持平</v>
          </cell>
          <cell r="BB82">
            <v>0</v>
          </cell>
          <cell r="BC82" t="str">
            <v>持平</v>
          </cell>
          <cell r="BD82" t="str">
            <v/>
          </cell>
          <cell r="BE82" t="str">
            <v/>
          </cell>
          <cell r="BF82">
            <v>0</v>
          </cell>
          <cell r="BG82">
            <v>0</v>
          </cell>
          <cell r="BH82" t="str">
            <v>持平</v>
          </cell>
          <cell r="BI82">
            <v>0</v>
          </cell>
          <cell r="BJ82" t="str">
            <v>持平</v>
          </cell>
          <cell r="BK82" t="str">
            <v/>
          </cell>
          <cell r="BL82">
            <v>0</v>
          </cell>
          <cell r="BM82">
            <v>0</v>
          </cell>
          <cell r="BN82" t="str">
            <v>持平</v>
          </cell>
          <cell r="BO82">
            <v>0</v>
          </cell>
          <cell r="BP82" t="str">
            <v>持平</v>
          </cell>
          <cell r="BQ82">
            <v>0</v>
          </cell>
          <cell r="BR82">
            <v>0</v>
          </cell>
          <cell r="BS82" t="str">
            <v>持平</v>
          </cell>
          <cell r="BT82">
            <v>0</v>
          </cell>
          <cell r="BU82" t="str">
            <v>持平</v>
          </cell>
          <cell r="BV82" t="str">
            <v/>
          </cell>
          <cell r="BW82" t="str">
            <v/>
          </cell>
          <cell r="BX82" t="str">
            <v/>
          </cell>
          <cell r="BY82" t="str">
            <v/>
          </cell>
          <cell r="BZ82">
            <v>0</v>
          </cell>
          <cell r="CA82">
            <v>0</v>
          </cell>
          <cell r="CB82" t="str">
            <v>持平</v>
          </cell>
          <cell r="CC82">
            <v>0</v>
          </cell>
          <cell r="CD82" t="str">
            <v>持平</v>
          </cell>
          <cell r="CE82" t="str">
            <v/>
          </cell>
          <cell r="CF82" t="str">
            <v/>
          </cell>
          <cell r="CG82">
            <v>1</v>
          </cell>
          <cell r="CH82">
            <v>0</v>
          </cell>
          <cell r="CI82" t="str">
            <v>多1人</v>
          </cell>
          <cell r="CJ82">
            <v>0</v>
          </cell>
          <cell r="CK82" t="str">
            <v>多1人</v>
          </cell>
          <cell r="CL82" t="str">
            <v/>
          </cell>
          <cell r="CM82" t="str">
            <v/>
          </cell>
          <cell r="CN82" t="str">
            <v/>
          </cell>
          <cell r="CO82">
            <v>1</v>
          </cell>
          <cell r="CP82">
            <v>0</v>
          </cell>
          <cell r="CQ82" t="str">
            <v>多1人</v>
          </cell>
          <cell r="CR82">
            <v>0</v>
          </cell>
          <cell r="CS82" t="str">
            <v>多1人</v>
          </cell>
          <cell r="CT82">
            <v>1</v>
          </cell>
          <cell r="CU82" t="str">
            <v/>
          </cell>
          <cell r="CV82" t="str">
            <v/>
          </cell>
          <cell r="CW82" t="str">
            <v/>
          </cell>
          <cell r="CX82" t="str">
            <v/>
          </cell>
          <cell r="CY82">
            <v>1</v>
          </cell>
          <cell r="CZ82">
            <v>0</v>
          </cell>
          <cell r="DA82" t="str">
            <v>多1人</v>
          </cell>
          <cell r="DB82">
            <v>0</v>
          </cell>
          <cell r="DC82" t="str">
            <v>多1人</v>
          </cell>
          <cell r="DD82">
            <v>1</v>
          </cell>
          <cell r="DE82" t="str">
            <v/>
          </cell>
          <cell r="DF82" t="str">
            <v/>
          </cell>
          <cell r="DG82" t="str">
            <v/>
          </cell>
          <cell r="DH82" t="str">
            <v/>
          </cell>
          <cell r="DI82">
            <v>0</v>
          </cell>
          <cell r="DJ82">
            <v>0</v>
          </cell>
          <cell r="DK82" t="str">
            <v>持平</v>
          </cell>
          <cell r="DL82">
            <v>0</v>
          </cell>
          <cell r="DM82" t="str">
            <v>持平</v>
          </cell>
          <cell r="DN82">
            <v>0</v>
          </cell>
          <cell r="DO82">
            <v>0</v>
          </cell>
          <cell r="DP82" t="str">
            <v>持平</v>
          </cell>
          <cell r="DQ82">
            <v>0</v>
          </cell>
          <cell r="DR82" t="str">
            <v>持平</v>
          </cell>
          <cell r="DS82">
            <v>0</v>
          </cell>
          <cell r="DT82">
            <v>0</v>
          </cell>
          <cell r="DU82" t="str">
            <v>持平</v>
          </cell>
          <cell r="DV82">
            <v>0</v>
          </cell>
          <cell r="DW82" t="str">
            <v>持平</v>
          </cell>
          <cell r="DX82">
            <v>1</v>
          </cell>
          <cell r="DY82">
            <v>0</v>
          </cell>
          <cell r="DZ82" t="str">
            <v>多1人</v>
          </cell>
          <cell r="EA82">
            <v>0</v>
          </cell>
          <cell r="EB82" t="str">
            <v>多1人</v>
          </cell>
          <cell r="EC82">
            <v>0</v>
          </cell>
          <cell r="ED82">
            <v>0</v>
          </cell>
          <cell r="EE82" t="str">
            <v>持平</v>
          </cell>
          <cell r="EF82">
            <v>0</v>
          </cell>
          <cell r="EG82" t="str">
            <v>持平</v>
          </cell>
          <cell r="EH82">
            <v>0</v>
          </cell>
          <cell r="EI82" t="str">
            <v/>
          </cell>
          <cell r="EJ82" t="str">
            <v/>
          </cell>
          <cell r="EK82" t="str">
            <v/>
          </cell>
          <cell r="EL82" t="str">
            <v/>
          </cell>
          <cell r="EM82">
            <v>0</v>
          </cell>
          <cell r="EN82">
            <v>0</v>
          </cell>
          <cell r="EO82" t="str">
            <v>持平</v>
          </cell>
          <cell r="EP82">
            <v>0</v>
          </cell>
          <cell r="EQ82" t="str">
            <v>持平</v>
          </cell>
          <cell r="ER82">
            <v>0</v>
          </cell>
          <cell r="ES82">
            <v>0</v>
          </cell>
          <cell r="ET82" t="str">
            <v>持平</v>
          </cell>
          <cell r="EU82">
            <v>0</v>
          </cell>
          <cell r="EV82" t="str">
            <v>持平</v>
          </cell>
          <cell r="EW82">
            <v>0</v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</row>
        <row r="83">
          <cell r="A83" t="str">
            <v>入室盗窃</v>
          </cell>
          <cell r="B83" t="str">
            <v>云城区</v>
          </cell>
        </row>
        <row r="83">
          <cell r="AM83">
            <v>0</v>
          </cell>
          <cell r="AN83">
            <v>0</v>
          </cell>
          <cell r="AO83" t="str">
            <v>持平</v>
          </cell>
          <cell r="AP83">
            <v>0</v>
          </cell>
          <cell r="AQ83" t="str">
            <v>持平</v>
          </cell>
          <cell r="AR83" t="str">
            <v/>
          </cell>
          <cell r="AS83" t="str">
            <v/>
          </cell>
          <cell r="AT83">
            <v>0</v>
          </cell>
          <cell r="AU83">
            <v>0</v>
          </cell>
          <cell r="AV83" t="str">
            <v>持平</v>
          </cell>
          <cell r="AW83">
            <v>0</v>
          </cell>
          <cell r="AX83" t="str">
            <v>持平</v>
          </cell>
          <cell r="AY83">
            <v>0</v>
          </cell>
          <cell r="AZ83">
            <v>0</v>
          </cell>
          <cell r="BA83" t="str">
            <v>持平</v>
          </cell>
          <cell r="BB83">
            <v>0</v>
          </cell>
          <cell r="BC83" t="str">
            <v>持平</v>
          </cell>
          <cell r="BD83" t="str">
            <v/>
          </cell>
          <cell r="BE83" t="str">
            <v/>
          </cell>
          <cell r="BF83">
            <v>0</v>
          </cell>
          <cell r="BG83">
            <v>0</v>
          </cell>
          <cell r="BH83" t="str">
            <v>持平</v>
          </cell>
          <cell r="BI83">
            <v>0</v>
          </cell>
          <cell r="BJ83" t="str">
            <v>持平</v>
          </cell>
          <cell r="BK83" t="str">
            <v/>
          </cell>
          <cell r="BL83">
            <v>0</v>
          </cell>
          <cell r="BM83">
            <v>0</v>
          </cell>
          <cell r="BN83" t="str">
            <v>持平</v>
          </cell>
          <cell r="BO83">
            <v>0</v>
          </cell>
          <cell r="BP83" t="str">
            <v>持平</v>
          </cell>
          <cell r="BQ83">
            <v>0</v>
          </cell>
          <cell r="BR83">
            <v>0</v>
          </cell>
          <cell r="BS83" t="str">
            <v>持平</v>
          </cell>
          <cell r="BT83">
            <v>0</v>
          </cell>
          <cell r="BU83" t="str">
            <v>持平</v>
          </cell>
          <cell r="BV83" t="str">
            <v/>
          </cell>
          <cell r="BW83" t="str">
            <v/>
          </cell>
          <cell r="BX83" t="str">
            <v/>
          </cell>
          <cell r="BY83" t="str">
            <v/>
          </cell>
          <cell r="BZ83">
            <v>0</v>
          </cell>
          <cell r="CA83">
            <v>0</v>
          </cell>
          <cell r="CB83" t="str">
            <v>持平</v>
          </cell>
          <cell r="CC83">
            <v>0</v>
          </cell>
          <cell r="CD83" t="str">
            <v>持平</v>
          </cell>
          <cell r="CE83" t="str">
            <v/>
          </cell>
          <cell r="CF83" t="str">
            <v/>
          </cell>
          <cell r="CG83">
            <v>0</v>
          </cell>
          <cell r="CH83">
            <v>0</v>
          </cell>
          <cell r="CI83" t="str">
            <v>持平</v>
          </cell>
          <cell r="CJ83">
            <v>0</v>
          </cell>
          <cell r="CK83" t="str">
            <v>持平</v>
          </cell>
          <cell r="CL83" t="str">
            <v/>
          </cell>
          <cell r="CM83" t="str">
            <v/>
          </cell>
          <cell r="CN83" t="str">
            <v/>
          </cell>
          <cell r="CO83">
            <v>0</v>
          </cell>
          <cell r="CP83">
            <v>0</v>
          </cell>
          <cell r="CQ83" t="str">
            <v>持平</v>
          </cell>
          <cell r="CR83">
            <v>0</v>
          </cell>
          <cell r="CS83" t="str">
            <v>持平</v>
          </cell>
          <cell r="CT83" t="str">
            <v/>
          </cell>
          <cell r="CU83" t="str">
            <v/>
          </cell>
          <cell r="CV83" t="str">
            <v/>
          </cell>
          <cell r="CW83" t="str">
            <v/>
          </cell>
          <cell r="CX83" t="str">
            <v/>
          </cell>
          <cell r="CY83">
            <v>0</v>
          </cell>
          <cell r="CZ83">
            <v>0</v>
          </cell>
          <cell r="DA83" t="str">
            <v>持平</v>
          </cell>
          <cell r="DB83">
            <v>0</v>
          </cell>
          <cell r="DC83" t="str">
            <v>持平</v>
          </cell>
          <cell r="DD83" t="str">
            <v/>
          </cell>
          <cell r="DE83" t="str">
            <v/>
          </cell>
          <cell r="DF83" t="str">
            <v/>
          </cell>
          <cell r="DG83" t="str">
            <v/>
          </cell>
          <cell r="DH83" t="str">
            <v/>
          </cell>
          <cell r="DI83">
            <v>0</v>
          </cell>
          <cell r="DJ83">
            <v>0</v>
          </cell>
          <cell r="DK83" t="str">
            <v>持平</v>
          </cell>
          <cell r="DL83">
            <v>0</v>
          </cell>
          <cell r="DM83" t="str">
            <v>持平</v>
          </cell>
          <cell r="DN83">
            <v>0</v>
          </cell>
          <cell r="DO83">
            <v>0</v>
          </cell>
          <cell r="DP83" t="str">
            <v>持平</v>
          </cell>
          <cell r="DQ83">
            <v>0</v>
          </cell>
          <cell r="DR83" t="str">
            <v>持平</v>
          </cell>
          <cell r="DS83">
            <v>0</v>
          </cell>
          <cell r="DT83">
            <v>0</v>
          </cell>
          <cell r="DU83" t="str">
            <v>持平</v>
          </cell>
          <cell r="DV83">
            <v>0</v>
          </cell>
          <cell r="DW83" t="str">
            <v>持平</v>
          </cell>
          <cell r="DX83">
            <v>0</v>
          </cell>
          <cell r="DY83">
            <v>0</v>
          </cell>
          <cell r="DZ83" t="str">
            <v>持平</v>
          </cell>
          <cell r="EA83">
            <v>0</v>
          </cell>
          <cell r="EB83" t="str">
            <v>持平</v>
          </cell>
          <cell r="EC83">
            <v>0</v>
          </cell>
          <cell r="ED83">
            <v>0</v>
          </cell>
          <cell r="EE83" t="str">
            <v>持平</v>
          </cell>
          <cell r="EF83">
            <v>0</v>
          </cell>
          <cell r="EG83" t="str">
            <v>持平</v>
          </cell>
          <cell r="EH83" t="str">
            <v/>
          </cell>
          <cell r="EI83" t="str">
            <v/>
          </cell>
          <cell r="EJ83" t="str">
            <v/>
          </cell>
          <cell r="EK83" t="str">
            <v/>
          </cell>
          <cell r="EL83" t="str">
            <v/>
          </cell>
          <cell r="EM83">
            <v>0</v>
          </cell>
          <cell r="EN83">
            <v>0</v>
          </cell>
          <cell r="EO83" t="str">
            <v>持平</v>
          </cell>
          <cell r="EP83">
            <v>0</v>
          </cell>
          <cell r="EQ83" t="str">
            <v>持平</v>
          </cell>
          <cell r="ER83">
            <v>0</v>
          </cell>
          <cell r="ES83">
            <v>0</v>
          </cell>
          <cell r="ET83" t="str">
            <v>持平</v>
          </cell>
          <cell r="EU83">
            <v>0</v>
          </cell>
          <cell r="EV83" t="str">
            <v>持平</v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</row>
        <row r="84">
          <cell r="A84" t="str">
            <v>入室盗窃</v>
          </cell>
          <cell r="B84" t="str">
            <v>云安区</v>
          </cell>
        </row>
        <row r="84">
          <cell r="AM84">
            <v>0</v>
          </cell>
          <cell r="AN84">
            <v>0</v>
          </cell>
          <cell r="AO84" t="str">
            <v>持平</v>
          </cell>
          <cell r="AP84">
            <v>0</v>
          </cell>
          <cell r="AQ84" t="str">
            <v>持平</v>
          </cell>
          <cell r="AR84" t="str">
            <v/>
          </cell>
          <cell r="AS84" t="str">
            <v/>
          </cell>
          <cell r="AT84">
            <v>0</v>
          </cell>
          <cell r="AU84">
            <v>0</v>
          </cell>
          <cell r="AV84" t="str">
            <v>持平</v>
          </cell>
          <cell r="AW84">
            <v>0</v>
          </cell>
          <cell r="AX84" t="str">
            <v>持平</v>
          </cell>
          <cell r="AY84">
            <v>0</v>
          </cell>
          <cell r="AZ84">
            <v>0</v>
          </cell>
          <cell r="BA84" t="str">
            <v>持平</v>
          </cell>
          <cell r="BB84">
            <v>0</v>
          </cell>
          <cell r="BC84" t="str">
            <v>持平</v>
          </cell>
          <cell r="BD84" t="str">
            <v/>
          </cell>
          <cell r="BE84" t="str">
            <v/>
          </cell>
          <cell r="BF84">
            <v>0</v>
          </cell>
          <cell r="BG84">
            <v>0</v>
          </cell>
          <cell r="BH84" t="str">
            <v>持平</v>
          </cell>
          <cell r="BI84">
            <v>0</v>
          </cell>
          <cell r="BJ84" t="str">
            <v>持平</v>
          </cell>
          <cell r="BK84" t="str">
            <v/>
          </cell>
          <cell r="BL84">
            <v>0</v>
          </cell>
          <cell r="BM84">
            <v>0</v>
          </cell>
          <cell r="BN84" t="str">
            <v>持平</v>
          </cell>
          <cell r="BO84">
            <v>0</v>
          </cell>
          <cell r="BP84" t="str">
            <v>持平</v>
          </cell>
          <cell r="BQ84">
            <v>0</v>
          </cell>
          <cell r="BR84">
            <v>0</v>
          </cell>
          <cell r="BS84" t="str">
            <v>持平</v>
          </cell>
          <cell r="BT84">
            <v>0</v>
          </cell>
          <cell r="BU84" t="str">
            <v>持平</v>
          </cell>
          <cell r="BV84" t="str">
            <v/>
          </cell>
          <cell r="BW84" t="str">
            <v/>
          </cell>
          <cell r="BX84" t="str">
            <v/>
          </cell>
          <cell r="BY84" t="str">
            <v/>
          </cell>
          <cell r="BZ84">
            <v>0</v>
          </cell>
          <cell r="CA84">
            <v>0</v>
          </cell>
          <cell r="CB84" t="str">
            <v>持平</v>
          </cell>
          <cell r="CC84">
            <v>0</v>
          </cell>
          <cell r="CD84" t="str">
            <v>持平</v>
          </cell>
          <cell r="CE84" t="str">
            <v/>
          </cell>
          <cell r="CF84" t="str">
            <v/>
          </cell>
          <cell r="CG84">
            <v>0</v>
          </cell>
          <cell r="CH84">
            <v>0</v>
          </cell>
          <cell r="CI84" t="str">
            <v>持平</v>
          </cell>
          <cell r="CJ84">
            <v>0</v>
          </cell>
          <cell r="CK84" t="str">
            <v>持平</v>
          </cell>
          <cell r="CL84" t="str">
            <v/>
          </cell>
          <cell r="CM84" t="str">
            <v/>
          </cell>
          <cell r="CN84" t="str">
            <v/>
          </cell>
          <cell r="CO84">
            <v>0</v>
          </cell>
          <cell r="CP84">
            <v>0</v>
          </cell>
          <cell r="CQ84" t="str">
            <v>持平</v>
          </cell>
          <cell r="CR84">
            <v>0</v>
          </cell>
          <cell r="CS84" t="str">
            <v>持平</v>
          </cell>
          <cell r="CT84" t="str">
            <v/>
          </cell>
          <cell r="CU84" t="str">
            <v/>
          </cell>
          <cell r="CV84" t="str">
            <v/>
          </cell>
          <cell r="CW84" t="str">
            <v/>
          </cell>
          <cell r="CX84" t="str">
            <v/>
          </cell>
          <cell r="CY84">
            <v>0</v>
          </cell>
          <cell r="CZ84">
            <v>0</v>
          </cell>
          <cell r="DA84" t="str">
            <v>持平</v>
          </cell>
          <cell r="DB84">
            <v>0</v>
          </cell>
          <cell r="DC84" t="str">
            <v>持平</v>
          </cell>
          <cell r="DD84" t="str">
            <v/>
          </cell>
          <cell r="DE84" t="str">
            <v/>
          </cell>
          <cell r="DF84" t="str">
            <v/>
          </cell>
          <cell r="DG84" t="str">
            <v/>
          </cell>
          <cell r="DH84" t="str">
            <v/>
          </cell>
          <cell r="DI84">
            <v>0</v>
          </cell>
          <cell r="DJ84">
            <v>0</v>
          </cell>
          <cell r="DK84" t="str">
            <v>持平</v>
          </cell>
          <cell r="DL84">
            <v>0</v>
          </cell>
          <cell r="DM84" t="str">
            <v>持平</v>
          </cell>
          <cell r="DN84">
            <v>0</v>
          </cell>
          <cell r="DO84">
            <v>0</v>
          </cell>
          <cell r="DP84" t="str">
            <v>持平</v>
          </cell>
          <cell r="DQ84">
            <v>0</v>
          </cell>
          <cell r="DR84" t="str">
            <v>持平</v>
          </cell>
          <cell r="DS84">
            <v>0</v>
          </cell>
          <cell r="DT84">
            <v>0</v>
          </cell>
          <cell r="DU84" t="str">
            <v>持平</v>
          </cell>
          <cell r="DV84">
            <v>0</v>
          </cell>
          <cell r="DW84" t="str">
            <v>持平</v>
          </cell>
          <cell r="DX84">
            <v>0</v>
          </cell>
          <cell r="DY84">
            <v>0</v>
          </cell>
          <cell r="DZ84" t="str">
            <v>持平</v>
          </cell>
          <cell r="EA84">
            <v>0</v>
          </cell>
          <cell r="EB84" t="str">
            <v>持平</v>
          </cell>
          <cell r="EC84">
            <v>0</v>
          </cell>
          <cell r="ED84">
            <v>0</v>
          </cell>
          <cell r="EE84" t="str">
            <v>持平</v>
          </cell>
          <cell r="EF84">
            <v>0</v>
          </cell>
          <cell r="EG84" t="str">
            <v>持平</v>
          </cell>
          <cell r="EH84" t="str">
            <v/>
          </cell>
          <cell r="EI84" t="str">
            <v/>
          </cell>
          <cell r="EJ84" t="str">
            <v/>
          </cell>
          <cell r="EK84" t="str">
            <v/>
          </cell>
          <cell r="EL84" t="str">
            <v/>
          </cell>
          <cell r="EM84">
            <v>0</v>
          </cell>
          <cell r="EN84">
            <v>0</v>
          </cell>
          <cell r="EO84" t="str">
            <v>持平</v>
          </cell>
          <cell r="EP84">
            <v>0</v>
          </cell>
          <cell r="EQ84" t="str">
            <v>持平</v>
          </cell>
          <cell r="ER84">
            <v>0</v>
          </cell>
          <cell r="ES84">
            <v>0</v>
          </cell>
          <cell r="ET84" t="str">
            <v>持平</v>
          </cell>
          <cell r="EU84">
            <v>0</v>
          </cell>
          <cell r="EV84" t="str">
            <v>持平</v>
          </cell>
          <cell r="EW84" t="str">
            <v/>
          </cell>
          <cell r="EX84" t="str">
            <v/>
          </cell>
          <cell r="EY84" t="str">
            <v/>
          </cell>
          <cell r="EZ84" t="str">
            <v/>
          </cell>
          <cell r="FA84" t="str">
            <v/>
          </cell>
        </row>
        <row r="85">
          <cell r="A85" t="str">
            <v>入室盗窃</v>
          </cell>
          <cell r="B85" t="str">
            <v>新兴县</v>
          </cell>
        </row>
        <row r="85">
          <cell r="AM85">
            <v>0</v>
          </cell>
          <cell r="AN85">
            <v>0</v>
          </cell>
          <cell r="AO85" t="str">
            <v>持平</v>
          </cell>
          <cell r="AP85">
            <v>0</v>
          </cell>
          <cell r="AQ85" t="str">
            <v>持平</v>
          </cell>
          <cell r="AR85" t="str">
            <v/>
          </cell>
          <cell r="AS85" t="str">
            <v/>
          </cell>
          <cell r="AT85">
            <v>0</v>
          </cell>
          <cell r="AU85">
            <v>0</v>
          </cell>
          <cell r="AV85" t="str">
            <v>持平</v>
          </cell>
          <cell r="AW85">
            <v>0</v>
          </cell>
          <cell r="AX85" t="str">
            <v>持平</v>
          </cell>
          <cell r="AY85">
            <v>0</v>
          </cell>
          <cell r="AZ85">
            <v>0</v>
          </cell>
          <cell r="BA85" t="str">
            <v>持平</v>
          </cell>
          <cell r="BB85">
            <v>0</v>
          </cell>
          <cell r="BC85" t="str">
            <v>持平</v>
          </cell>
          <cell r="BD85" t="str">
            <v/>
          </cell>
          <cell r="BE85" t="str">
            <v/>
          </cell>
          <cell r="BF85">
            <v>0</v>
          </cell>
          <cell r="BG85">
            <v>0</v>
          </cell>
          <cell r="BH85" t="str">
            <v>持平</v>
          </cell>
          <cell r="BI85">
            <v>0</v>
          </cell>
          <cell r="BJ85" t="str">
            <v>持平</v>
          </cell>
          <cell r="BK85" t="str">
            <v/>
          </cell>
          <cell r="BL85">
            <v>0</v>
          </cell>
          <cell r="BM85">
            <v>0</v>
          </cell>
          <cell r="BN85" t="str">
            <v>持平</v>
          </cell>
          <cell r="BO85">
            <v>0</v>
          </cell>
          <cell r="BP85" t="str">
            <v>持平</v>
          </cell>
          <cell r="BQ85">
            <v>0</v>
          </cell>
          <cell r="BR85">
            <v>0</v>
          </cell>
          <cell r="BS85" t="str">
            <v>持平</v>
          </cell>
          <cell r="BT85">
            <v>0</v>
          </cell>
          <cell r="BU85" t="str">
            <v>持平</v>
          </cell>
          <cell r="BV85" t="str">
            <v/>
          </cell>
          <cell r="BW85" t="str">
            <v/>
          </cell>
          <cell r="BX85" t="str">
            <v/>
          </cell>
          <cell r="BY85" t="str">
            <v/>
          </cell>
          <cell r="BZ85">
            <v>0</v>
          </cell>
          <cell r="CA85">
            <v>0</v>
          </cell>
          <cell r="CB85" t="str">
            <v>持平</v>
          </cell>
          <cell r="CC85">
            <v>0</v>
          </cell>
          <cell r="CD85" t="str">
            <v>持平</v>
          </cell>
          <cell r="CE85" t="str">
            <v/>
          </cell>
          <cell r="CF85" t="str">
            <v/>
          </cell>
          <cell r="CG85">
            <v>0</v>
          </cell>
          <cell r="CH85">
            <v>0</v>
          </cell>
          <cell r="CI85" t="str">
            <v>持平</v>
          </cell>
          <cell r="CJ85">
            <v>0</v>
          </cell>
          <cell r="CK85" t="str">
            <v>持平</v>
          </cell>
          <cell r="CL85" t="str">
            <v/>
          </cell>
          <cell r="CM85" t="str">
            <v/>
          </cell>
          <cell r="CN85" t="str">
            <v/>
          </cell>
          <cell r="CO85">
            <v>0</v>
          </cell>
          <cell r="CP85">
            <v>0</v>
          </cell>
          <cell r="CQ85" t="str">
            <v>持平</v>
          </cell>
          <cell r="CR85">
            <v>0</v>
          </cell>
          <cell r="CS85" t="str">
            <v>持平</v>
          </cell>
          <cell r="CT85" t="str">
            <v/>
          </cell>
          <cell r="CU85" t="str">
            <v/>
          </cell>
          <cell r="CV85" t="str">
            <v/>
          </cell>
          <cell r="CW85" t="str">
            <v/>
          </cell>
          <cell r="CX85" t="str">
            <v/>
          </cell>
          <cell r="CY85">
            <v>0</v>
          </cell>
          <cell r="CZ85">
            <v>0</v>
          </cell>
          <cell r="DA85" t="str">
            <v>持平</v>
          </cell>
          <cell r="DB85">
            <v>0</v>
          </cell>
          <cell r="DC85" t="str">
            <v>持平</v>
          </cell>
          <cell r="DD85" t="str">
            <v/>
          </cell>
          <cell r="DE85" t="str">
            <v/>
          </cell>
          <cell r="DF85" t="str">
            <v/>
          </cell>
          <cell r="DG85" t="str">
            <v/>
          </cell>
          <cell r="DH85" t="str">
            <v/>
          </cell>
          <cell r="DI85">
            <v>0</v>
          </cell>
          <cell r="DJ85">
            <v>0</v>
          </cell>
          <cell r="DK85" t="str">
            <v>持平</v>
          </cell>
          <cell r="DL85">
            <v>0</v>
          </cell>
          <cell r="DM85" t="str">
            <v>持平</v>
          </cell>
          <cell r="DN85">
            <v>0</v>
          </cell>
          <cell r="DO85">
            <v>0</v>
          </cell>
          <cell r="DP85" t="str">
            <v>持平</v>
          </cell>
          <cell r="DQ85">
            <v>0</v>
          </cell>
          <cell r="DR85" t="str">
            <v>持平</v>
          </cell>
          <cell r="DS85">
            <v>0</v>
          </cell>
          <cell r="DT85">
            <v>0</v>
          </cell>
          <cell r="DU85" t="str">
            <v>持平</v>
          </cell>
          <cell r="DV85">
            <v>0</v>
          </cell>
          <cell r="DW85" t="str">
            <v>持平</v>
          </cell>
          <cell r="DX85">
            <v>0</v>
          </cell>
          <cell r="DY85">
            <v>0</v>
          </cell>
          <cell r="DZ85" t="str">
            <v>持平</v>
          </cell>
          <cell r="EA85">
            <v>0</v>
          </cell>
          <cell r="EB85" t="str">
            <v>持平</v>
          </cell>
          <cell r="EC85">
            <v>0</v>
          </cell>
          <cell r="ED85">
            <v>0</v>
          </cell>
          <cell r="EE85" t="str">
            <v>持平</v>
          </cell>
          <cell r="EF85">
            <v>0</v>
          </cell>
          <cell r="EG85" t="str">
            <v>持平</v>
          </cell>
          <cell r="EH85" t="str">
            <v/>
          </cell>
          <cell r="EI85" t="str">
            <v/>
          </cell>
          <cell r="EJ85" t="str">
            <v/>
          </cell>
          <cell r="EK85" t="str">
            <v/>
          </cell>
          <cell r="EL85" t="str">
            <v/>
          </cell>
          <cell r="EM85">
            <v>0</v>
          </cell>
          <cell r="EN85">
            <v>0</v>
          </cell>
          <cell r="EO85" t="str">
            <v>持平</v>
          </cell>
          <cell r="EP85">
            <v>0</v>
          </cell>
          <cell r="EQ85" t="str">
            <v>持平</v>
          </cell>
          <cell r="ER85">
            <v>0</v>
          </cell>
          <cell r="ES85">
            <v>0</v>
          </cell>
          <cell r="ET85" t="str">
            <v>持平</v>
          </cell>
          <cell r="EU85">
            <v>0</v>
          </cell>
          <cell r="EV85" t="str">
            <v>持平</v>
          </cell>
          <cell r="EW85" t="str">
            <v/>
          </cell>
          <cell r="EX85" t="str">
            <v/>
          </cell>
          <cell r="EY85" t="str">
            <v/>
          </cell>
          <cell r="EZ85" t="str">
            <v/>
          </cell>
          <cell r="FA85" t="str">
            <v/>
          </cell>
        </row>
        <row r="86">
          <cell r="A86" t="str">
            <v>入室盗窃</v>
          </cell>
          <cell r="B86" t="str">
            <v>郁南县</v>
          </cell>
        </row>
        <row r="86">
          <cell r="AM86">
            <v>0</v>
          </cell>
          <cell r="AN86">
            <v>0</v>
          </cell>
          <cell r="AO86" t="str">
            <v>持平</v>
          </cell>
          <cell r="AP86">
            <v>0</v>
          </cell>
          <cell r="AQ86" t="str">
            <v>持平</v>
          </cell>
          <cell r="AR86" t="str">
            <v/>
          </cell>
          <cell r="AS86" t="str">
            <v/>
          </cell>
          <cell r="AT86">
            <v>0</v>
          </cell>
          <cell r="AU86">
            <v>0</v>
          </cell>
          <cell r="AV86" t="str">
            <v>持平</v>
          </cell>
          <cell r="AW86">
            <v>0</v>
          </cell>
          <cell r="AX86" t="str">
            <v>持平</v>
          </cell>
          <cell r="AY86">
            <v>0</v>
          </cell>
          <cell r="AZ86">
            <v>0</v>
          </cell>
          <cell r="BA86" t="str">
            <v>持平</v>
          </cell>
          <cell r="BB86">
            <v>0</v>
          </cell>
          <cell r="BC86" t="str">
            <v>持平</v>
          </cell>
          <cell r="BD86" t="str">
            <v/>
          </cell>
          <cell r="BE86" t="str">
            <v/>
          </cell>
          <cell r="BF86">
            <v>0</v>
          </cell>
          <cell r="BG86">
            <v>0</v>
          </cell>
          <cell r="BH86" t="str">
            <v>持平</v>
          </cell>
          <cell r="BI86">
            <v>0</v>
          </cell>
          <cell r="BJ86" t="str">
            <v>持平</v>
          </cell>
          <cell r="BK86" t="str">
            <v/>
          </cell>
          <cell r="BL86">
            <v>0</v>
          </cell>
          <cell r="BM86">
            <v>0</v>
          </cell>
          <cell r="BN86" t="str">
            <v>持平</v>
          </cell>
          <cell r="BO86">
            <v>0</v>
          </cell>
          <cell r="BP86" t="str">
            <v>持平</v>
          </cell>
          <cell r="BQ86">
            <v>0</v>
          </cell>
          <cell r="BR86">
            <v>0</v>
          </cell>
          <cell r="BS86" t="str">
            <v>持平</v>
          </cell>
          <cell r="BT86">
            <v>0</v>
          </cell>
          <cell r="BU86" t="str">
            <v>持平</v>
          </cell>
          <cell r="BV86" t="str">
            <v/>
          </cell>
          <cell r="BW86" t="str">
            <v/>
          </cell>
          <cell r="BX86" t="str">
            <v/>
          </cell>
          <cell r="BY86" t="str">
            <v/>
          </cell>
          <cell r="BZ86">
            <v>0</v>
          </cell>
          <cell r="CA86">
            <v>0</v>
          </cell>
          <cell r="CB86" t="str">
            <v>持平</v>
          </cell>
          <cell r="CC86">
            <v>0</v>
          </cell>
          <cell r="CD86" t="str">
            <v>持平</v>
          </cell>
          <cell r="CE86" t="str">
            <v/>
          </cell>
          <cell r="CF86" t="str">
            <v/>
          </cell>
          <cell r="CG86">
            <v>0</v>
          </cell>
          <cell r="CH86">
            <v>0</v>
          </cell>
          <cell r="CI86" t="str">
            <v>持平</v>
          </cell>
          <cell r="CJ86">
            <v>0</v>
          </cell>
          <cell r="CK86" t="str">
            <v>持平</v>
          </cell>
          <cell r="CL86" t="str">
            <v/>
          </cell>
          <cell r="CM86" t="str">
            <v/>
          </cell>
          <cell r="CN86" t="str">
            <v/>
          </cell>
          <cell r="CO86">
            <v>0</v>
          </cell>
          <cell r="CP86">
            <v>0</v>
          </cell>
          <cell r="CQ86" t="str">
            <v>持平</v>
          </cell>
          <cell r="CR86">
            <v>0</v>
          </cell>
          <cell r="CS86" t="str">
            <v>持平</v>
          </cell>
          <cell r="CT86" t="str">
            <v/>
          </cell>
          <cell r="CU86" t="str">
            <v/>
          </cell>
          <cell r="CV86" t="str">
            <v/>
          </cell>
          <cell r="CW86" t="str">
            <v/>
          </cell>
          <cell r="CX86" t="str">
            <v/>
          </cell>
          <cell r="CY86">
            <v>0</v>
          </cell>
          <cell r="CZ86">
            <v>0</v>
          </cell>
          <cell r="DA86" t="str">
            <v>持平</v>
          </cell>
          <cell r="DB86">
            <v>0</v>
          </cell>
          <cell r="DC86" t="str">
            <v>持平</v>
          </cell>
          <cell r="DD86" t="str">
            <v/>
          </cell>
          <cell r="DE86" t="str">
            <v/>
          </cell>
          <cell r="DF86" t="str">
            <v/>
          </cell>
          <cell r="DG86" t="str">
            <v/>
          </cell>
          <cell r="DH86" t="str">
            <v/>
          </cell>
          <cell r="DI86">
            <v>0</v>
          </cell>
          <cell r="DJ86">
            <v>0</v>
          </cell>
          <cell r="DK86" t="str">
            <v>持平</v>
          </cell>
          <cell r="DL86">
            <v>0</v>
          </cell>
          <cell r="DM86" t="str">
            <v>持平</v>
          </cell>
          <cell r="DN86">
            <v>0</v>
          </cell>
          <cell r="DO86">
            <v>0</v>
          </cell>
          <cell r="DP86" t="str">
            <v>持平</v>
          </cell>
          <cell r="DQ86">
            <v>0</v>
          </cell>
          <cell r="DR86" t="str">
            <v>持平</v>
          </cell>
          <cell r="DS86">
            <v>0</v>
          </cell>
          <cell r="DT86">
            <v>0</v>
          </cell>
          <cell r="DU86" t="str">
            <v>持平</v>
          </cell>
          <cell r="DV86">
            <v>0</v>
          </cell>
          <cell r="DW86" t="str">
            <v>持平</v>
          </cell>
          <cell r="DX86">
            <v>0</v>
          </cell>
          <cell r="DY86">
            <v>0</v>
          </cell>
          <cell r="DZ86" t="str">
            <v>持平</v>
          </cell>
          <cell r="EA86">
            <v>0</v>
          </cell>
          <cell r="EB86" t="str">
            <v>持平</v>
          </cell>
          <cell r="EC86">
            <v>0</v>
          </cell>
          <cell r="ED86">
            <v>0</v>
          </cell>
          <cell r="EE86" t="str">
            <v>持平</v>
          </cell>
          <cell r="EF86">
            <v>0</v>
          </cell>
          <cell r="EG86" t="str">
            <v>持平</v>
          </cell>
          <cell r="EH86" t="str">
            <v/>
          </cell>
          <cell r="EI86" t="str">
            <v/>
          </cell>
          <cell r="EJ86" t="str">
            <v/>
          </cell>
          <cell r="EK86" t="str">
            <v/>
          </cell>
          <cell r="EL86" t="str">
            <v/>
          </cell>
          <cell r="EM86">
            <v>0</v>
          </cell>
          <cell r="EN86">
            <v>0</v>
          </cell>
          <cell r="EO86" t="str">
            <v>持平</v>
          </cell>
          <cell r="EP86">
            <v>0</v>
          </cell>
          <cell r="EQ86" t="str">
            <v>持平</v>
          </cell>
          <cell r="ER86">
            <v>0</v>
          </cell>
          <cell r="ES86">
            <v>0</v>
          </cell>
          <cell r="ET86" t="str">
            <v>持平</v>
          </cell>
          <cell r="EU86">
            <v>0</v>
          </cell>
          <cell r="EV86" t="str">
            <v>持平</v>
          </cell>
          <cell r="EW86" t="str">
            <v/>
          </cell>
          <cell r="EX86" t="str">
            <v/>
          </cell>
          <cell r="EY86" t="str">
            <v/>
          </cell>
          <cell r="EZ86" t="str">
            <v/>
          </cell>
          <cell r="FA86" t="str">
            <v/>
          </cell>
        </row>
        <row r="87">
          <cell r="A87" t="str">
            <v>入室盗窃</v>
          </cell>
          <cell r="B87" t="str">
            <v>罗定市</v>
          </cell>
        </row>
        <row r="87">
          <cell r="AM87">
            <v>0</v>
          </cell>
          <cell r="AN87">
            <v>0</v>
          </cell>
          <cell r="AO87" t="str">
            <v>持平</v>
          </cell>
          <cell r="AP87">
            <v>0</v>
          </cell>
          <cell r="AQ87" t="str">
            <v>持平</v>
          </cell>
          <cell r="AR87" t="str">
            <v/>
          </cell>
          <cell r="AS87" t="str">
            <v/>
          </cell>
          <cell r="AT87">
            <v>0</v>
          </cell>
          <cell r="AU87">
            <v>0</v>
          </cell>
          <cell r="AV87" t="str">
            <v>持平</v>
          </cell>
          <cell r="AW87">
            <v>0</v>
          </cell>
          <cell r="AX87" t="str">
            <v>持平</v>
          </cell>
          <cell r="AY87">
            <v>0</v>
          </cell>
          <cell r="AZ87">
            <v>0</v>
          </cell>
          <cell r="BA87" t="str">
            <v>持平</v>
          </cell>
          <cell r="BB87">
            <v>0</v>
          </cell>
          <cell r="BC87" t="str">
            <v>持平</v>
          </cell>
          <cell r="BD87" t="str">
            <v/>
          </cell>
          <cell r="BE87" t="str">
            <v/>
          </cell>
          <cell r="BF87">
            <v>0</v>
          </cell>
          <cell r="BG87">
            <v>0</v>
          </cell>
          <cell r="BH87" t="str">
            <v>持平</v>
          </cell>
          <cell r="BI87">
            <v>0</v>
          </cell>
          <cell r="BJ87" t="str">
            <v>持平</v>
          </cell>
          <cell r="BK87" t="str">
            <v/>
          </cell>
          <cell r="BL87">
            <v>0</v>
          </cell>
          <cell r="BM87">
            <v>0</v>
          </cell>
          <cell r="BN87" t="str">
            <v>持平</v>
          </cell>
          <cell r="BO87">
            <v>0</v>
          </cell>
          <cell r="BP87" t="str">
            <v>持平</v>
          </cell>
          <cell r="BQ87">
            <v>0</v>
          </cell>
          <cell r="BR87">
            <v>0</v>
          </cell>
          <cell r="BS87" t="str">
            <v>持平</v>
          </cell>
          <cell r="BT87">
            <v>0</v>
          </cell>
          <cell r="BU87" t="str">
            <v>持平</v>
          </cell>
          <cell r="BV87" t="str">
            <v/>
          </cell>
          <cell r="BW87" t="str">
            <v/>
          </cell>
          <cell r="BX87" t="str">
            <v/>
          </cell>
          <cell r="BY87" t="str">
            <v/>
          </cell>
          <cell r="BZ87">
            <v>0</v>
          </cell>
          <cell r="CA87">
            <v>0</v>
          </cell>
          <cell r="CB87" t="str">
            <v>持平</v>
          </cell>
          <cell r="CC87">
            <v>0</v>
          </cell>
          <cell r="CD87" t="str">
            <v>持平</v>
          </cell>
          <cell r="CE87" t="str">
            <v/>
          </cell>
          <cell r="CF87" t="str">
            <v/>
          </cell>
          <cell r="CG87">
            <v>1</v>
          </cell>
          <cell r="CH87">
            <v>0</v>
          </cell>
          <cell r="CI87" t="str">
            <v>多1人</v>
          </cell>
          <cell r="CJ87">
            <v>0</v>
          </cell>
          <cell r="CK87" t="str">
            <v>多1人</v>
          </cell>
          <cell r="CL87" t="str">
            <v/>
          </cell>
          <cell r="CM87" t="str">
            <v/>
          </cell>
          <cell r="CN87" t="str">
            <v/>
          </cell>
          <cell r="CO87">
            <v>1</v>
          </cell>
          <cell r="CP87">
            <v>0</v>
          </cell>
          <cell r="CQ87" t="str">
            <v>多1人</v>
          </cell>
          <cell r="CR87">
            <v>0</v>
          </cell>
          <cell r="CS87" t="str">
            <v>多1人</v>
          </cell>
          <cell r="CT87">
            <v>1</v>
          </cell>
          <cell r="CU87" t="str">
            <v/>
          </cell>
          <cell r="CV87" t="str">
            <v/>
          </cell>
          <cell r="CW87" t="str">
            <v/>
          </cell>
          <cell r="CX87" t="str">
            <v/>
          </cell>
          <cell r="CY87">
            <v>1</v>
          </cell>
          <cell r="CZ87">
            <v>0</v>
          </cell>
          <cell r="DA87" t="str">
            <v>多1人</v>
          </cell>
          <cell r="DB87">
            <v>0</v>
          </cell>
          <cell r="DC87" t="str">
            <v>多1人</v>
          </cell>
          <cell r="DD87">
            <v>1</v>
          </cell>
          <cell r="DE87" t="str">
            <v/>
          </cell>
          <cell r="DF87" t="str">
            <v/>
          </cell>
          <cell r="DG87" t="str">
            <v/>
          </cell>
          <cell r="DH87" t="str">
            <v/>
          </cell>
          <cell r="DI87">
            <v>0</v>
          </cell>
          <cell r="DJ87">
            <v>0</v>
          </cell>
          <cell r="DK87" t="str">
            <v>持平</v>
          </cell>
          <cell r="DL87">
            <v>0</v>
          </cell>
          <cell r="DM87" t="str">
            <v>持平</v>
          </cell>
          <cell r="DN87">
            <v>0</v>
          </cell>
          <cell r="DO87">
            <v>0</v>
          </cell>
          <cell r="DP87" t="str">
            <v>持平</v>
          </cell>
          <cell r="DQ87">
            <v>0</v>
          </cell>
          <cell r="DR87" t="str">
            <v>持平</v>
          </cell>
          <cell r="DS87">
            <v>0</v>
          </cell>
          <cell r="DT87">
            <v>0</v>
          </cell>
          <cell r="DU87" t="str">
            <v>持平</v>
          </cell>
          <cell r="DV87">
            <v>0</v>
          </cell>
          <cell r="DW87" t="str">
            <v>持平</v>
          </cell>
          <cell r="DX87">
            <v>1</v>
          </cell>
          <cell r="DY87">
            <v>0</v>
          </cell>
          <cell r="DZ87" t="str">
            <v>多1人</v>
          </cell>
          <cell r="EA87">
            <v>0</v>
          </cell>
          <cell r="EB87" t="str">
            <v>多1人</v>
          </cell>
          <cell r="EC87">
            <v>0</v>
          </cell>
          <cell r="ED87">
            <v>0</v>
          </cell>
          <cell r="EE87" t="str">
            <v>持平</v>
          </cell>
          <cell r="EF87">
            <v>0</v>
          </cell>
          <cell r="EG87" t="str">
            <v>持平</v>
          </cell>
          <cell r="EH87">
            <v>0</v>
          </cell>
          <cell r="EI87" t="str">
            <v/>
          </cell>
          <cell r="EJ87" t="str">
            <v/>
          </cell>
          <cell r="EK87" t="str">
            <v/>
          </cell>
          <cell r="EL87" t="str">
            <v/>
          </cell>
          <cell r="EM87">
            <v>0</v>
          </cell>
          <cell r="EN87">
            <v>0</v>
          </cell>
          <cell r="EO87" t="str">
            <v>持平</v>
          </cell>
          <cell r="EP87">
            <v>0</v>
          </cell>
          <cell r="EQ87" t="str">
            <v>持平</v>
          </cell>
          <cell r="ER87">
            <v>0</v>
          </cell>
          <cell r="ES87">
            <v>0</v>
          </cell>
          <cell r="ET87" t="str">
            <v>持平</v>
          </cell>
          <cell r="EU87">
            <v>0</v>
          </cell>
          <cell r="EV87" t="str">
            <v>持平</v>
          </cell>
          <cell r="EW87">
            <v>0</v>
          </cell>
          <cell r="EX87" t="str">
            <v/>
          </cell>
          <cell r="EY87" t="str">
            <v/>
          </cell>
          <cell r="EZ87" t="str">
            <v/>
          </cell>
          <cell r="FA87" t="str">
            <v/>
          </cell>
        </row>
        <row r="88">
          <cell r="A88" t="str">
            <v>诈骗</v>
          </cell>
          <cell r="B88" t="str">
            <v>全省</v>
          </cell>
        </row>
        <row r="88">
          <cell r="AM88">
            <v>5874</v>
          </cell>
          <cell r="AN88">
            <v>2833</v>
          </cell>
          <cell r="AO88">
            <v>1.0734</v>
          </cell>
          <cell r="AP88">
            <v>15221</v>
          </cell>
          <cell r="AQ88">
            <v>-0.6141</v>
          </cell>
          <cell r="AR88">
            <v>0.4734</v>
          </cell>
          <cell r="AS88">
            <v>0.1141</v>
          </cell>
          <cell r="AT88">
            <v>6923</v>
          </cell>
          <cell r="AU88">
            <v>3483</v>
          </cell>
          <cell r="AV88">
            <v>0.9877</v>
          </cell>
          <cell r="AW88">
            <v>12140</v>
          </cell>
          <cell r="AX88">
            <v>-0.4297</v>
          </cell>
          <cell r="AY88">
            <v>966</v>
          </cell>
          <cell r="AZ88">
            <v>499</v>
          </cell>
          <cell r="BA88">
            <v>0.9359</v>
          </cell>
          <cell r="BB88">
            <v>4121</v>
          </cell>
          <cell r="BC88">
            <v>-0.7656</v>
          </cell>
          <cell r="BD88">
            <v>0.1395</v>
          </cell>
          <cell r="BE88">
            <v>-0.0037</v>
          </cell>
          <cell r="BF88">
            <v>5484</v>
          </cell>
          <cell r="BG88">
            <v>4401</v>
          </cell>
          <cell r="BH88">
            <v>0.2461</v>
          </cell>
          <cell r="BI88">
            <v>675</v>
          </cell>
          <cell r="BJ88">
            <v>7.1244</v>
          </cell>
          <cell r="BK88">
            <v>0.442</v>
          </cell>
          <cell r="BL88">
            <v>4908</v>
          </cell>
          <cell r="BM88">
            <v>2334</v>
          </cell>
          <cell r="BN88">
            <v>1.1028</v>
          </cell>
          <cell r="BO88">
            <v>11100</v>
          </cell>
          <cell r="BP88">
            <v>-0.5578</v>
          </cell>
          <cell r="BQ88">
            <v>991</v>
          </cell>
          <cell r="BR88">
            <v>774</v>
          </cell>
          <cell r="BS88">
            <v>0.2804</v>
          </cell>
          <cell r="BT88">
            <v>1916</v>
          </cell>
          <cell r="BU88">
            <v>-0.4828</v>
          </cell>
          <cell r="BV88">
            <v>0.0799</v>
          </cell>
          <cell r="BW88">
            <v>-0.0183</v>
          </cell>
          <cell r="BX88">
            <v>0.1431</v>
          </cell>
          <cell r="BY88">
            <v>-0.0791</v>
          </cell>
          <cell r="BZ88">
            <v>12</v>
          </cell>
          <cell r="CA88">
            <v>4</v>
          </cell>
          <cell r="CB88">
            <v>2</v>
          </cell>
          <cell r="CC88">
            <v>164</v>
          </cell>
          <cell r="CD88">
            <v>-0.9268</v>
          </cell>
          <cell r="CE88" t="str">
            <v/>
          </cell>
          <cell r="CF88" t="str">
            <v/>
          </cell>
          <cell r="CG88">
            <v>6084</v>
          </cell>
          <cell r="CH88">
            <v>3333</v>
          </cell>
          <cell r="CI88">
            <v>0.8254</v>
          </cell>
          <cell r="CJ88">
            <v>6522</v>
          </cell>
          <cell r="CK88">
            <v>-0.0672</v>
          </cell>
          <cell r="CL88">
            <v>49</v>
          </cell>
          <cell r="CM88">
            <v>7</v>
          </cell>
          <cell r="CN88">
            <v>0.1599</v>
          </cell>
          <cell r="CO88">
            <v>6766</v>
          </cell>
          <cell r="CP88">
            <v>2610</v>
          </cell>
          <cell r="CQ88">
            <v>1.5923</v>
          </cell>
          <cell r="CR88">
            <v>5121</v>
          </cell>
          <cell r="CS88">
            <v>0.3212</v>
          </cell>
          <cell r="CT88">
            <v>1.1121</v>
          </cell>
          <cell r="CU88">
            <v>0.329</v>
          </cell>
          <cell r="CV88">
            <v>55</v>
          </cell>
          <cell r="CW88">
            <v>21</v>
          </cell>
          <cell r="CX88">
            <v>0.6473</v>
          </cell>
          <cell r="CY88">
            <v>7378</v>
          </cell>
          <cell r="CZ88">
            <v>2971</v>
          </cell>
          <cell r="DA88">
            <v>1.4833</v>
          </cell>
          <cell r="DB88">
            <v>5685</v>
          </cell>
          <cell r="DC88">
            <v>0.2978</v>
          </cell>
          <cell r="DD88">
            <v>1.2127</v>
          </cell>
          <cell r="DE88">
            <v>0.3213</v>
          </cell>
          <cell r="DF88">
            <v>59</v>
          </cell>
          <cell r="DG88">
            <v>22</v>
          </cell>
          <cell r="DH88">
            <v>0.578</v>
          </cell>
          <cell r="DI88">
            <v>5530</v>
          </cell>
          <cell r="DJ88">
            <v>1994</v>
          </cell>
          <cell r="DK88">
            <v>1.7733</v>
          </cell>
          <cell r="DL88">
            <v>4193</v>
          </cell>
          <cell r="DM88">
            <v>0.3189</v>
          </cell>
          <cell r="DN88">
            <v>3567</v>
          </cell>
          <cell r="DO88">
            <v>1933</v>
          </cell>
          <cell r="DP88">
            <v>0.8453</v>
          </cell>
          <cell r="DQ88">
            <v>3374</v>
          </cell>
          <cell r="DR88">
            <v>0.0572</v>
          </cell>
          <cell r="DS88">
            <v>3568</v>
          </cell>
          <cell r="DT88">
            <v>1934</v>
          </cell>
          <cell r="DU88">
            <v>0.8449</v>
          </cell>
          <cell r="DV88">
            <v>3375</v>
          </cell>
          <cell r="DW88">
            <v>0.0572</v>
          </cell>
          <cell r="DX88">
            <v>2684</v>
          </cell>
          <cell r="DY88">
            <v>1782</v>
          </cell>
          <cell r="DZ88">
            <v>0.5062</v>
          </cell>
          <cell r="EA88">
            <v>2414</v>
          </cell>
          <cell r="EB88">
            <v>0.1118</v>
          </cell>
          <cell r="EC88">
            <v>1146</v>
          </cell>
          <cell r="ED88">
            <v>1178</v>
          </cell>
          <cell r="EE88">
            <v>-0.0272</v>
          </cell>
          <cell r="EF88">
            <v>1146</v>
          </cell>
          <cell r="EG88">
            <v>0</v>
          </cell>
          <cell r="EH88">
            <v>0.1694</v>
          </cell>
          <cell r="EI88">
            <v>-0.282</v>
          </cell>
          <cell r="EJ88">
            <v>9</v>
          </cell>
          <cell r="EK88">
            <v>-6</v>
          </cell>
          <cell r="EL88">
            <v>-0.3818</v>
          </cell>
          <cell r="EM88">
            <v>1207</v>
          </cell>
          <cell r="EN88">
            <v>1170</v>
          </cell>
          <cell r="EO88">
            <v>0.0316</v>
          </cell>
          <cell r="EP88">
            <v>1163</v>
          </cell>
          <cell r="EQ88">
            <v>0.0378</v>
          </cell>
          <cell r="ER88">
            <v>1479</v>
          </cell>
          <cell r="ES88">
            <v>1110</v>
          </cell>
          <cell r="ET88">
            <v>0.3324</v>
          </cell>
          <cell r="EU88">
            <v>2786</v>
          </cell>
          <cell r="EV88">
            <v>-0.4691</v>
          </cell>
          <cell r="EW88">
            <v>0.2186</v>
          </cell>
          <cell r="EX88">
            <v>-0.2067</v>
          </cell>
          <cell r="EY88">
            <v>12</v>
          </cell>
          <cell r="EZ88">
            <v>-2</v>
          </cell>
          <cell r="FA88">
            <v>-0.1533</v>
          </cell>
        </row>
        <row r="89">
          <cell r="A89" t="str">
            <v>诈骗</v>
          </cell>
          <cell r="B89" t="str">
            <v>云浮</v>
          </cell>
        </row>
        <row r="89">
          <cell r="AM89">
            <v>50</v>
          </cell>
          <cell r="AN89">
            <v>26</v>
          </cell>
          <cell r="AO89">
            <v>0.9231</v>
          </cell>
          <cell r="AP89">
            <v>157</v>
          </cell>
          <cell r="AQ89">
            <v>-0.6815</v>
          </cell>
          <cell r="AR89">
            <v>0.5051</v>
          </cell>
          <cell r="AS89">
            <v>0.2919</v>
          </cell>
          <cell r="AT89">
            <v>49</v>
          </cell>
          <cell r="AU89">
            <v>53</v>
          </cell>
          <cell r="AV89">
            <v>-0.0755</v>
          </cell>
          <cell r="AW89">
            <v>75</v>
          </cell>
          <cell r="AX89">
            <v>-0.3467</v>
          </cell>
          <cell r="AY89">
            <v>4</v>
          </cell>
          <cell r="AZ89">
            <v>4</v>
          </cell>
          <cell r="BA89">
            <v>0</v>
          </cell>
          <cell r="BB89">
            <v>39</v>
          </cell>
          <cell r="BC89">
            <v>-0.8974</v>
          </cell>
          <cell r="BD89">
            <v>0.0816</v>
          </cell>
          <cell r="BE89">
            <v>0.0062</v>
          </cell>
          <cell r="BF89">
            <v>50</v>
          </cell>
          <cell r="BG89">
            <v>69</v>
          </cell>
          <cell r="BH89">
            <v>-0.2754</v>
          </cell>
          <cell r="BI89">
            <v>2</v>
          </cell>
          <cell r="BJ89">
            <v>24</v>
          </cell>
          <cell r="BK89">
            <v>0.5051</v>
          </cell>
          <cell r="BL89">
            <v>46</v>
          </cell>
          <cell r="BM89">
            <v>22</v>
          </cell>
          <cell r="BN89">
            <v>1.0909</v>
          </cell>
          <cell r="BO89">
            <v>118</v>
          </cell>
          <cell r="BP89">
            <v>-0.6102</v>
          </cell>
          <cell r="BQ89">
            <v>12</v>
          </cell>
          <cell r="BR89">
            <v>16</v>
          </cell>
          <cell r="BS89">
            <v>-0.25</v>
          </cell>
          <cell r="BT89">
            <v>19</v>
          </cell>
          <cell r="BU89">
            <v>-0.3684</v>
          </cell>
          <cell r="BV89">
            <v>0.1212</v>
          </cell>
          <cell r="BW89">
            <v>-0.0099</v>
          </cell>
          <cell r="BX89">
            <v>0.2449</v>
          </cell>
          <cell r="BY89">
            <v>-0.057</v>
          </cell>
          <cell r="BZ89">
            <v>0</v>
          </cell>
          <cell r="CA89">
            <v>0</v>
          </cell>
          <cell r="CB89" t="str">
            <v>持平</v>
          </cell>
          <cell r="CC89">
            <v>3</v>
          </cell>
          <cell r="CD89" t="str">
            <v>少3起</v>
          </cell>
          <cell r="CE89" t="str">
            <v/>
          </cell>
          <cell r="CF89" t="str">
            <v/>
          </cell>
          <cell r="CG89">
            <v>33</v>
          </cell>
          <cell r="CH89">
            <v>72</v>
          </cell>
          <cell r="CI89">
            <v>-0.5417</v>
          </cell>
          <cell r="CJ89">
            <v>104</v>
          </cell>
          <cell r="CK89">
            <v>-0.6827</v>
          </cell>
          <cell r="CL89">
            <v>33</v>
          </cell>
          <cell r="CM89">
            <v>-26</v>
          </cell>
          <cell r="CN89">
            <v>-0.4352</v>
          </cell>
          <cell r="CO89">
            <v>40</v>
          </cell>
          <cell r="CP89">
            <v>72</v>
          </cell>
          <cell r="CQ89">
            <v>-0.4444</v>
          </cell>
          <cell r="CR89">
            <v>23</v>
          </cell>
          <cell r="CS89">
            <v>0.7391</v>
          </cell>
          <cell r="CT89">
            <v>1.2121</v>
          </cell>
          <cell r="CU89">
            <v>0.2121</v>
          </cell>
          <cell r="CV89">
            <v>40</v>
          </cell>
          <cell r="CW89">
            <v>-19</v>
          </cell>
          <cell r="CX89">
            <v>-0.3154</v>
          </cell>
          <cell r="CY89">
            <v>44</v>
          </cell>
          <cell r="CZ89">
            <v>87</v>
          </cell>
          <cell r="DA89">
            <v>-0.4943</v>
          </cell>
          <cell r="DB89">
            <v>25</v>
          </cell>
          <cell r="DC89">
            <v>0.76</v>
          </cell>
          <cell r="DD89">
            <v>1.3333</v>
          </cell>
          <cell r="DE89">
            <v>0.125</v>
          </cell>
          <cell r="DF89">
            <v>44</v>
          </cell>
          <cell r="DG89">
            <v>-27</v>
          </cell>
          <cell r="DH89">
            <v>-0.3768</v>
          </cell>
          <cell r="DI89">
            <v>31</v>
          </cell>
          <cell r="DJ89">
            <v>53</v>
          </cell>
          <cell r="DK89">
            <v>-0.4151</v>
          </cell>
          <cell r="DL89">
            <v>20</v>
          </cell>
          <cell r="DM89">
            <v>0.55</v>
          </cell>
          <cell r="DN89">
            <v>17</v>
          </cell>
          <cell r="DO89">
            <v>35</v>
          </cell>
          <cell r="DP89">
            <v>-0.5143</v>
          </cell>
          <cell r="DQ89">
            <v>24</v>
          </cell>
          <cell r="DR89">
            <v>-0.2917</v>
          </cell>
          <cell r="DS89">
            <v>17</v>
          </cell>
          <cell r="DT89">
            <v>35</v>
          </cell>
          <cell r="DU89">
            <v>-0.5143</v>
          </cell>
          <cell r="DV89">
            <v>24</v>
          </cell>
          <cell r="DW89">
            <v>-0.2917</v>
          </cell>
          <cell r="DX89">
            <v>20</v>
          </cell>
          <cell r="DY89">
            <v>20</v>
          </cell>
          <cell r="DZ89">
            <v>0</v>
          </cell>
          <cell r="EA89">
            <v>27</v>
          </cell>
          <cell r="EB89">
            <v>-0.2593</v>
          </cell>
          <cell r="EC89">
            <v>8</v>
          </cell>
          <cell r="ED89">
            <v>16</v>
          </cell>
          <cell r="EE89">
            <v>-0.5</v>
          </cell>
          <cell r="EF89">
            <v>15</v>
          </cell>
          <cell r="EG89">
            <v>-0.4667</v>
          </cell>
          <cell r="EH89">
            <v>0.2</v>
          </cell>
          <cell r="EI89">
            <v>-0.0222</v>
          </cell>
          <cell r="EJ89">
            <v>8</v>
          </cell>
          <cell r="EK89">
            <v>-5</v>
          </cell>
          <cell r="EL89">
            <v>-0.3838</v>
          </cell>
          <cell r="EM89">
            <v>8</v>
          </cell>
          <cell r="EN89">
            <v>16</v>
          </cell>
          <cell r="EO89">
            <v>-0.5</v>
          </cell>
          <cell r="EP89">
            <v>15</v>
          </cell>
          <cell r="EQ89">
            <v>-0.4667</v>
          </cell>
          <cell r="ER89">
            <v>25</v>
          </cell>
          <cell r="ES89">
            <v>26</v>
          </cell>
          <cell r="ET89">
            <v>-0.0385</v>
          </cell>
          <cell r="EU89">
            <v>35</v>
          </cell>
          <cell r="EV89">
            <v>-0.2857</v>
          </cell>
          <cell r="EW89">
            <v>0.625</v>
          </cell>
          <cell r="EX89">
            <v>0.2639</v>
          </cell>
          <cell r="EY89">
            <v>25</v>
          </cell>
          <cell r="EZ89">
            <v>4</v>
          </cell>
          <cell r="FA89">
            <v>0.1849</v>
          </cell>
        </row>
        <row r="90">
          <cell r="A90" t="str">
            <v>诈骗</v>
          </cell>
          <cell r="B90" t="str">
            <v>云城区</v>
          </cell>
        </row>
        <row r="90">
          <cell r="AM90">
            <v>12</v>
          </cell>
          <cell r="AN90">
            <v>4</v>
          </cell>
          <cell r="AO90">
            <v>2</v>
          </cell>
          <cell r="AP90">
            <v>61</v>
          </cell>
          <cell r="AQ90">
            <v>-0.8033</v>
          </cell>
          <cell r="AR90">
            <v>0.4615</v>
          </cell>
          <cell r="AS90">
            <v>0.3439</v>
          </cell>
          <cell r="AT90">
            <v>3</v>
          </cell>
          <cell r="AU90">
            <v>8</v>
          </cell>
          <cell r="AV90">
            <v>-0.625</v>
          </cell>
          <cell r="AW90">
            <v>23</v>
          </cell>
          <cell r="AX90">
            <v>-0.8696</v>
          </cell>
          <cell r="AY90">
            <v>0</v>
          </cell>
          <cell r="AZ90">
            <v>0</v>
          </cell>
          <cell r="BA90" t="str">
            <v>持平</v>
          </cell>
          <cell r="BB90">
            <v>7</v>
          </cell>
          <cell r="BC90" t="str">
            <v>少7起</v>
          </cell>
          <cell r="BD90">
            <v>0</v>
          </cell>
          <cell r="BE90">
            <v>0</v>
          </cell>
          <cell r="BF90">
            <v>23</v>
          </cell>
          <cell r="BG90">
            <v>26</v>
          </cell>
          <cell r="BH90">
            <v>-0.1154</v>
          </cell>
          <cell r="BI90">
            <v>0</v>
          </cell>
          <cell r="BJ90" t="str">
            <v>多23起</v>
          </cell>
          <cell r="BK90">
            <v>0.8846</v>
          </cell>
          <cell r="BL90">
            <v>12</v>
          </cell>
          <cell r="BM90">
            <v>4</v>
          </cell>
          <cell r="BN90">
            <v>2</v>
          </cell>
          <cell r="BO90">
            <v>54</v>
          </cell>
          <cell r="BP90">
            <v>-0.7778</v>
          </cell>
          <cell r="BQ90">
            <v>0</v>
          </cell>
          <cell r="BR90">
            <v>4</v>
          </cell>
          <cell r="BS90" t="str">
            <v>少4起</v>
          </cell>
          <cell r="BT90">
            <v>2</v>
          </cell>
          <cell r="BU90" t="str">
            <v>少2起</v>
          </cell>
          <cell r="BV90">
            <v>0</v>
          </cell>
          <cell r="BW90">
            <v>-0.1176</v>
          </cell>
          <cell r="BX90">
            <v>0</v>
          </cell>
          <cell r="BY90">
            <v>-0.5</v>
          </cell>
          <cell r="BZ90">
            <v>0</v>
          </cell>
          <cell r="CA90">
            <v>0</v>
          </cell>
          <cell r="CB90" t="str">
            <v>持平</v>
          </cell>
          <cell r="CC90">
            <v>1</v>
          </cell>
          <cell r="CD90" t="str">
            <v>少1起</v>
          </cell>
          <cell r="CE90" t="str">
            <v/>
          </cell>
          <cell r="CF90" t="str">
            <v/>
          </cell>
          <cell r="CG90">
            <v>10</v>
          </cell>
          <cell r="CH90">
            <v>3</v>
          </cell>
          <cell r="CI90">
            <v>2.3333</v>
          </cell>
          <cell r="CJ90">
            <v>24</v>
          </cell>
          <cell r="CK90">
            <v>-0.5833</v>
          </cell>
          <cell r="CL90">
            <v>38</v>
          </cell>
          <cell r="CM90">
            <v>30</v>
          </cell>
          <cell r="CN90">
            <v>3.359</v>
          </cell>
          <cell r="CO90">
            <v>15</v>
          </cell>
          <cell r="CP90">
            <v>5</v>
          </cell>
          <cell r="CQ90">
            <v>2</v>
          </cell>
          <cell r="CR90">
            <v>5</v>
          </cell>
          <cell r="CS90">
            <v>2</v>
          </cell>
          <cell r="CT90">
            <v>1.5</v>
          </cell>
          <cell r="CU90">
            <v>-0.1667</v>
          </cell>
          <cell r="CV90">
            <v>58</v>
          </cell>
          <cell r="CW90">
            <v>43</v>
          </cell>
          <cell r="CX90">
            <v>2.9231</v>
          </cell>
          <cell r="CY90">
            <v>15</v>
          </cell>
          <cell r="CZ90">
            <v>5</v>
          </cell>
          <cell r="DA90">
            <v>2</v>
          </cell>
          <cell r="DB90">
            <v>5</v>
          </cell>
          <cell r="DC90">
            <v>2</v>
          </cell>
          <cell r="DD90">
            <v>1.5</v>
          </cell>
          <cell r="DE90">
            <v>-0.1667</v>
          </cell>
          <cell r="DF90">
            <v>58</v>
          </cell>
          <cell r="DG90">
            <v>43</v>
          </cell>
          <cell r="DH90">
            <v>2.9231</v>
          </cell>
          <cell r="DI90">
            <v>0</v>
          </cell>
          <cell r="DJ90">
            <v>0</v>
          </cell>
          <cell r="DK90" t="str">
            <v>持平</v>
          </cell>
          <cell r="DL90">
            <v>0</v>
          </cell>
          <cell r="DM90" t="str">
            <v>持平</v>
          </cell>
          <cell r="DN90">
            <v>4</v>
          </cell>
          <cell r="DO90">
            <v>1</v>
          </cell>
          <cell r="DP90">
            <v>3</v>
          </cell>
          <cell r="DQ90">
            <v>1</v>
          </cell>
          <cell r="DR90">
            <v>3</v>
          </cell>
          <cell r="DS90">
            <v>4</v>
          </cell>
          <cell r="DT90">
            <v>1</v>
          </cell>
          <cell r="DU90">
            <v>3</v>
          </cell>
          <cell r="DV90">
            <v>1</v>
          </cell>
          <cell r="DW90">
            <v>3</v>
          </cell>
          <cell r="DX90">
            <v>5</v>
          </cell>
          <cell r="DY90">
            <v>5</v>
          </cell>
          <cell r="DZ90">
            <v>0</v>
          </cell>
          <cell r="EA90">
            <v>1</v>
          </cell>
          <cell r="EB90">
            <v>4</v>
          </cell>
          <cell r="EC90">
            <v>3</v>
          </cell>
          <cell r="ED90">
            <v>5</v>
          </cell>
          <cell r="EE90">
            <v>-0.4</v>
          </cell>
          <cell r="EF90">
            <v>0</v>
          </cell>
          <cell r="EG90" t="str">
            <v>多3人</v>
          </cell>
          <cell r="EH90">
            <v>0.2</v>
          </cell>
          <cell r="EI90">
            <v>-0.8</v>
          </cell>
          <cell r="EJ90">
            <v>12</v>
          </cell>
          <cell r="EK90">
            <v>-3</v>
          </cell>
          <cell r="EL90">
            <v>-0.2154</v>
          </cell>
          <cell r="EM90">
            <v>3</v>
          </cell>
          <cell r="EN90">
            <v>5</v>
          </cell>
          <cell r="EO90">
            <v>-0.4</v>
          </cell>
          <cell r="EP90">
            <v>0</v>
          </cell>
          <cell r="EQ90" t="str">
            <v>多3人</v>
          </cell>
          <cell r="ER90">
            <v>0</v>
          </cell>
          <cell r="ES90">
            <v>7</v>
          </cell>
          <cell r="ET90" t="str">
            <v>少7人</v>
          </cell>
          <cell r="EU90">
            <v>11</v>
          </cell>
          <cell r="EV90" t="str">
            <v>少11人</v>
          </cell>
          <cell r="EW90">
            <v>0</v>
          </cell>
          <cell r="EX90">
            <v>-1.4</v>
          </cell>
          <cell r="EY90">
            <v>0</v>
          </cell>
          <cell r="EZ90">
            <v>-21</v>
          </cell>
          <cell r="FA90">
            <v>-1</v>
          </cell>
        </row>
        <row r="91">
          <cell r="A91" t="str">
            <v>诈骗</v>
          </cell>
          <cell r="B91" t="str">
            <v>云安区</v>
          </cell>
        </row>
        <row r="91">
          <cell r="AM91">
            <v>10</v>
          </cell>
          <cell r="AN91">
            <v>6</v>
          </cell>
          <cell r="AO91">
            <v>0.6667</v>
          </cell>
          <cell r="AP91">
            <v>1</v>
          </cell>
          <cell r="AQ91">
            <v>9</v>
          </cell>
          <cell r="AR91">
            <v>2.5</v>
          </cell>
          <cell r="AS91">
            <v>-0.5</v>
          </cell>
          <cell r="AT91">
            <v>4</v>
          </cell>
          <cell r="AU91">
            <v>2</v>
          </cell>
          <cell r="AV91">
            <v>1</v>
          </cell>
          <cell r="AW91">
            <v>3</v>
          </cell>
          <cell r="AX91">
            <v>0.3333</v>
          </cell>
          <cell r="AY91">
            <v>2</v>
          </cell>
          <cell r="AZ91">
            <v>0</v>
          </cell>
          <cell r="BA91" t="str">
            <v>多2起</v>
          </cell>
          <cell r="BB91">
            <v>1</v>
          </cell>
          <cell r="BC91">
            <v>1</v>
          </cell>
          <cell r="BD91">
            <v>0.5</v>
          </cell>
          <cell r="BE91">
            <v>0.5</v>
          </cell>
          <cell r="BF91">
            <v>0</v>
          </cell>
          <cell r="BG91">
            <v>0</v>
          </cell>
          <cell r="BH91" t="str">
            <v>持平</v>
          </cell>
          <cell r="BI91">
            <v>2</v>
          </cell>
          <cell r="BJ91" t="str">
            <v>少2起</v>
          </cell>
          <cell r="BK91">
            <v>0</v>
          </cell>
          <cell r="BL91">
            <v>8</v>
          </cell>
          <cell r="BM91">
            <v>6</v>
          </cell>
          <cell r="BN91">
            <v>0.3333</v>
          </cell>
          <cell r="BO91">
            <v>0</v>
          </cell>
          <cell r="BP91" t="str">
            <v>多8起</v>
          </cell>
          <cell r="BQ91">
            <v>3</v>
          </cell>
          <cell r="BR91">
            <v>2</v>
          </cell>
          <cell r="BS91">
            <v>0.5</v>
          </cell>
          <cell r="BT91">
            <v>0</v>
          </cell>
          <cell r="BU91" t="str">
            <v>多3起</v>
          </cell>
          <cell r="BV91">
            <v>0.75</v>
          </cell>
          <cell r="BW91">
            <v>-0.25</v>
          </cell>
          <cell r="BX91">
            <v>0.75</v>
          </cell>
          <cell r="BY91">
            <v>-0.25</v>
          </cell>
          <cell r="BZ91">
            <v>0</v>
          </cell>
          <cell r="CA91">
            <v>0</v>
          </cell>
          <cell r="CB91" t="str">
            <v>持平</v>
          </cell>
          <cell r="CC91">
            <v>0</v>
          </cell>
          <cell r="CD91" t="str">
            <v>持平</v>
          </cell>
          <cell r="CE91" t="str">
            <v/>
          </cell>
          <cell r="CF91" t="str">
            <v/>
          </cell>
          <cell r="CG91">
            <v>2</v>
          </cell>
          <cell r="CH91">
            <v>0</v>
          </cell>
          <cell r="CI91" t="str">
            <v>多2人</v>
          </cell>
          <cell r="CJ91">
            <v>6</v>
          </cell>
          <cell r="CK91">
            <v>-0.6667</v>
          </cell>
          <cell r="CL91">
            <v>50</v>
          </cell>
          <cell r="CM91">
            <v>50</v>
          </cell>
          <cell r="CN91" t="str">
            <v/>
          </cell>
          <cell r="CO91">
            <v>2</v>
          </cell>
          <cell r="CP91">
            <v>0</v>
          </cell>
          <cell r="CQ91" t="str">
            <v>多2人</v>
          </cell>
          <cell r="CR91">
            <v>11</v>
          </cell>
          <cell r="CS91">
            <v>-0.8182</v>
          </cell>
          <cell r="CT91">
            <v>1</v>
          </cell>
          <cell r="CU91" t="str">
            <v/>
          </cell>
          <cell r="CV91">
            <v>50</v>
          </cell>
          <cell r="CW91">
            <v>50</v>
          </cell>
          <cell r="CX91" t="str">
            <v/>
          </cell>
          <cell r="CY91">
            <v>3</v>
          </cell>
          <cell r="CZ91">
            <v>0</v>
          </cell>
          <cell r="DA91" t="str">
            <v>多3人</v>
          </cell>
          <cell r="DB91">
            <v>12</v>
          </cell>
          <cell r="DC91">
            <v>-0.75</v>
          </cell>
          <cell r="DD91">
            <v>1.5</v>
          </cell>
          <cell r="DE91" t="str">
            <v/>
          </cell>
          <cell r="DF91">
            <v>75</v>
          </cell>
          <cell r="DG91">
            <v>75</v>
          </cell>
          <cell r="DH91" t="str">
            <v/>
          </cell>
          <cell r="DI91">
            <v>0</v>
          </cell>
          <cell r="DJ91">
            <v>0</v>
          </cell>
          <cell r="DK91" t="str">
            <v>持平</v>
          </cell>
          <cell r="DL91">
            <v>0</v>
          </cell>
          <cell r="DM91" t="str">
            <v>持平</v>
          </cell>
          <cell r="DN91">
            <v>2</v>
          </cell>
          <cell r="DO91">
            <v>10</v>
          </cell>
          <cell r="DP91">
            <v>-0.8</v>
          </cell>
          <cell r="DQ91">
            <v>2</v>
          </cell>
          <cell r="DR91">
            <v>0</v>
          </cell>
          <cell r="DS91">
            <v>2</v>
          </cell>
          <cell r="DT91">
            <v>10</v>
          </cell>
          <cell r="DU91">
            <v>-0.8</v>
          </cell>
          <cell r="DV91">
            <v>2</v>
          </cell>
          <cell r="DW91">
            <v>0</v>
          </cell>
          <cell r="DX91">
            <v>6</v>
          </cell>
          <cell r="DY91">
            <v>1</v>
          </cell>
          <cell r="DZ91">
            <v>5</v>
          </cell>
          <cell r="EA91">
            <v>3</v>
          </cell>
          <cell r="EB91">
            <v>1</v>
          </cell>
          <cell r="EC91">
            <v>2</v>
          </cell>
          <cell r="ED91">
            <v>0</v>
          </cell>
          <cell r="EE91" t="str">
            <v>多2人</v>
          </cell>
          <cell r="EF91">
            <v>1</v>
          </cell>
          <cell r="EG91">
            <v>1</v>
          </cell>
          <cell r="EH91">
            <v>1</v>
          </cell>
          <cell r="EI91" t="str">
            <v/>
          </cell>
          <cell r="EJ91">
            <v>50</v>
          </cell>
          <cell r="EK91">
            <v>50</v>
          </cell>
          <cell r="EL91" t="str">
            <v/>
          </cell>
          <cell r="EM91">
            <v>2</v>
          </cell>
          <cell r="EN91">
            <v>0</v>
          </cell>
          <cell r="EO91" t="str">
            <v>多2人</v>
          </cell>
          <cell r="EP91">
            <v>1</v>
          </cell>
          <cell r="EQ91">
            <v>1</v>
          </cell>
          <cell r="ER91">
            <v>7</v>
          </cell>
          <cell r="ES91">
            <v>2</v>
          </cell>
          <cell r="ET91">
            <v>2.5</v>
          </cell>
          <cell r="EU91">
            <v>1</v>
          </cell>
          <cell r="EV91">
            <v>6</v>
          </cell>
          <cell r="EW91">
            <v>3.5</v>
          </cell>
          <cell r="EX91" t="str">
            <v/>
          </cell>
          <cell r="EY91">
            <v>175</v>
          </cell>
          <cell r="EZ91">
            <v>75</v>
          </cell>
          <cell r="FA91">
            <v>0.75</v>
          </cell>
        </row>
        <row r="92">
          <cell r="A92" t="str">
            <v>诈骗</v>
          </cell>
          <cell r="B92" t="str">
            <v>新兴县</v>
          </cell>
        </row>
        <row r="92">
          <cell r="AM92">
            <v>11</v>
          </cell>
          <cell r="AN92">
            <v>8</v>
          </cell>
          <cell r="AO92">
            <v>0.375</v>
          </cell>
          <cell r="AP92">
            <v>46</v>
          </cell>
          <cell r="AQ92">
            <v>-0.7609</v>
          </cell>
          <cell r="AR92">
            <v>0.3056</v>
          </cell>
          <cell r="AS92">
            <v>0.0893</v>
          </cell>
          <cell r="AT92">
            <v>27</v>
          </cell>
          <cell r="AU92">
            <v>19</v>
          </cell>
          <cell r="AV92">
            <v>0.4211</v>
          </cell>
          <cell r="AW92">
            <v>22</v>
          </cell>
          <cell r="AX92">
            <v>0.2273</v>
          </cell>
          <cell r="AY92">
            <v>2</v>
          </cell>
          <cell r="AZ92">
            <v>2</v>
          </cell>
          <cell r="BA92">
            <v>0</v>
          </cell>
          <cell r="BB92">
            <v>19</v>
          </cell>
          <cell r="BC92">
            <v>-0.8947</v>
          </cell>
          <cell r="BD92">
            <v>0.0741</v>
          </cell>
          <cell r="BE92">
            <v>-0.0312</v>
          </cell>
          <cell r="BF92">
            <v>9</v>
          </cell>
          <cell r="BG92">
            <v>18</v>
          </cell>
          <cell r="BH92">
            <v>-0.5</v>
          </cell>
          <cell r="BI92">
            <v>0</v>
          </cell>
          <cell r="BJ92" t="str">
            <v>多9起</v>
          </cell>
          <cell r="BK92">
            <v>0.25</v>
          </cell>
          <cell r="BL92">
            <v>9</v>
          </cell>
          <cell r="BM92">
            <v>6</v>
          </cell>
          <cell r="BN92">
            <v>0.5</v>
          </cell>
          <cell r="BO92">
            <v>27</v>
          </cell>
          <cell r="BP92">
            <v>-0.6667</v>
          </cell>
          <cell r="BQ92">
            <v>3</v>
          </cell>
          <cell r="BR92">
            <v>5</v>
          </cell>
          <cell r="BS92">
            <v>-0.4</v>
          </cell>
          <cell r="BT92">
            <v>5</v>
          </cell>
          <cell r="BU92">
            <v>-0.4</v>
          </cell>
          <cell r="BV92">
            <v>0.0833</v>
          </cell>
          <cell r="BW92">
            <v>-0.0518</v>
          </cell>
          <cell r="BX92">
            <v>0.1111</v>
          </cell>
          <cell r="BY92">
            <v>-0.152</v>
          </cell>
          <cell r="BZ92">
            <v>0</v>
          </cell>
          <cell r="CA92">
            <v>0</v>
          </cell>
          <cell r="CB92" t="str">
            <v>持平</v>
          </cell>
          <cell r="CC92">
            <v>0</v>
          </cell>
          <cell r="CD92" t="str">
            <v>持平</v>
          </cell>
          <cell r="CE92" t="str">
            <v/>
          </cell>
          <cell r="CF92" t="str">
            <v/>
          </cell>
          <cell r="CG92">
            <v>14</v>
          </cell>
          <cell r="CH92">
            <v>25</v>
          </cell>
          <cell r="CI92">
            <v>-0.44</v>
          </cell>
          <cell r="CJ92">
            <v>4</v>
          </cell>
          <cell r="CK92">
            <v>2.5</v>
          </cell>
          <cell r="CL92">
            <v>39</v>
          </cell>
          <cell r="CM92">
            <v>-29</v>
          </cell>
          <cell r="CN92">
            <v>-0.4244</v>
          </cell>
          <cell r="CO92">
            <v>18</v>
          </cell>
          <cell r="CP92">
            <v>32</v>
          </cell>
          <cell r="CQ92">
            <v>-0.4375</v>
          </cell>
          <cell r="CR92">
            <v>3</v>
          </cell>
          <cell r="CS92">
            <v>5</v>
          </cell>
          <cell r="CT92">
            <v>1.2857</v>
          </cell>
          <cell r="CU92">
            <v>0.0057</v>
          </cell>
          <cell r="CV92">
            <v>50</v>
          </cell>
          <cell r="CW92">
            <v>-36</v>
          </cell>
          <cell r="CX92">
            <v>-0.4219</v>
          </cell>
          <cell r="CY92">
            <v>20</v>
          </cell>
          <cell r="CZ92">
            <v>33</v>
          </cell>
          <cell r="DA92">
            <v>-0.3939</v>
          </cell>
          <cell r="DB92">
            <v>3</v>
          </cell>
          <cell r="DC92">
            <v>5.6667</v>
          </cell>
          <cell r="DD92">
            <v>1.4286</v>
          </cell>
          <cell r="DE92">
            <v>0.1086</v>
          </cell>
          <cell r="DF92">
            <v>56</v>
          </cell>
          <cell r="DG92">
            <v>-34</v>
          </cell>
          <cell r="DH92">
            <v>-0.3771</v>
          </cell>
          <cell r="DI92">
            <v>10</v>
          </cell>
          <cell r="DJ92">
            <v>15</v>
          </cell>
          <cell r="DK92">
            <v>-0.3333</v>
          </cell>
          <cell r="DL92">
            <v>3</v>
          </cell>
          <cell r="DM92">
            <v>2.3333</v>
          </cell>
          <cell r="DN92">
            <v>4</v>
          </cell>
          <cell r="DO92">
            <v>5</v>
          </cell>
          <cell r="DP92">
            <v>-0.2</v>
          </cell>
          <cell r="DQ92">
            <v>8</v>
          </cell>
          <cell r="DR92">
            <v>-0.5</v>
          </cell>
          <cell r="DS92">
            <v>4</v>
          </cell>
          <cell r="DT92">
            <v>5</v>
          </cell>
          <cell r="DU92">
            <v>-0.2</v>
          </cell>
          <cell r="DV92">
            <v>8</v>
          </cell>
          <cell r="DW92">
            <v>-0.5</v>
          </cell>
          <cell r="DX92">
            <v>5</v>
          </cell>
          <cell r="DY92">
            <v>4</v>
          </cell>
          <cell r="DZ92">
            <v>0.25</v>
          </cell>
          <cell r="EA92">
            <v>6</v>
          </cell>
          <cell r="EB92">
            <v>-0.1667</v>
          </cell>
          <cell r="EC92">
            <v>2</v>
          </cell>
          <cell r="ED92">
            <v>4</v>
          </cell>
          <cell r="EE92">
            <v>-0.5</v>
          </cell>
          <cell r="EF92">
            <v>5</v>
          </cell>
          <cell r="EG92">
            <v>-0.6</v>
          </cell>
          <cell r="EH92">
            <v>0.1111</v>
          </cell>
          <cell r="EI92">
            <v>-0.0139</v>
          </cell>
          <cell r="EJ92">
            <v>6</v>
          </cell>
          <cell r="EK92">
            <v>-5</v>
          </cell>
          <cell r="EL92">
            <v>-0.4861</v>
          </cell>
          <cell r="EM92">
            <v>2</v>
          </cell>
          <cell r="EN92">
            <v>4</v>
          </cell>
          <cell r="EO92">
            <v>-0.5</v>
          </cell>
          <cell r="EP92">
            <v>5</v>
          </cell>
          <cell r="EQ92">
            <v>-0.6</v>
          </cell>
          <cell r="ER92">
            <v>4</v>
          </cell>
          <cell r="ES92">
            <v>8</v>
          </cell>
          <cell r="ET92">
            <v>-0.5</v>
          </cell>
          <cell r="EU92">
            <v>8</v>
          </cell>
          <cell r="EV92">
            <v>-0.5</v>
          </cell>
          <cell r="EW92">
            <v>0.2222</v>
          </cell>
          <cell r="EX92">
            <v>-0.0278</v>
          </cell>
          <cell r="EY92">
            <v>11</v>
          </cell>
          <cell r="EZ92">
            <v>-11</v>
          </cell>
          <cell r="FA92">
            <v>-0.4861</v>
          </cell>
        </row>
        <row r="93">
          <cell r="A93" t="str">
            <v>诈骗</v>
          </cell>
          <cell r="B93" t="str">
            <v>郁南县</v>
          </cell>
        </row>
        <row r="93">
          <cell r="AM93">
            <v>3</v>
          </cell>
          <cell r="AN93">
            <v>3</v>
          </cell>
          <cell r="AO93">
            <v>0</v>
          </cell>
          <cell r="AP93">
            <v>4</v>
          </cell>
          <cell r="AQ93">
            <v>-0.25</v>
          </cell>
          <cell r="AR93">
            <v>0.75</v>
          </cell>
          <cell r="AS93">
            <v>0.45</v>
          </cell>
          <cell r="AT93">
            <v>3</v>
          </cell>
          <cell r="AU93">
            <v>7</v>
          </cell>
          <cell r="AV93">
            <v>-0.5714</v>
          </cell>
          <cell r="AW93">
            <v>7</v>
          </cell>
          <cell r="AX93">
            <v>-0.5714</v>
          </cell>
          <cell r="AY93">
            <v>0</v>
          </cell>
          <cell r="AZ93">
            <v>1</v>
          </cell>
          <cell r="BA93" t="str">
            <v>少1起</v>
          </cell>
          <cell r="BB93">
            <v>2</v>
          </cell>
          <cell r="BC93" t="str">
            <v>少2起</v>
          </cell>
          <cell r="BD93">
            <v>0</v>
          </cell>
          <cell r="BE93">
            <v>-0.1429</v>
          </cell>
          <cell r="BF93">
            <v>1</v>
          </cell>
          <cell r="BG93">
            <v>3</v>
          </cell>
          <cell r="BH93">
            <v>-0.6667</v>
          </cell>
          <cell r="BI93">
            <v>0</v>
          </cell>
          <cell r="BJ93" t="str">
            <v>多1起</v>
          </cell>
          <cell r="BK93">
            <v>0.25</v>
          </cell>
          <cell r="BL93">
            <v>3</v>
          </cell>
          <cell r="BM93">
            <v>2</v>
          </cell>
          <cell r="BN93">
            <v>0.5</v>
          </cell>
          <cell r="BO93">
            <v>2</v>
          </cell>
          <cell r="BP93">
            <v>0.5</v>
          </cell>
          <cell r="BQ93">
            <v>0</v>
          </cell>
          <cell r="BR93">
            <v>1</v>
          </cell>
          <cell r="BS93" t="str">
            <v>少1起</v>
          </cell>
          <cell r="BT93">
            <v>0</v>
          </cell>
          <cell r="BU93" t="str">
            <v>持平</v>
          </cell>
          <cell r="BV93">
            <v>0</v>
          </cell>
          <cell r="BW93">
            <v>-0.1</v>
          </cell>
          <cell r="BX93">
            <v>0</v>
          </cell>
          <cell r="BY93">
            <v>-0.1429</v>
          </cell>
          <cell r="BZ93">
            <v>0</v>
          </cell>
          <cell r="CA93">
            <v>0</v>
          </cell>
          <cell r="CB93" t="str">
            <v>持平</v>
          </cell>
          <cell r="CC93">
            <v>0</v>
          </cell>
          <cell r="CD93" t="str">
            <v>持平</v>
          </cell>
          <cell r="CE93" t="str">
            <v/>
          </cell>
          <cell r="CF93" t="str">
            <v/>
          </cell>
          <cell r="CG93">
            <v>0</v>
          </cell>
          <cell r="CH93">
            <v>2</v>
          </cell>
          <cell r="CI93" t="str">
            <v>少2人</v>
          </cell>
          <cell r="CJ93">
            <v>2</v>
          </cell>
          <cell r="CK93" t="str">
            <v>少2人</v>
          </cell>
          <cell r="CL93">
            <v>0</v>
          </cell>
          <cell r="CM93">
            <v>-20</v>
          </cell>
          <cell r="CN93">
            <v>-1</v>
          </cell>
          <cell r="CO93">
            <v>0</v>
          </cell>
          <cell r="CP93">
            <v>7</v>
          </cell>
          <cell r="CQ93" t="str">
            <v>少7人</v>
          </cell>
          <cell r="CR93">
            <v>1</v>
          </cell>
          <cell r="CS93" t="str">
            <v>少1人</v>
          </cell>
          <cell r="CT93" t="str">
            <v/>
          </cell>
          <cell r="CU93" t="str">
            <v/>
          </cell>
          <cell r="CV93">
            <v>0</v>
          </cell>
          <cell r="CW93">
            <v>-70</v>
          </cell>
          <cell r="CX93">
            <v>-1</v>
          </cell>
          <cell r="CY93">
            <v>0</v>
          </cell>
          <cell r="CZ93">
            <v>7</v>
          </cell>
          <cell r="DA93" t="str">
            <v>少7人</v>
          </cell>
          <cell r="DB93">
            <v>1</v>
          </cell>
          <cell r="DC93" t="str">
            <v>少1人</v>
          </cell>
          <cell r="DD93" t="str">
            <v/>
          </cell>
          <cell r="DE93" t="str">
            <v/>
          </cell>
          <cell r="DF93">
            <v>0</v>
          </cell>
          <cell r="DG93">
            <v>-70</v>
          </cell>
          <cell r="DH93">
            <v>-1</v>
          </cell>
          <cell r="DI93">
            <v>0</v>
          </cell>
          <cell r="DJ93">
            <v>6</v>
          </cell>
          <cell r="DK93" t="str">
            <v>少6人</v>
          </cell>
          <cell r="DL93">
            <v>3</v>
          </cell>
          <cell r="DM93" t="str">
            <v>少3人</v>
          </cell>
          <cell r="DN93">
            <v>1</v>
          </cell>
          <cell r="DO93">
            <v>5</v>
          </cell>
          <cell r="DP93">
            <v>-0.8</v>
          </cell>
          <cell r="DQ93">
            <v>4</v>
          </cell>
          <cell r="DR93">
            <v>-0.75</v>
          </cell>
          <cell r="DS93">
            <v>1</v>
          </cell>
          <cell r="DT93">
            <v>5</v>
          </cell>
          <cell r="DU93">
            <v>-0.8</v>
          </cell>
          <cell r="DV93">
            <v>4</v>
          </cell>
          <cell r="DW93">
            <v>-0.75</v>
          </cell>
          <cell r="DX93">
            <v>0</v>
          </cell>
          <cell r="DY93">
            <v>5</v>
          </cell>
          <cell r="DZ93" t="str">
            <v>少5人</v>
          </cell>
          <cell r="EA93">
            <v>4</v>
          </cell>
          <cell r="EB93" t="str">
            <v>少4人</v>
          </cell>
          <cell r="EC93">
            <v>0</v>
          </cell>
          <cell r="ED93">
            <v>4</v>
          </cell>
          <cell r="EE93" t="str">
            <v>少4人</v>
          </cell>
          <cell r="EF93">
            <v>1</v>
          </cell>
          <cell r="EG93" t="str">
            <v>少1人</v>
          </cell>
          <cell r="EH93" t="str">
            <v/>
          </cell>
          <cell r="EI93" t="str">
            <v/>
          </cell>
          <cell r="EJ93">
            <v>0</v>
          </cell>
          <cell r="EK93">
            <v>-40</v>
          </cell>
          <cell r="EL93">
            <v>-1</v>
          </cell>
          <cell r="EM93">
            <v>0</v>
          </cell>
          <cell r="EN93">
            <v>4</v>
          </cell>
          <cell r="EO93" t="str">
            <v>少4人</v>
          </cell>
          <cell r="EP93">
            <v>1</v>
          </cell>
          <cell r="EQ93" t="str">
            <v>少1人</v>
          </cell>
          <cell r="ER93">
            <v>2</v>
          </cell>
          <cell r="ES93">
            <v>1</v>
          </cell>
          <cell r="ET93">
            <v>1</v>
          </cell>
          <cell r="EU93">
            <v>0</v>
          </cell>
          <cell r="EV93" t="str">
            <v>多2人</v>
          </cell>
          <cell r="EW93" t="str">
            <v/>
          </cell>
          <cell r="EX93" t="str">
            <v/>
          </cell>
          <cell r="EY93">
            <v>50</v>
          </cell>
          <cell r="EZ93">
            <v>40</v>
          </cell>
          <cell r="FA93">
            <v>4</v>
          </cell>
        </row>
        <row r="94">
          <cell r="A94" t="str">
            <v>诈骗</v>
          </cell>
          <cell r="B94" t="str">
            <v>罗定市</v>
          </cell>
        </row>
        <row r="94">
          <cell r="AM94">
            <v>14</v>
          </cell>
          <cell r="AN94">
            <v>5</v>
          </cell>
          <cell r="AO94">
            <v>1.8</v>
          </cell>
          <cell r="AP94">
            <v>45</v>
          </cell>
          <cell r="AQ94">
            <v>-0.6889</v>
          </cell>
          <cell r="AR94">
            <v>0.5</v>
          </cell>
          <cell r="AS94">
            <v>0.3718</v>
          </cell>
          <cell r="AT94">
            <v>12</v>
          </cell>
          <cell r="AU94">
            <v>17</v>
          </cell>
          <cell r="AV94">
            <v>-0.2941</v>
          </cell>
          <cell r="AW94">
            <v>20</v>
          </cell>
          <cell r="AX94">
            <v>-0.4</v>
          </cell>
          <cell r="AY94">
            <v>0</v>
          </cell>
          <cell r="AZ94">
            <v>1</v>
          </cell>
          <cell r="BA94" t="str">
            <v>少1起</v>
          </cell>
          <cell r="BB94">
            <v>10</v>
          </cell>
          <cell r="BC94" t="str">
            <v>少10起</v>
          </cell>
          <cell r="BD94">
            <v>0</v>
          </cell>
          <cell r="BE94">
            <v>-0.0588</v>
          </cell>
          <cell r="BF94">
            <v>16</v>
          </cell>
          <cell r="BG94">
            <v>22</v>
          </cell>
          <cell r="BH94">
            <v>-0.2727</v>
          </cell>
          <cell r="BI94">
            <v>0</v>
          </cell>
          <cell r="BJ94" t="str">
            <v>多16起</v>
          </cell>
          <cell r="BK94">
            <v>0.5714</v>
          </cell>
          <cell r="BL94">
            <v>14</v>
          </cell>
          <cell r="BM94">
            <v>4</v>
          </cell>
          <cell r="BN94">
            <v>2.5</v>
          </cell>
          <cell r="BO94">
            <v>35</v>
          </cell>
          <cell r="BP94">
            <v>-0.6</v>
          </cell>
          <cell r="BQ94">
            <v>6</v>
          </cell>
          <cell r="BR94">
            <v>4</v>
          </cell>
          <cell r="BS94">
            <v>0.5</v>
          </cell>
          <cell r="BT94">
            <v>12</v>
          </cell>
          <cell r="BU94">
            <v>-0.5</v>
          </cell>
          <cell r="BV94">
            <v>0.2143</v>
          </cell>
          <cell r="BW94">
            <v>0.1117</v>
          </cell>
          <cell r="BX94">
            <v>0.5</v>
          </cell>
          <cell r="BY94">
            <v>0.2647</v>
          </cell>
          <cell r="BZ94">
            <v>0</v>
          </cell>
          <cell r="CA94">
            <v>0</v>
          </cell>
          <cell r="CB94" t="str">
            <v>持平</v>
          </cell>
          <cell r="CC94">
            <v>2</v>
          </cell>
          <cell r="CD94" t="str">
            <v>少2起</v>
          </cell>
          <cell r="CE94" t="str">
            <v/>
          </cell>
          <cell r="CF94" t="str">
            <v/>
          </cell>
          <cell r="CG94">
            <v>7</v>
          </cell>
          <cell r="CH94">
            <v>42</v>
          </cell>
          <cell r="CI94">
            <v>-0.8333</v>
          </cell>
          <cell r="CJ94">
            <v>68</v>
          </cell>
          <cell r="CK94">
            <v>-0.8971</v>
          </cell>
          <cell r="CL94">
            <v>25</v>
          </cell>
          <cell r="CM94">
            <v>-83</v>
          </cell>
          <cell r="CN94">
            <v>-0.7679</v>
          </cell>
          <cell r="CO94">
            <v>5</v>
          </cell>
          <cell r="CP94">
            <v>28</v>
          </cell>
          <cell r="CQ94">
            <v>-0.8214</v>
          </cell>
          <cell r="CR94">
            <v>3</v>
          </cell>
          <cell r="CS94">
            <v>0.6667</v>
          </cell>
          <cell r="CT94">
            <v>0.7143</v>
          </cell>
          <cell r="CU94">
            <v>0.0476</v>
          </cell>
          <cell r="CV94">
            <v>18</v>
          </cell>
          <cell r="CW94">
            <v>-54</v>
          </cell>
          <cell r="CX94">
            <v>-0.7513</v>
          </cell>
          <cell r="CY94">
            <v>6</v>
          </cell>
          <cell r="CZ94">
            <v>42</v>
          </cell>
          <cell r="DA94">
            <v>-0.8571</v>
          </cell>
          <cell r="DB94">
            <v>4</v>
          </cell>
          <cell r="DC94">
            <v>0.5</v>
          </cell>
          <cell r="DD94">
            <v>0.8571</v>
          </cell>
          <cell r="DE94">
            <v>-0.1429</v>
          </cell>
          <cell r="DF94">
            <v>21</v>
          </cell>
          <cell r="DG94">
            <v>-86</v>
          </cell>
          <cell r="DH94">
            <v>-0.801</v>
          </cell>
          <cell r="DI94">
            <v>7</v>
          </cell>
          <cell r="DJ94">
            <v>0</v>
          </cell>
          <cell r="DK94" t="str">
            <v>多7人</v>
          </cell>
          <cell r="DL94">
            <v>4</v>
          </cell>
          <cell r="DM94">
            <v>0.75</v>
          </cell>
          <cell r="DN94">
            <v>6</v>
          </cell>
          <cell r="DO94">
            <v>14</v>
          </cell>
          <cell r="DP94">
            <v>-0.5714</v>
          </cell>
          <cell r="DQ94">
            <v>9</v>
          </cell>
          <cell r="DR94">
            <v>-0.3333</v>
          </cell>
          <cell r="DS94">
            <v>6</v>
          </cell>
          <cell r="DT94">
            <v>14</v>
          </cell>
          <cell r="DU94">
            <v>-0.5714</v>
          </cell>
          <cell r="DV94">
            <v>9</v>
          </cell>
          <cell r="DW94">
            <v>-0.3333</v>
          </cell>
          <cell r="DX94">
            <v>4</v>
          </cell>
          <cell r="DY94">
            <v>5</v>
          </cell>
          <cell r="DZ94">
            <v>-0.2</v>
          </cell>
          <cell r="EA94">
            <v>13</v>
          </cell>
          <cell r="EB94">
            <v>-0.6923</v>
          </cell>
          <cell r="EC94">
            <v>1</v>
          </cell>
          <cell r="ED94">
            <v>3</v>
          </cell>
          <cell r="EE94">
            <v>-0.6667</v>
          </cell>
          <cell r="EF94">
            <v>8</v>
          </cell>
          <cell r="EG94">
            <v>-0.875</v>
          </cell>
          <cell r="EH94">
            <v>0.2</v>
          </cell>
          <cell r="EI94">
            <v>0.0929</v>
          </cell>
          <cell r="EJ94">
            <v>4</v>
          </cell>
          <cell r="EK94">
            <v>-4</v>
          </cell>
          <cell r="EL94">
            <v>-0.5357</v>
          </cell>
          <cell r="EM94">
            <v>1</v>
          </cell>
          <cell r="EN94">
            <v>3</v>
          </cell>
          <cell r="EO94">
            <v>-0.6667</v>
          </cell>
          <cell r="EP94">
            <v>8</v>
          </cell>
          <cell r="EQ94">
            <v>-0.875</v>
          </cell>
          <cell r="ER94">
            <v>12</v>
          </cell>
          <cell r="ES94">
            <v>8</v>
          </cell>
          <cell r="ET94">
            <v>0.5</v>
          </cell>
          <cell r="EU94">
            <v>15</v>
          </cell>
          <cell r="EV94">
            <v>-0.2</v>
          </cell>
          <cell r="EW94">
            <v>2.4</v>
          </cell>
          <cell r="EX94">
            <v>2.1143</v>
          </cell>
          <cell r="EY94">
            <v>43</v>
          </cell>
          <cell r="EZ94">
            <v>22</v>
          </cell>
          <cell r="FA94">
            <v>1.0893</v>
          </cell>
        </row>
        <row r="95">
          <cell r="A95" t="str">
            <v>接触性诈骗</v>
          </cell>
          <cell r="B95" t="str">
            <v>全省</v>
          </cell>
        </row>
        <row r="95">
          <cell r="AM95">
            <v>1294</v>
          </cell>
          <cell r="AN95">
            <v>792</v>
          </cell>
          <cell r="AO95">
            <v>0.6338</v>
          </cell>
          <cell r="AP95">
            <v>1900</v>
          </cell>
          <cell r="AQ95">
            <v>-0.3189</v>
          </cell>
          <cell r="AR95">
            <v>0.6957</v>
          </cell>
          <cell r="AS95">
            <v>0.3023</v>
          </cell>
          <cell r="AT95">
            <v>478</v>
          </cell>
          <cell r="AU95">
            <v>483</v>
          </cell>
          <cell r="AV95">
            <v>-0.0104</v>
          </cell>
          <cell r="AW95">
            <v>1757</v>
          </cell>
          <cell r="AX95">
            <v>-0.7279</v>
          </cell>
          <cell r="AY95">
            <v>203</v>
          </cell>
          <cell r="AZ95">
            <v>177</v>
          </cell>
          <cell r="BA95">
            <v>0.1469</v>
          </cell>
          <cell r="BB95">
            <v>1293</v>
          </cell>
          <cell r="BC95">
            <v>-0.843</v>
          </cell>
          <cell r="BD95">
            <v>0.4247</v>
          </cell>
          <cell r="BE95">
            <v>0.0582</v>
          </cell>
          <cell r="BF95">
            <v>1382</v>
          </cell>
          <cell r="BG95">
            <v>1530</v>
          </cell>
          <cell r="BH95">
            <v>-0.0967</v>
          </cell>
          <cell r="BI95">
            <v>506</v>
          </cell>
          <cell r="BJ95">
            <v>1.7312</v>
          </cell>
          <cell r="BK95">
            <v>0.743</v>
          </cell>
          <cell r="BL95">
            <v>1091</v>
          </cell>
          <cell r="BM95">
            <v>615</v>
          </cell>
          <cell r="BN95">
            <v>0.774</v>
          </cell>
          <cell r="BO95">
            <v>607</v>
          </cell>
          <cell r="BP95">
            <v>0.7974</v>
          </cell>
          <cell r="BQ95">
            <v>554</v>
          </cell>
          <cell r="BR95">
            <v>343</v>
          </cell>
          <cell r="BS95">
            <v>0.6152</v>
          </cell>
          <cell r="BT95">
            <v>880</v>
          </cell>
          <cell r="BU95">
            <v>-0.3705</v>
          </cell>
          <cell r="BV95">
            <v>0.2978</v>
          </cell>
          <cell r="BW95">
            <v>0.1275</v>
          </cell>
          <cell r="BX95">
            <v>1.159</v>
          </cell>
          <cell r="BY95">
            <v>0.4489</v>
          </cell>
          <cell r="BZ95">
            <v>3</v>
          </cell>
          <cell r="CA95">
            <v>1</v>
          </cell>
          <cell r="CB95">
            <v>2</v>
          </cell>
          <cell r="CC95">
            <v>91</v>
          </cell>
          <cell r="CD95">
            <v>-0.967</v>
          </cell>
          <cell r="CE95" t="str">
            <v/>
          </cell>
          <cell r="CF95" t="str">
            <v/>
          </cell>
          <cell r="CG95">
            <v>1657</v>
          </cell>
          <cell r="CH95">
            <v>1126</v>
          </cell>
          <cell r="CI95">
            <v>0.4716</v>
          </cell>
          <cell r="CJ95">
            <v>1681</v>
          </cell>
          <cell r="CK95">
            <v>-0.0143</v>
          </cell>
          <cell r="CL95">
            <v>89</v>
          </cell>
          <cell r="CM95">
            <v>33</v>
          </cell>
          <cell r="CN95">
            <v>0.5926</v>
          </cell>
          <cell r="CO95">
            <v>1782</v>
          </cell>
          <cell r="CP95">
            <v>869</v>
          </cell>
          <cell r="CQ95">
            <v>1.0506</v>
          </cell>
          <cell r="CR95">
            <v>1618</v>
          </cell>
          <cell r="CS95">
            <v>0.1014</v>
          </cell>
          <cell r="CT95">
            <v>1.0754</v>
          </cell>
          <cell r="CU95">
            <v>0.3037</v>
          </cell>
          <cell r="CV95">
            <v>96</v>
          </cell>
          <cell r="CW95">
            <v>53</v>
          </cell>
          <cell r="CX95">
            <v>1.2193</v>
          </cell>
          <cell r="CY95">
            <v>1989</v>
          </cell>
          <cell r="CZ95">
            <v>1025</v>
          </cell>
          <cell r="DA95">
            <v>0.9405</v>
          </cell>
          <cell r="DB95">
            <v>1829</v>
          </cell>
          <cell r="DC95">
            <v>0.0875</v>
          </cell>
          <cell r="DD95">
            <v>1.2004</v>
          </cell>
          <cell r="DE95">
            <v>0.2901</v>
          </cell>
          <cell r="DF95">
            <v>107</v>
          </cell>
          <cell r="DG95">
            <v>56</v>
          </cell>
          <cell r="DH95">
            <v>1.1001</v>
          </cell>
          <cell r="DI95">
            <v>0</v>
          </cell>
          <cell r="DJ95">
            <v>0</v>
          </cell>
          <cell r="DK95" t="str">
            <v>持平</v>
          </cell>
          <cell r="DL95">
            <v>0</v>
          </cell>
          <cell r="DM95" t="str">
            <v>持平</v>
          </cell>
          <cell r="DN95">
            <v>1189</v>
          </cell>
          <cell r="DO95">
            <v>734</v>
          </cell>
          <cell r="DP95">
            <v>0.6199</v>
          </cell>
          <cell r="DQ95">
            <v>1336</v>
          </cell>
          <cell r="DR95">
            <v>-0.11</v>
          </cell>
          <cell r="DS95">
            <v>1190</v>
          </cell>
          <cell r="DT95">
            <v>735</v>
          </cell>
          <cell r="DU95">
            <v>0.619</v>
          </cell>
          <cell r="DV95">
            <v>1336</v>
          </cell>
          <cell r="DW95">
            <v>-0.1093</v>
          </cell>
          <cell r="DX95">
            <v>1267</v>
          </cell>
          <cell r="DY95">
            <v>836</v>
          </cell>
          <cell r="DZ95">
            <v>0.5156</v>
          </cell>
          <cell r="EA95">
            <v>1273</v>
          </cell>
          <cell r="EB95">
            <v>-0.0047</v>
          </cell>
          <cell r="EC95">
            <v>505</v>
          </cell>
          <cell r="ED95">
            <v>519</v>
          </cell>
          <cell r="EE95">
            <v>-0.027</v>
          </cell>
          <cell r="EF95">
            <v>606</v>
          </cell>
          <cell r="EG95">
            <v>-0.1667</v>
          </cell>
          <cell r="EH95">
            <v>0.2834</v>
          </cell>
          <cell r="EI95">
            <v>-0.3138</v>
          </cell>
          <cell r="EJ95">
            <v>27</v>
          </cell>
          <cell r="EK95">
            <v>1</v>
          </cell>
          <cell r="EL95">
            <v>0.0531</v>
          </cell>
          <cell r="EM95">
            <v>507</v>
          </cell>
          <cell r="EN95">
            <v>522</v>
          </cell>
          <cell r="EO95">
            <v>-0.0287</v>
          </cell>
          <cell r="EP95">
            <v>602</v>
          </cell>
          <cell r="EQ95">
            <v>-0.1578</v>
          </cell>
          <cell r="ER95">
            <v>700</v>
          </cell>
          <cell r="ES95">
            <v>443</v>
          </cell>
          <cell r="ET95">
            <v>0.5801</v>
          </cell>
          <cell r="EU95">
            <v>1290</v>
          </cell>
          <cell r="EV95">
            <v>-0.4574</v>
          </cell>
          <cell r="EW95">
            <v>0.3928</v>
          </cell>
          <cell r="EX95">
            <v>-0.117</v>
          </cell>
          <cell r="EY95">
            <v>38</v>
          </cell>
          <cell r="EZ95">
            <v>16</v>
          </cell>
          <cell r="FA95">
            <v>0.7101</v>
          </cell>
        </row>
        <row r="96">
          <cell r="A96" t="str">
            <v>接触性诈骗</v>
          </cell>
          <cell r="B96" t="str">
            <v>云浮</v>
          </cell>
        </row>
        <row r="96">
          <cell r="AM96">
            <v>13</v>
          </cell>
          <cell r="AN96">
            <v>13</v>
          </cell>
          <cell r="AO96">
            <v>0</v>
          </cell>
          <cell r="AP96">
            <v>8</v>
          </cell>
          <cell r="AQ96">
            <v>0.625</v>
          </cell>
          <cell r="AR96">
            <v>0.65</v>
          </cell>
          <cell r="AS96">
            <v>-0.0722</v>
          </cell>
          <cell r="AT96">
            <v>4</v>
          </cell>
          <cell r="AU96">
            <v>5</v>
          </cell>
          <cell r="AV96">
            <v>-0.2</v>
          </cell>
          <cell r="AW96">
            <v>9</v>
          </cell>
          <cell r="AX96">
            <v>-0.5556</v>
          </cell>
          <cell r="AY96">
            <v>1</v>
          </cell>
          <cell r="AZ96">
            <v>2</v>
          </cell>
          <cell r="BA96">
            <v>-0.5</v>
          </cell>
          <cell r="BB96">
            <v>8</v>
          </cell>
          <cell r="BC96">
            <v>-0.875</v>
          </cell>
          <cell r="BD96">
            <v>0.25</v>
          </cell>
          <cell r="BE96">
            <v>-0.15</v>
          </cell>
          <cell r="BF96">
            <v>16</v>
          </cell>
          <cell r="BG96">
            <v>13</v>
          </cell>
          <cell r="BH96">
            <v>0.2308</v>
          </cell>
          <cell r="BI96">
            <v>1</v>
          </cell>
          <cell r="BJ96">
            <v>15</v>
          </cell>
          <cell r="BK96">
            <v>0.8</v>
          </cell>
          <cell r="BL96">
            <v>12</v>
          </cell>
          <cell r="BM96">
            <v>11</v>
          </cell>
          <cell r="BN96">
            <v>0.0909</v>
          </cell>
          <cell r="BO96">
            <v>0</v>
          </cell>
          <cell r="BP96" t="str">
            <v>多12起</v>
          </cell>
          <cell r="BQ96">
            <v>8</v>
          </cell>
          <cell r="BR96">
            <v>5</v>
          </cell>
          <cell r="BS96">
            <v>0.6</v>
          </cell>
          <cell r="BT96">
            <v>7</v>
          </cell>
          <cell r="BU96">
            <v>0.1429</v>
          </cell>
          <cell r="BV96">
            <v>0.4</v>
          </cell>
          <cell r="BW96">
            <v>0.1222</v>
          </cell>
          <cell r="BX96">
            <v>2</v>
          </cell>
          <cell r="BY96">
            <v>1</v>
          </cell>
          <cell r="BZ96">
            <v>0</v>
          </cell>
          <cell r="CA96">
            <v>0</v>
          </cell>
          <cell r="CB96" t="str">
            <v>持平</v>
          </cell>
          <cell r="CC96">
            <v>2</v>
          </cell>
          <cell r="CD96" t="str">
            <v>少2起</v>
          </cell>
          <cell r="CE96" t="str">
            <v/>
          </cell>
          <cell r="CF96" t="str">
            <v/>
          </cell>
          <cell r="CG96">
            <v>14</v>
          </cell>
          <cell r="CH96">
            <v>10</v>
          </cell>
          <cell r="CI96">
            <v>0.4</v>
          </cell>
          <cell r="CJ96">
            <v>9</v>
          </cell>
          <cell r="CK96">
            <v>0.5556</v>
          </cell>
          <cell r="CL96">
            <v>70</v>
          </cell>
          <cell r="CM96">
            <v>14</v>
          </cell>
          <cell r="CN96">
            <v>0.26</v>
          </cell>
          <cell r="CO96">
            <v>16</v>
          </cell>
          <cell r="CP96">
            <v>20</v>
          </cell>
          <cell r="CQ96">
            <v>-0.2</v>
          </cell>
          <cell r="CR96">
            <v>8</v>
          </cell>
          <cell r="CS96">
            <v>1</v>
          </cell>
          <cell r="CT96">
            <v>1.1429</v>
          </cell>
          <cell r="CU96">
            <v>-0.8571</v>
          </cell>
          <cell r="CV96">
            <v>80</v>
          </cell>
          <cell r="CW96">
            <v>-31</v>
          </cell>
          <cell r="CX96">
            <v>-0.28</v>
          </cell>
          <cell r="CY96">
            <v>17</v>
          </cell>
          <cell r="CZ96">
            <v>23</v>
          </cell>
          <cell r="DA96">
            <v>-0.2609</v>
          </cell>
          <cell r="DB96">
            <v>9</v>
          </cell>
          <cell r="DC96">
            <v>0.8889</v>
          </cell>
          <cell r="DD96">
            <v>1.2143</v>
          </cell>
          <cell r="DE96">
            <v>-1.0857</v>
          </cell>
          <cell r="DF96">
            <v>85</v>
          </cell>
          <cell r="DG96">
            <v>-43</v>
          </cell>
          <cell r="DH96">
            <v>-0.3348</v>
          </cell>
          <cell r="DI96">
            <v>0</v>
          </cell>
          <cell r="DJ96">
            <v>0</v>
          </cell>
          <cell r="DK96" t="str">
            <v>持平</v>
          </cell>
          <cell r="DL96">
            <v>0</v>
          </cell>
          <cell r="DM96" t="str">
            <v>持平</v>
          </cell>
          <cell r="DN96">
            <v>6</v>
          </cell>
          <cell r="DO96">
            <v>8</v>
          </cell>
          <cell r="DP96">
            <v>-0.25</v>
          </cell>
          <cell r="DQ96">
            <v>11</v>
          </cell>
          <cell r="DR96">
            <v>-0.4545</v>
          </cell>
          <cell r="DS96">
            <v>6</v>
          </cell>
          <cell r="DT96">
            <v>8</v>
          </cell>
          <cell r="DU96">
            <v>-0.25</v>
          </cell>
          <cell r="DV96">
            <v>11</v>
          </cell>
          <cell r="DW96">
            <v>-0.4545</v>
          </cell>
          <cell r="DX96">
            <v>7</v>
          </cell>
          <cell r="DY96">
            <v>15</v>
          </cell>
          <cell r="DZ96">
            <v>-0.5333</v>
          </cell>
          <cell r="EA96">
            <v>16</v>
          </cell>
          <cell r="EB96">
            <v>-0.5625</v>
          </cell>
          <cell r="EC96">
            <v>6</v>
          </cell>
          <cell r="ED96">
            <v>12</v>
          </cell>
          <cell r="EE96">
            <v>-0.5</v>
          </cell>
          <cell r="EF96">
            <v>8</v>
          </cell>
          <cell r="EG96">
            <v>-0.25</v>
          </cell>
          <cell r="EH96">
            <v>0.375</v>
          </cell>
          <cell r="EI96">
            <v>-0.225</v>
          </cell>
          <cell r="EJ96">
            <v>30</v>
          </cell>
          <cell r="EK96">
            <v>-37</v>
          </cell>
          <cell r="EL96">
            <v>-0.55</v>
          </cell>
          <cell r="EM96">
            <v>6</v>
          </cell>
          <cell r="EN96">
            <v>12</v>
          </cell>
          <cell r="EO96">
            <v>-0.5</v>
          </cell>
          <cell r="EP96">
            <v>8</v>
          </cell>
          <cell r="EQ96">
            <v>-0.25</v>
          </cell>
          <cell r="ER96">
            <v>13</v>
          </cell>
          <cell r="ES96">
            <v>6</v>
          </cell>
          <cell r="ET96">
            <v>1.1667</v>
          </cell>
          <cell r="EU96">
            <v>9</v>
          </cell>
          <cell r="EV96">
            <v>0.4444</v>
          </cell>
          <cell r="EW96">
            <v>0.8125</v>
          </cell>
          <cell r="EX96">
            <v>0.5125</v>
          </cell>
          <cell r="EY96">
            <v>65</v>
          </cell>
          <cell r="EZ96">
            <v>32</v>
          </cell>
          <cell r="FA96">
            <v>0.95</v>
          </cell>
        </row>
        <row r="97">
          <cell r="A97" t="str">
            <v>接触性诈骗</v>
          </cell>
          <cell r="B97" t="str">
            <v>云城区</v>
          </cell>
        </row>
        <row r="97">
          <cell r="AM97">
            <v>8</v>
          </cell>
          <cell r="AN97">
            <v>2</v>
          </cell>
          <cell r="AO97">
            <v>3</v>
          </cell>
          <cell r="AP97">
            <v>2</v>
          </cell>
          <cell r="AQ97">
            <v>3</v>
          </cell>
          <cell r="AR97">
            <v>1.1429</v>
          </cell>
          <cell r="AS97">
            <v>0.7429</v>
          </cell>
          <cell r="AT97">
            <v>0</v>
          </cell>
          <cell r="AU97">
            <v>1</v>
          </cell>
          <cell r="AV97" t="str">
            <v>少1起</v>
          </cell>
          <cell r="AW97">
            <v>4</v>
          </cell>
          <cell r="AX97" t="str">
            <v>少4起</v>
          </cell>
          <cell r="AY97">
            <v>0</v>
          </cell>
          <cell r="AZ97">
            <v>0</v>
          </cell>
          <cell r="BA97" t="str">
            <v>持平</v>
          </cell>
          <cell r="BB97">
            <v>2</v>
          </cell>
          <cell r="BC97" t="str">
            <v>少2起</v>
          </cell>
          <cell r="BD97" t="str">
            <v/>
          </cell>
          <cell r="BE97" t="str">
            <v/>
          </cell>
          <cell r="BF97">
            <v>7</v>
          </cell>
          <cell r="BG97">
            <v>4</v>
          </cell>
          <cell r="BH97">
            <v>0.75</v>
          </cell>
          <cell r="BI97">
            <v>0</v>
          </cell>
          <cell r="BJ97" t="str">
            <v>多7起</v>
          </cell>
          <cell r="BK97">
            <v>1</v>
          </cell>
          <cell r="BL97">
            <v>8</v>
          </cell>
          <cell r="BM97">
            <v>2</v>
          </cell>
          <cell r="BN97">
            <v>3</v>
          </cell>
          <cell r="BO97">
            <v>0</v>
          </cell>
          <cell r="BP97" t="str">
            <v>多8起</v>
          </cell>
          <cell r="BQ97">
            <v>0</v>
          </cell>
          <cell r="BR97">
            <v>2</v>
          </cell>
          <cell r="BS97" t="str">
            <v>少2起</v>
          </cell>
          <cell r="BT97">
            <v>2</v>
          </cell>
          <cell r="BU97" t="str">
            <v>少2起</v>
          </cell>
          <cell r="BV97">
            <v>0</v>
          </cell>
          <cell r="BW97">
            <v>-0.4</v>
          </cell>
          <cell r="BX97" t="str">
            <v/>
          </cell>
          <cell r="BY97" t="str">
            <v/>
          </cell>
          <cell r="BZ97">
            <v>0</v>
          </cell>
          <cell r="CA97">
            <v>0</v>
          </cell>
          <cell r="CB97" t="str">
            <v>持平</v>
          </cell>
          <cell r="CC97">
            <v>0</v>
          </cell>
          <cell r="CD97" t="str">
            <v>持平</v>
          </cell>
          <cell r="CE97" t="str">
            <v/>
          </cell>
          <cell r="CF97" t="str">
            <v/>
          </cell>
          <cell r="CG97">
            <v>1</v>
          </cell>
          <cell r="CH97">
            <v>2</v>
          </cell>
          <cell r="CI97">
            <v>-0.5</v>
          </cell>
          <cell r="CJ97">
            <v>2</v>
          </cell>
          <cell r="CK97">
            <v>-0.5</v>
          </cell>
          <cell r="CL97">
            <v>14</v>
          </cell>
          <cell r="CM97">
            <v>-26</v>
          </cell>
          <cell r="CN97">
            <v>-0.6429</v>
          </cell>
          <cell r="CO97">
            <v>4</v>
          </cell>
          <cell r="CP97">
            <v>3</v>
          </cell>
          <cell r="CQ97">
            <v>0.3333</v>
          </cell>
          <cell r="CR97">
            <v>4</v>
          </cell>
          <cell r="CS97">
            <v>0</v>
          </cell>
          <cell r="CT97">
            <v>4</v>
          </cell>
          <cell r="CU97">
            <v>2.5</v>
          </cell>
          <cell r="CV97">
            <v>57</v>
          </cell>
          <cell r="CW97">
            <v>-3</v>
          </cell>
          <cell r="CX97">
            <v>-0.0476</v>
          </cell>
          <cell r="CY97">
            <v>4</v>
          </cell>
          <cell r="CZ97">
            <v>3</v>
          </cell>
          <cell r="DA97">
            <v>0.3333</v>
          </cell>
          <cell r="DB97">
            <v>4</v>
          </cell>
          <cell r="DC97">
            <v>0</v>
          </cell>
          <cell r="DD97">
            <v>4</v>
          </cell>
          <cell r="DE97">
            <v>2.5</v>
          </cell>
          <cell r="DF97">
            <v>57</v>
          </cell>
          <cell r="DG97">
            <v>-3</v>
          </cell>
          <cell r="DH97">
            <v>-0.0476</v>
          </cell>
          <cell r="DI97">
            <v>0</v>
          </cell>
          <cell r="DJ97">
            <v>0</v>
          </cell>
          <cell r="DK97" t="str">
            <v>持平</v>
          </cell>
          <cell r="DL97">
            <v>0</v>
          </cell>
          <cell r="DM97" t="str">
            <v>持平</v>
          </cell>
          <cell r="DN97">
            <v>1</v>
          </cell>
          <cell r="DO97">
            <v>1</v>
          </cell>
          <cell r="DP97">
            <v>0</v>
          </cell>
          <cell r="DQ97">
            <v>1</v>
          </cell>
          <cell r="DR97">
            <v>0</v>
          </cell>
          <cell r="DS97">
            <v>1</v>
          </cell>
          <cell r="DT97">
            <v>1</v>
          </cell>
          <cell r="DU97">
            <v>0</v>
          </cell>
          <cell r="DV97">
            <v>1</v>
          </cell>
          <cell r="DW97">
            <v>0</v>
          </cell>
          <cell r="DX97">
            <v>3</v>
          </cell>
          <cell r="DY97">
            <v>3</v>
          </cell>
          <cell r="DZ97">
            <v>0</v>
          </cell>
          <cell r="EA97">
            <v>0</v>
          </cell>
          <cell r="EB97" t="str">
            <v>多3人</v>
          </cell>
          <cell r="EC97">
            <v>3</v>
          </cell>
          <cell r="ED97">
            <v>3</v>
          </cell>
          <cell r="EE97">
            <v>0</v>
          </cell>
          <cell r="EF97">
            <v>0</v>
          </cell>
          <cell r="EG97" t="str">
            <v>多3人</v>
          </cell>
          <cell r="EH97">
            <v>0.75</v>
          </cell>
          <cell r="EI97">
            <v>-0.25</v>
          </cell>
          <cell r="EJ97">
            <v>43</v>
          </cell>
          <cell r="EK97">
            <v>-17</v>
          </cell>
          <cell r="EL97">
            <v>-0.2857</v>
          </cell>
          <cell r="EM97">
            <v>3</v>
          </cell>
          <cell r="EN97">
            <v>3</v>
          </cell>
          <cell r="EO97">
            <v>0</v>
          </cell>
          <cell r="EP97">
            <v>0</v>
          </cell>
          <cell r="EQ97" t="str">
            <v>多3人</v>
          </cell>
          <cell r="ER97">
            <v>0</v>
          </cell>
          <cell r="ES97">
            <v>3</v>
          </cell>
          <cell r="ET97" t="str">
            <v>少3人</v>
          </cell>
          <cell r="EU97">
            <v>4</v>
          </cell>
          <cell r="EV97" t="str">
            <v>少4人</v>
          </cell>
          <cell r="EW97">
            <v>0</v>
          </cell>
          <cell r="EX97">
            <v>-1</v>
          </cell>
          <cell r="EY97">
            <v>0</v>
          </cell>
          <cell r="EZ97">
            <v>-60</v>
          </cell>
          <cell r="FA97">
            <v>-1</v>
          </cell>
        </row>
        <row r="98">
          <cell r="A98" t="str">
            <v>接触性诈骗</v>
          </cell>
          <cell r="B98" t="str">
            <v>云安区</v>
          </cell>
        </row>
        <row r="98">
          <cell r="AM98">
            <v>1</v>
          </cell>
          <cell r="AN98">
            <v>1</v>
          </cell>
          <cell r="AO98">
            <v>0</v>
          </cell>
          <cell r="AP98">
            <v>1</v>
          </cell>
          <cell r="AQ98">
            <v>0</v>
          </cell>
          <cell r="AR98" t="str">
            <v/>
          </cell>
          <cell r="AS98" t="str">
            <v/>
          </cell>
          <cell r="AT98">
            <v>0</v>
          </cell>
          <cell r="AU98">
            <v>0</v>
          </cell>
          <cell r="AV98" t="str">
            <v>持平</v>
          </cell>
          <cell r="AW98">
            <v>0</v>
          </cell>
          <cell r="AX98" t="str">
            <v>持平</v>
          </cell>
          <cell r="AY98">
            <v>0</v>
          </cell>
          <cell r="AZ98">
            <v>0</v>
          </cell>
          <cell r="BA98" t="str">
            <v>持平</v>
          </cell>
          <cell r="BB98">
            <v>1</v>
          </cell>
          <cell r="BC98" t="str">
            <v>少1起</v>
          </cell>
          <cell r="BD98" t="str">
            <v/>
          </cell>
          <cell r="BE98" t="str">
            <v/>
          </cell>
          <cell r="BF98">
            <v>0</v>
          </cell>
          <cell r="BG98">
            <v>0</v>
          </cell>
          <cell r="BH98" t="str">
            <v>持平</v>
          </cell>
          <cell r="BI98">
            <v>1</v>
          </cell>
          <cell r="BJ98" t="str">
            <v>少1起</v>
          </cell>
          <cell r="BK98" t="str">
            <v/>
          </cell>
          <cell r="BL98">
            <v>1</v>
          </cell>
          <cell r="BM98">
            <v>1</v>
          </cell>
          <cell r="BN98">
            <v>0</v>
          </cell>
          <cell r="BO98">
            <v>0</v>
          </cell>
          <cell r="BP98" t="str">
            <v>多1起</v>
          </cell>
          <cell r="BQ98">
            <v>0</v>
          </cell>
          <cell r="BR98">
            <v>0</v>
          </cell>
          <cell r="BS98" t="str">
            <v>持平</v>
          </cell>
          <cell r="BT98">
            <v>0</v>
          </cell>
          <cell r="BU98" t="str">
            <v>持平</v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>
            <v>0</v>
          </cell>
          <cell r="CA98">
            <v>0</v>
          </cell>
          <cell r="CB98" t="str">
            <v>持平</v>
          </cell>
          <cell r="CC98">
            <v>0</v>
          </cell>
          <cell r="CD98" t="str">
            <v>持平</v>
          </cell>
          <cell r="CE98" t="str">
            <v/>
          </cell>
          <cell r="CF98" t="str">
            <v/>
          </cell>
          <cell r="CG98">
            <v>0</v>
          </cell>
          <cell r="CH98">
            <v>0</v>
          </cell>
          <cell r="CI98" t="str">
            <v>持平</v>
          </cell>
          <cell r="CJ98">
            <v>1</v>
          </cell>
          <cell r="CK98" t="str">
            <v>少1人</v>
          </cell>
          <cell r="CL98" t="str">
            <v/>
          </cell>
          <cell r="CM98" t="str">
            <v/>
          </cell>
          <cell r="CN98" t="str">
            <v/>
          </cell>
          <cell r="CO98">
            <v>0</v>
          </cell>
          <cell r="CP98">
            <v>0</v>
          </cell>
          <cell r="CQ98" t="str">
            <v>持平</v>
          </cell>
          <cell r="CR98">
            <v>2</v>
          </cell>
          <cell r="CS98" t="str">
            <v>少2人</v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>
            <v>0</v>
          </cell>
          <cell r="CZ98">
            <v>0</v>
          </cell>
          <cell r="DA98" t="str">
            <v>持平</v>
          </cell>
          <cell r="DB98">
            <v>3</v>
          </cell>
          <cell r="DC98" t="str">
            <v>少3人</v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>
            <v>0</v>
          </cell>
          <cell r="DJ98">
            <v>0</v>
          </cell>
          <cell r="DK98" t="str">
            <v>持平</v>
          </cell>
          <cell r="DL98">
            <v>0</v>
          </cell>
          <cell r="DM98" t="str">
            <v>持平</v>
          </cell>
          <cell r="DN98">
            <v>0</v>
          </cell>
          <cell r="DO98">
            <v>1</v>
          </cell>
          <cell r="DP98" t="str">
            <v>少1人</v>
          </cell>
          <cell r="DQ98">
            <v>1</v>
          </cell>
          <cell r="DR98" t="str">
            <v>少1人</v>
          </cell>
          <cell r="DS98">
            <v>0</v>
          </cell>
          <cell r="DT98">
            <v>1</v>
          </cell>
          <cell r="DU98" t="str">
            <v>少1人</v>
          </cell>
          <cell r="DV98">
            <v>1</v>
          </cell>
          <cell r="DW98" t="str">
            <v>少1人</v>
          </cell>
          <cell r="DX98">
            <v>0</v>
          </cell>
          <cell r="DY98">
            <v>0</v>
          </cell>
          <cell r="DZ98" t="str">
            <v>持平</v>
          </cell>
          <cell r="EA98">
            <v>2</v>
          </cell>
          <cell r="EB98" t="str">
            <v>少2人</v>
          </cell>
          <cell r="EC98">
            <v>1</v>
          </cell>
          <cell r="ED98">
            <v>0</v>
          </cell>
          <cell r="EE98" t="str">
            <v>多1人</v>
          </cell>
          <cell r="EF98">
            <v>1</v>
          </cell>
          <cell r="EG98">
            <v>0</v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>
            <v>1</v>
          </cell>
          <cell r="EN98">
            <v>0</v>
          </cell>
          <cell r="EO98" t="str">
            <v>多1人</v>
          </cell>
          <cell r="EP98">
            <v>1</v>
          </cell>
          <cell r="EQ98">
            <v>0</v>
          </cell>
          <cell r="ER98">
            <v>0</v>
          </cell>
          <cell r="ES98">
            <v>0</v>
          </cell>
          <cell r="ET98" t="str">
            <v>持平</v>
          </cell>
          <cell r="EU98">
            <v>0</v>
          </cell>
          <cell r="EV98" t="str">
            <v>持平</v>
          </cell>
          <cell r="EW98" t="str">
            <v/>
          </cell>
          <cell r="EX98" t="str">
            <v/>
          </cell>
          <cell r="EY98" t="str">
            <v/>
          </cell>
          <cell r="EZ98" t="str">
            <v/>
          </cell>
          <cell r="FA98" t="str">
            <v/>
          </cell>
        </row>
        <row r="99">
          <cell r="A99" t="str">
            <v>接触性诈骗</v>
          </cell>
          <cell r="B99" t="str">
            <v>新兴县</v>
          </cell>
        </row>
        <row r="99">
          <cell r="AM99">
            <v>3</v>
          </cell>
          <cell r="AN99">
            <v>4</v>
          </cell>
          <cell r="AO99">
            <v>-0.25</v>
          </cell>
          <cell r="AP99">
            <v>3</v>
          </cell>
          <cell r="AQ99">
            <v>0</v>
          </cell>
          <cell r="AR99">
            <v>0.4286</v>
          </cell>
          <cell r="AS99">
            <v>-0.3714</v>
          </cell>
          <cell r="AT99">
            <v>2</v>
          </cell>
          <cell r="AU99">
            <v>3</v>
          </cell>
          <cell r="AV99">
            <v>-0.3333</v>
          </cell>
          <cell r="AW99">
            <v>1</v>
          </cell>
          <cell r="AX99">
            <v>1</v>
          </cell>
          <cell r="AY99">
            <v>1</v>
          </cell>
          <cell r="AZ99">
            <v>1</v>
          </cell>
          <cell r="BA99">
            <v>0</v>
          </cell>
          <cell r="BB99">
            <v>3</v>
          </cell>
          <cell r="BC99">
            <v>-0.6667</v>
          </cell>
          <cell r="BD99">
            <v>0.5</v>
          </cell>
          <cell r="BE99">
            <v>0.1667</v>
          </cell>
          <cell r="BF99">
            <v>5</v>
          </cell>
          <cell r="BG99">
            <v>2</v>
          </cell>
          <cell r="BH99">
            <v>1.5</v>
          </cell>
          <cell r="BI99">
            <v>0</v>
          </cell>
          <cell r="BJ99" t="str">
            <v>多5起</v>
          </cell>
          <cell r="BK99">
            <v>0.7143</v>
          </cell>
          <cell r="BL99">
            <v>2</v>
          </cell>
          <cell r="BM99">
            <v>3</v>
          </cell>
          <cell r="BN99">
            <v>-0.3333</v>
          </cell>
          <cell r="BO99">
            <v>0</v>
          </cell>
          <cell r="BP99" t="str">
            <v>多2起</v>
          </cell>
          <cell r="BQ99">
            <v>2</v>
          </cell>
          <cell r="BR99">
            <v>2</v>
          </cell>
          <cell r="BS99">
            <v>0</v>
          </cell>
          <cell r="BT99">
            <v>2</v>
          </cell>
          <cell r="BU99">
            <v>0</v>
          </cell>
          <cell r="BV99">
            <v>0.2857</v>
          </cell>
          <cell r="BW99">
            <v>-0.1143</v>
          </cell>
          <cell r="BX99">
            <v>1</v>
          </cell>
          <cell r="BY99">
            <v>0.3333</v>
          </cell>
          <cell r="BZ99">
            <v>0</v>
          </cell>
          <cell r="CA99">
            <v>0</v>
          </cell>
          <cell r="CB99" t="str">
            <v>持平</v>
          </cell>
          <cell r="CC99">
            <v>0</v>
          </cell>
          <cell r="CD99" t="str">
            <v>持平</v>
          </cell>
          <cell r="CE99" t="str">
            <v/>
          </cell>
          <cell r="CF99" t="str">
            <v/>
          </cell>
          <cell r="CG99">
            <v>10</v>
          </cell>
          <cell r="CH99">
            <v>1</v>
          </cell>
          <cell r="CI99">
            <v>9</v>
          </cell>
          <cell r="CJ99">
            <v>2</v>
          </cell>
          <cell r="CK99">
            <v>4</v>
          </cell>
          <cell r="CL99">
            <v>143</v>
          </cell>
          <cell r="CM99">
            <v>123</v>
          </cell>
          <cell r="CN99">
            <v>6.1429</v>
          </cell>
          <cell r="CO99">
            <v>8</v>
          </cell>
          <cell r="CP99">
            <v>4</v>
          </cell>
          <cell r="CQ99">
            <v>1</v>
          </cell>
          <cell r="CR99">
            <v>0</v>
          </cell>
          <cell r="CS99" t="str">
            <v>多8人</v>
          </cell>
          <cell r="CT99">
            <v>0.8</v>
          </cell>
          <cell r="CU99">
            <v>-3.2</v>
          </cell>
          <cell r="CV99">
            <v>114</v>
          </cell>
          <cell r="CW99">
            <v>34</v>
          </cell>
          <cell r="CX99">
            <v>0.4286</v>
          </cell>
          <cell r="CY99">
            <v>9</v>
          </cell>
          <cell r="CZ99">
            <v>4</v>
          </cell>
          <cell r="DA99">
            <v>1.25</v>
          </cell>
          <cell r="DB99">
            <v>0</v>
          </cell>
          <cell r="DC99" t="str">
            <v>多9人</v>
          </cell>
          <cell r="DD99">
            <v>0.9</v>
          </cell>
          <cell r="DE99">
            <v>-3.1</v>
          </cell>
          <cell r="DF99">
            <v>129</v>
          </cell>
          <cell r="DG99">
            <v>49</v>
          </cell>
          <cell r="DH99">
            <v>0.6071</v>
          </cell>
          <cell r="DI99">
            <v>0</v>
          </cell>
          <cell r="DJ99">
            <v>0</v>
          </cell>
          <cell r="DK99" t="str">
            <v>持平</v>
          </cell>
          <cell r="DL99">
            <v>0</v>
          </cell>
          <cell r="DM99" t="str">
            <v>持平</v>
          </cell>
          <cell r="DN99">
            <v>2</v>
          </cell>
          <cell r="DO99">
            <v>2</v>
          </cell>
          <cell r="DP99">
            <v>0</v>
          </cell>
          <cell r="DQ99">
            <v>2</v>
          </cell>
          <cell r="DR99">
            <v>0</v>
          </cell>
          <cell r="DS99">
            <v>2</v>
          </cell>
          <cell r="DT99">
            <v>2</v>
          </cell>
          <cell r="DU99">
            <v>0</v>
          </cell>
          <cell r="DV99">
            <v>2</v>
          </cell>
          <cell r="DW99">
            <v>0</v>
          </cell>
          <cell r="DX99">
            <v>2</v>
          </cell>
          <cell r="DY99">
            <v>2</v>
          </cell>
          <cell r="DZ99">
            <v>0</v>
          </cell>
          <cell r="EA99">
            <v>3</v>
          </cell>
          <cell r="EB99">
            <v>-0.3333</v>
          </cell>
          <cell r="EC99">
            <v>1</v>
          </cell>
          <cell r="ED99">
            <v>2</v>
          </cell>
          <cell r="EE99">
            <v>-0.5</v>
          </cell>
          <cell r="EF99">
            <v>2</v>
          </cell>
          <cell r="EG99">
            <v>-0.5</v>
          </cell>
          <cell r="EH99">
            <v>0.125</v>
          </cell>
          <cell r="EI99">
            <v>-0.375</v>
          </cell>
          <cell r="EJ99">
            <v>14</v>
          </cell>
          <cell r="EK99">
            <v>-26</v>
          </cell>
          <cell r="EL99">
            <v>-0.6429</v>
          </cell>
          <cell r="EM99">
            <v>1</v>
          </cell>
          <cell r="EN99">
            <v>2</v>
          </cell>
          <cell r="EO99">
            <v>-0.5</v>
          </cell>
          <cell r="EP99">
            <v>2</v>
          </cell>
          <cell r="EQ99">
            <v>-0.5</v>
          </cell>
          <cell r="ER99">
            <v>2</v>
          </cell>
          <cell r="ES99">
            <v>2</v>
          </cell>
          <cell r="ET99">
            <v>0</v>
          </cell>
          <cell r="EU99">
            <v>2</v>
          </cell>
          <cell r="EV99">
            <v>0</v>
          </cell>
          <cell r="EW99">
            <v>0.25</v>
          </cell>
          <cell r="EX99">
            <v>-0.25</v>
          </cell>
          <cell r="EY99">
            <v>29</v>
          </cell>
          <cell r="EZ99">
            <v>-11</v>
          </cell>
          <cell r="FA99">
            <v>-0.2857</v>
          </cell>
        </row>
        <row r="100">
          <cell r="A100" t="str">
            <v>接触性诈骗</v>
          </cell>
          <cell r="B100" t="str">
            <v>郁南县</v>
          </cell>
        </row>
        <row r="100">
          <cell r="AM100">
            <v>0</v>
          </cell>
          <cell r="AN100">
            <v>2</v>
          </cell>
          <cell r="AO100" t="str">
            <v>少2起</v>
          </cell>
          <cell r="AP100">
            <v>1</v>
          </cell>
          <cell r="AQ100" t="str">
            <v>少1起</v>
          </cell>
          <cell r="AR100" t="str">
            <v/>
          </cell>
          <cell r="AS100" t="str">
            <v/>
          </cell>
          <cell r="AT100">
            <v>0</v>
          </cell>
          <cell r="AU100">
            <v>1</v>
          </cell>
          <cell r="AV100" t="str">
            <v>少1起</v>
          </cell>
          <cell r="AW100">
            <v>1</v>
          </cell>
          <cell r="AX100" t="str">
            <v>少1起</v>
          </cell>
          <cell r="AY100">
            <v>0</v>
          </cell>
          <cell r="AZ100">
            <v>1</v>
          </cell>
          <cell r="BA100" t="str">
            <v>少1起</v>
          </cell>
          <cell r="BB100">
            <v>1</v>
          </cell>
          <cell r="BC100" t="str">
            <v>少1起</v>
          </cell>
          <cell r="BD100" t="str">
            <v/>
          </cell>
          <cell r="BE100" t="str">
            <v/>
          </cell>
          <cell r="BF100">
            <v>0</v>
          </cell>
          <cell r="BG100">
            <v>1</v>
          </cell>
          <cell r="BH100" t="str">
            <v>少1起</v>
          </cell>
          <cell r="BI100">
            <v>0</v>
          </cell>
          <cell r="BJ100" t="str">
            <v>持平</v>
          </cell>
          <cell r="BK100" t="str">
            <v/>
          </cell>
          <cell r="BL100">
            <v>0</v>
          </cell>
          <cell r="BM100">
            <v>1</v>
          </cell>
          <cell r="BN100" t="str">
            <v>少1起</v>
          </cell>
          <cell r="BO100">
            <v>0</v>
          </cell>
          <cell r="BP100" t="str">
            <v>持平</v>
          </cell>
          <cell r="BQ100">
            <v>0</v>
          </cell>
          <cell r="BR100">
            <v>1</v>
          </cell>
          <cell r="BS100" t="str">
            <v>少1起</v>
          </cell>
          <cell r="BT100">
            <v>0</v>
          </cell>
          <cell r="BU100" t="str">
            <v>持平</v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>
            <v>0</v>
          </cell>
          <cell r="CA100">
            <v>0</v>
          </cell>
          <cell r="CB100" t="str">
            <v>持平</v>
          </cell>
          <cell r="CC100">
            <v>0</v>
          </cell>
          <cell r="CD100" t="str">
            <v>持平</v>
          </cell>
          <cell r="CE100" t="str">
            <v/>
          </cell>
          <cell r="CF100" t="str">
            <v/>
          </cell>
          <cell r="CG100">
            <v>0</v>
          </cell>
          <cell r="CH100">
            <v>2</v>
          </cell>
          <cell r="CI100" t="str">
            <v>少2人</v>
          </cell>
          <cell r="CJ100">
            <v>1</v>
          </cell>
          <cell r="CK100" t="str">
            <v>少1人</v>
          </cell>
          <cell r="CL100" t="str">
            <v/>
          </cell>
          <cell r="CM100" t="str">
            <v/>
          </cell>
          <cell r="CN100" t="str">
            <v/>
          </cell>
          <cell r="CO100">
            <v>0</v>
          </cell>
          <cell r="CP100">
            <v>6</v>
          </cell>
          <cell r="CQ100" t="str">
            <v>少6人</v>
          </cell>
          <cell r="CR100">
            <v>1</v>
          </cell>
          <cell r="CS100" t="str">
            <v>少1人</v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>
            <v>0</v>
          </cell>
          <cell r="CZ100">
            <v>6</v>
          </cell>
          <cell r="DA100" t="str">
            <v>少6人</v>
          </cell>
          <cell r="DB100">
            <v>1</v>
          </cell>
          <cell r="DC100" t="str">
            <v>少1人</v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>
            <v>0</v>
          </cell>
          <cell r="DJ100">
            <v>0</v>
          </cell>
          <cell r="DK100" t="str">
            <v>持平</v>
          </cell>
          <cell r="DL100">
            <v>0</v>
          </cell>
          <cell r="DM100" t="str">
            <v>持平</v>
          </cell>
          <cell r="DN100">
            <v>1</v>
          </cell>
          <cell r="DO100">
            <v>1</v>
          </cell>
          <cell r="DP100">
            <v>0</v>
          </cell>
          <cell r="DQ100">
            <v>0</v>
          </cell>
          <cell r="DR100" t="str">
            <v>多1人</v>
          </cell>
          <cell r="DS100">
            <v>1</v>
          </cell>
          <cell r="DT100">
            <v>1</v>
          </cell>
          <cell r="DU100">
            <v>0</v>
          </cell>
          <cell r="DV100">
            <v>0</v>
          </cell>
          <cell r="DW100" t="str">
            <v>多1人</v>
          </cell>
          <cell r="DX100">
            <v>0</v>
          </cell>
          <cell r="DY100">
            <v>5</v>
          </cell>
          <cell r="DZ100" t="str">
            <v>少5人</v>
          </cell>
          <cell r="EA100">
            <v>1</v>
          </cell>
          <cell r="EB100" t="str">
            <v>少1人</v>
          </cell>
          <cell r="EC100">
            <v>0</v>
          </cell>
          <cell r="ED100">
            <v>4</v>
          </cell>
          <cell r="EE100" t="str">
            <v>少4人</v>
          </cell>
          <cell r="EF100">
            <v>0</v>
          </cell>
          <cell r="EG100" t="str">
            <v>持平</v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>
            <v>0</v>
          </cell>
          <cell r="EN100">
            <v>4</v>
          </cell>
          <cell r="EO100" t="str">
            <v>少4人</v>
          </cell>
          <cell r="EP100">
            <v>0</v>
          </cell>
          <cell r="EQ100" t="str">
            <v>持平</v>
          </cell>
          <cell r="ER100">
            <v>2</v>
          </cell>
          <cell r="ES100">
            <v>1</v>
          </cell>
          <cell r="ET100">
            <v>1</v>
          </cell>
          <cell r="EU100">
            <v>0</v>
          </cell>
          <cell r="EV100" t="str">
            <v>多2人</v>
          </cell>
          <cell r="EW100" t="str">
            <v/>
          </cell>
          <cell r="EX100" t="str">
            <v/>
          </cell>
          <cell r="EY100" t="str">
            <v/>
          </cell>
          <cell r="EZ100" t="str">
            <v/>
          </cell>
          <cell r="FA100" t="str">
            <v/>
          </cell>
        </row>
        <row r="101">
          <cell r="A101" t="str">
            <v>接触性诈骗</v>
          </cell>
          <cell r="B101" t="str">
            <v>罗定市</v>
          </cell>
        </row>
        <row r="101">
          <cell r="AM101">
            <v>1</v>
          </cell>
          <cell r="AN101">
            <v>4</v>
          </cell>
          <cell r="AO101">
            <v>-0.75</v>
          </cell>
          <cell r="AP101">
            <v>1</v>
          </cell>
          <cell r="AQ101">
            <v>0</v>
          </cell>
          <cell r="AR101">
            <v>0.1667</v>
          </cell>
          <cell r="AS101">
            <v>-0.5</v>
          </cell>
          <cell r="AT101">
            <v>2</v>
          </cell>
          <cell r="AU101">
            <v>0</v>
          </cell>
          <cell r="AV101" t="str">
            <v>多2起</v>
          </cell>
          <cell r="AW101">
            <v>3</v>
          </cell>
          <cell r="AX101">
            <v>-0.3333</v>
          </cell>
          <cell r="AY101">
            <v>0</v>
          </cell>
          <cell r="AZ101">
            <v>0</v>
          </cell>
          <cell r="BA101" t="str">
            <v>持平</v>
          </cell>
          <cell r="BB101">
            <v>1</v>
          </cell>
          <cell r="BC101" t="str">
            <v>少1起</v>
          </cell>
          <cell r="BD101">
            <v>0</v>
          </cell>
          <cell r="BE101" t="str">
            <v/>
          </cell>
          <cell r="BF101">
            <v>4</v>
          </cell>
          <cell r="BG101">
            <v>6</v>
          </cell>
          <cell r="BH101">
            <v>-0.3333</v>
          </cell>
          <cell r="BI101">
            <v>0</v>
          </cell>
          <cell r="BJ101" t="str">
            <v>多4起</v>
          </cell>
          <cell r="BK101">
            <v>0.6667</v>
          </cell>
          <cell r="BL101">
            <v>1</v>
          </cell>
          <cell r="BM101">
            <v>4</v>
          </cell>
          <cell r="BN101">
            <v>-0.75</v>
          </cell>
          <cell r="BO101">
            <v>0</v>
          </cell>
          <cell r="BP101" t="str">
            <v>多1起</v>
          </cell>
          <cell r="BQ101">
            <v>6</v>
          </cell>
          <cell r="BR101">
            <v>0</v>
          </cell>
          <cell r="BS101" t="str">
            <v>多6起</v>
          </cell>
          <cell r="BT101">
            <v>3</v>
          </cell>
          <cell r="BU101">
            <v>1</v>
          </cell>
          <cell r="BV101">
            <v>1</v>
          </cell>
          <cell r="BW101">
            <v>1</v>
          </cell>
          <cell r="BX101">
            <v>3</v>
          </cell>
          <cell r="BY101" t="str">
            <v/>
          </cell>
          <cell r="BZ101">
            <v>0</v>
          </cell>
          <cell r="CA101">
            <v>0</v>
          </cell>
          <cell r="CB101" t="str">
            <v>持平</v>
          </cell>
          <cell r="CC101">
            <v>2</v>
          </cell>
          <cell r="CD101" t="str">
            <v>少2起</v>
          </cell>
          <cell r="CE101" t="str">
            <v/>
          </cell>
          <cell r="CF101" t="str">
            <v/>
          </cell>
          <cell r="CG101">
            <v>3</v>
          </cell>
          <cell r="CH101">
            <v>5</v>
          </cell>
          <cell r="CI101">
            <v>-0.4</v>
          </cell>
          <cell r="CJ101">
            <v>3</v>
          </cell>
          <cell r="CK101">
            <v>0</v>
          </cell>
          <cell r="CL101">
            <v>50</v>
          </cell>
          <cell r="CM101">
            <v>-33</v>
          </cell>
          <cell r="CN101">
            <v>-0.4</v>
          </cell>
          <cell r="CO101">
            <v>4</v>
          </cell>
          <cell r="CP101">
            <v>7</v>
          </cell>
          <cell r="CQ101">
            <v>-0.4286</v>
          </cell>
          <cell r="CR101">
            <v>1</v>
          </cell>
          <cell r="CS101">
            <v>3</v>
          </cell>
          <cell r="CT101">
            <v>1.3333</v>
          </cell>
          <cell r="CU101">
            <v>-0.0667</v>
          </cell>
          <cell r="CV101">
            <v>67</v>
          </cell>
          <cell r="CW101">
            <v>-50</v>
          </cell>
          <cell r="CX101">
            <v>-0.4286</v>
          </cell>
          <cell r="CY101">
            <v>4</v>
          </cell>
          <cell r="CZ101">
            <v>10</v>
          </cell>
          <cell r="DA101">
            <v>-0.6</v>
          </cell>
          <cell r="DB101">
            <v>1</v>
          </cell>
          <cell r="DC101">
            <v>3</v>
          </cell>
          <cell r="DD101">
            <v>1.3333</v>
          </cell>
          <cell r="DE101">
            <v>-0.6667</v>
          </cell>
          <cell r="DF101">
            <v>67</v>
          </cell>
          <cell r="DG101">
            <v>-100</v>
          </cell>
          <cell r="DH101">
            <v>-0.6</v>
          </cell>
          <cell r="DI101">
            <v>0</v>
          </cell>
          <cell r="DJ101">
            <v>0</v>
          </cell>
          <cell r="DK101" t="str">
            <v>持平</v>
          </cell>
          <cell r="DL101">
            <v>0</v>
          </cell>
          <cell r="DM101" t="str">
            <v>持平</v>
          </cell>
          <cell r="DN101">
            <v>2</v>
          </cell>
          <cell r="DO101">
            <v>3</v>
          </cell>
          <cell r="DP101">
            <v>-0.3333</v>
          </cell>
          <cell r="DQ101">
            <v>7</v>
          </cell>
          <cell r="DR101">
            <v>-0.7143</v>
          </cell>
          <cell r="DS101">
            <v>2</v>
          </cell>
          <cell r="DT101">
            <v>3</v>
          </cell>
          <cell r="DU101">
            <v>-0.3333</v>
          </cell>
          <cell r="DV101">
            <v>7</v>
          </cell>
          <cell r="DW101">
            <v>-0.7143</v>
          </cell>
          <cell r="DX101">
            <v>2</v>
          </cell>
          <cell r="DY101">
            <v>5</v>
          </cell>
          <cell r="DZ101">
            <v>-0.6</v>
          </cell>
          <cell r="EA101">
            <v>10</v>
          </cell>
          <cell r="EB101">
            <v>-0.8</v>
          </cell>
          <cell r="EC101">
            <v>1</v>
          </cell>
          <cell r="ED101">
            <v>3</v>
          </cell>
          <cell r="EE101">
            <v>-0.6667</v>
          </cell>
          <cell r="EF101">
            <v>5</v>
          </cell>
          <cell r="EG101">
            <v>-0.8</v>
          </cell>
          <cell r="EH101">
            <v>0.25</v>
          </cell>
          <cell r="EI101">
            <v>-0.1786</v>
          </cell>
          <cell r="EJ101">
            <v>17</v>
          </cell>
          <cell r="EK101">
            <v>-33</v>
          </cell>
          <cell r="EL101">
            <v>-0.6667</v>
          </cell>
          <cell r="EM101">
            <v>1</v>
          </cell>
          <cell r="EN101">
            <v>3</v>
          </cell>
          <cell r="EO101">
            <v>-0.6667</v>
          </cell>
          <cell r="EP101">
            <v>5</v>
          </cell>
          <cell r="EQ101">
            <v>-0.8</v>
          </cell>
          <cell r="ER101">
            <v>9</v>
          </cell>
          <cell r="ES101">
            <v>0</v>
          </cell>
          <cell r="ET101" t="str">
            <v>多9人</v>
          </cell>
          <cell r="EU101">
            <v>3</v>
          </cell>
          <cell r="EV101">
            <v>2</v>
          </cell>
          <cell r="EW101">
            <v>2.25</v>
          </cell>
          <cell r="EX101">
            <v>2.25</v>
          </cell>
          <cell r="EY101">
            <v>150</v>
          </cell>
          <cell r="EZ101">
            <v>150</v>
          </cell>
          <cell r="FA101" t="str">
            <v/>
          </cell>
        </row>
        <row r="102">
          <cell r="A102" t="str">
            <v>电诈</v>
          </cell>
          <cell r="B102" t="str">
            <v>全省</v>
          </cell>
        </row>
        <row r="102">
          <cell r="AM102">
            <v>1625</v>
          </cell>
          <cell r="AN102">
            <v>983</v>
          </cell>
          <cell r="AO102">
            <v>0.6531</v>
          </cell>
          <cell r="AP102">
            <v>2970</v>
          </cell>
          <cell r="AQ102">
            <v>-0.4529</v>
          </cell>
          <cell r="AR102">
            <v>0.2667</v>
          </cell>
          <cell r="AS102">
            <v>0.0899</v>
          </cell>
          <cell r="AT102">
            <v>3774</v>
          </cell>
          <cell r="AU102">
            <v>2804</v>
          </cell>
          <cell r="AV102">
            <v>0.3459</v>
          </cell>
          <cell r="AW102">
            <v>6635</v>
          </cell>
          <cell r="AX102">
            <v>-0.4312</v>
          </cell>
          <cell r="AY102">
            <v>376</v>
          </cell>
          <cell r="AZ102">
            <v>301</v>
          </cell>
          <cell r="BA102">
            <v>0.2492</v>
          </cell>
          <cell r="BB102">
            <v>2279</v>
          </cell>
          <cell r="BC102">
            <v>-0.835</v>
          </cell>
          <cell r="BD102">
            <v>0.0996</v>
          </cell>
          <cell r="BE102">
            <v>-0.0077</v>
          </cell>
          <cell r="BF102">
            <v>2318</v>
          </cell>
          <cell r="BG102">
            <v>2756</v>
          </cell>
          <cell r="BH102">
            <v>-0.1589</v>
          </cell>
          <cell r="BI102">
            <v>79</v>
          </cell>
          <cell r="BJ102">
            <v>28.3418</v>
          </cell>
          <cell r="BK102">
            <v>0.3805</v>
          </cell>
          <cell r="BL102">
            <v>1249</v>
          </cell>
          <cell r="BM102">
            <v>682</v>
          </cell>
          <cell r="BN102">
            <v>0.8314</v>
          </cell>
          <cell r="BO102">
            <v>691</v>
          </cell>
          <cell r="BP102">
            <v>0.8075</v>
          </cell>
          <cell r="BQ102">
            <v>280</v>
          </cell>
          <cell r="BR102">
            <v>191</v>
          </cell>
          <cell r="BS102">
            <v>0.466</v>
          </cell>
          <cell r="BT102">
            <v>637</v>
          </cell>
          <cell r="BU102">
            <v>-0.5604</v>
          </cell>
          <cell r="BV102">
            <v>0.046</v>
          </cell>
          <cell r="BW102">
            <v>0.0116</v>
          </cell>
          <cell r="BX102">
            <v>0.0742</v>
          </cell>
          <cell r="BY102">
            <v>0.0061</v>
          </cell>
          <cell r="BZ102">
            <v>5</v>
          </cell>
          <cell r="CA102">
            <v>3</v>
          </cell>
          <cell r="CB102">
            <v>0.6667</v>
          </cell>
          <cell r="CC102">
            <v>52</v>
          </cell>
          <cell r="CD102">
            <v>-0.9038</v>
          </cell>
          <cell r="CE102" t="str">
            <v/>
          </cell>
          <cell r="CF102" t="str">
            <v/>
          </cell>
          <cell r="CG102">
            <v>2073</v>
          </cell>
          <cell r="CH102">
            <v>1670</v>
          </cell>
          <cell r="CI102">
            <v>0.2413</v>
          </cell>
          <cell r="CJ102">
            <v>2447</v>
          </cell>
          <cell r="CK102">
            <v>-0.1528</v>
          </cell>
          <cell r="CL102">
            <v>34</v>
          </cell>
          <cell r="CM102">
            <v>4</v>
          </cell>
          <cell r="CN102">
            <v>0.1329</v>
          </cell>
          <cell r="CO102">
            <v>2678</v>
          </cell>
          <cell r="CP102">
            <v>1432</v>
          </cell>
          <cell r="CQ102">
            <v>0.8701</v>
          </cell>
          <cell r="CR102">
            <v>2510</v>
          </cell>
          <cell r="CS102">
            <v>0.0669</v>
          </cell>
          <cell r="CT102">
            <v>1.2918</v>
          </cell>
          <cell r="CU102">
            <v>0.4344</v>
          </cell>
          <cell r="CV102">
            <v>44</v>
          </cell>
          <cell r="CW102">
            <v>18</v>
          </cell>
          <cell r="CX102">
            <v>0.7068</v>
          </cell>
          <cell r="CY102">
            <v>2863</v>
          </cell>
          <cell r="CZ102">
            <v>1603</v>
          </cell>
          <cell r="DA102">
            <v>0.786</v>
          </cell>
          <cell r="DB102">
            <v>2740</v>
          </cell>
          <cell r="DC102">
            <v>0.0449</v>
          </cell>
          <cell r="DD102">
            <v>1.3811</v>
          </cell>
          <cell r="DE102">
            <v>0.4212</v>
          </cell>
          <cell r="DF102">
            <v>47</v>
          </cell>
          <cell r="DG102">
            <v>18</v>
          </cell>
          <cell r="DH102">
            <v>0.6301</v>
          </cell>
          <cell r="DI102">
            <v>0</v>
          </cell>
          <cell r="DJ102">
            <v>0</v>
          </cell>
          <cell r="DK102" t="str">
            <v>持平</v>
          </cell>
          <cell r="DL102">
            <v>0</v>
          </cell>
          <cell r="DM102" t="str">
            <v>持平</v>
          </cell>
          <cell r="DN102">
            <v>1513</v>
          </cell>
          <cell r="DO102">
            <v>803</v>
          </cell>
          <cell r="DP102">
            <v>0.8842</v>
          </cell>
          <cell r="DQ102">
            <v>1560</v>
          </cell>
          <cell r="DR102">
            <v>-0.0301</v>
          </cell>
          <cell r="DS102">
            <v>1513</v>
          </cell>
          <cell r="DT102">
            <v>803</v>
          </cell>
          <cell r="DU102">
            <v>0.8842</v>
          </cell>
          <cell r="DV102">
            <v>1561</v>
          </cell>
          <cell r="DW102">
            <v>-0.0307</v>
          </cell>
          <cell r="DX102">
            <v>876</v>
          </cell>
          <cell r="DY102">
            <v>597</v>
          </cell>
          <cell r="DZ102">
            <v>0.4673</v>
          </cell>
          <cell r="EA102">
            <v>818</v>
          </cell>
          <cell r="EB102">
            <v>0.0709</v>
          </cell>
          <cell r="EC102">
            <v>439</v>
          </cell>
          <cell r="ED102">
            <v>387</v>
          </cell>
          <cell r="EE102">
            <v>0.1344</v>
          </cell>
          <cell r="EF102">
            <v>358</v>
          </cell>
          <cell r="EG102">
            <v>0.2263</v>
          </cell>
          <cell r="EH102">
            <v>0.1639</v>
          </cell>
          <cell r="EI102">
            <v>-0.1063</v>
          </cell>
          <cell r="EJ102">
            <v>7</v>
          </cell>
          <cell r="EK102">
            <v>0</v>
          </cell>
          <cell r="EL102">
            <v>0.0353</v>
          </cell>
          <cell r="EM102">
            <v>455</v>
          </cell>
          <cell r="EN102">
            <v>388</v>
          </cell>
          <cell r="EO102">
            <v>0.1727</v>
          </cell>
          <cell r="EP102">
            <v>375</v>
          </cell>
          <cell r="EQ102">
            <v>0.2133</v>
          </cell>
          <cell r="ER102">
            <v>527</v>
          </cell>
          <cell r="ES102">
            <v>326</v>
          </cell>
          <cell r="ET102">
            <v>0.6166</v>
          </cell>
          <cell r="EU102">
            <v>999</v>
          </cell>
          <cell r="EV102">
            <v>-0.4725</v>
          </cell>
          <cell r="EW102">
            <v>0.1968</v>
          </cell>
          <cell r="EX102">
            <v>-0.0309</v>
          </cell>
          <cell r="EY102">
            <v>9</v>
          </cell>
          <cell r="EZ102">
            <v>3</v>
          </cell>
          <cell r="FA102">
            <v>0.4754</v>
          </cell>
        </row>
        <row r="103">
          <cell r="A103" t="str">
            <v>电诈</v>
          </cell>
          <cell r="B103" t="str">
            <v>云浮</v>
          </cell>
        </row>
        <row r="103">
          <cell r="AM103">
            <v>22</v>
          </cell>
          <cell r="AN103">
            <v>11</v>
          </cell>
          <cell r="AO103">
            <v>1</v>
          </cell>
          <cell r="AP103">
            <v>50</v>
          </cell>
          <cell r="AQ103">
            <v>-0.56</v>
          </cell>
          <cell r="AR103">
            <v>0.2933</v>
          </cell>
          <cell r="AS103">
            <v>0.1876</v>
          </cell>
          <cell r="AT103">
            <v>43</v>
          </cell>
          <cell r="AU103">
            <v>48</v>
          </cell>
          <cell r="AV103">
            <v>-0.1042</v>
          </cell>
          <cell r="AW103">
            <v>66</v>
          </cell>
          <cell r="AX103">
            <v>-0.3485</v>
          </cell>
          <cell r="AY103">
            <v>2</v>
          </cell>
          <cell r="AZ103">
            <v>2</v>
          </cell>
          <cell r="BA103">
            <v>0</v>
          </cell>
          <cell r="BB103">
            <v>31</v>
          </cell>
          <cell r="BC103">
            <v>-0.9355</v>
          </cell>
          <cell r="BD103">
            <v>0.0465</v>
          </cell>
          <cell r="BE103">
            <v>0.0048</v>
          </cell>
          <cell r="BF103">
            <v>32</v>
          </cell>
          <cell r="BG103">
            <v>56</v>
          </cell>
          <cell r="BH103">
            <v>-0.4286</v>
          </cell>
          <cell r="BI103">
            <v>1</v>
          </cell>
          <cell r="BJ103">
            <v>31</v>
          </cell>
          <cell r="BK103">
            <v>0.4267</v>
          </cell>
          <cell r="BL103">
            <v>20</v>
          </cell>
          <cell r="BM103">
            <v>9</v>
          </cell>
          <cell r="BN103">
            <v>1.2222</v>
          </cell>
          <cell r="BO103">
            <v>19</v>
          </cell>
          <cell r="BP103">
            <v>0.0526</v>
          </cell>
          <cell r="BQ103">
            <v>3</v>
          </cell>
          <cell r="BR103">
            <v>7</v>
          </cell>
          <cell r="BS103">
            <v>-0.5714</v>
          </cell>
          <cell r="BT103">
            <v>6</v>
          </cell>
          <cell r="BU103">
            <v>-0.5</v>
          </cell>
          <cell r="BV103">
            <v>0.04</v>
          </cell>
          <cell r="BW103">
            <v>-0.0273</v>
          </cell>
          <cell r="BX103">
            <v>0.0698</v>
          </cell>
          <cell r="BY103">
            <v>-0.0761</v>
          </cell>
          <cell r="BZ103">
            <v>0</v>
          </cell>
          <cell r="CA103">
            <v>0</v>
          </cell>
          <cell r="CB103" t="str">
            <v>持平</v>
          </cell>
          <cell r="CC103">
            <v>1</v>
          </cell>
          <cell r="CD103" t="str">
            <v>少1起</v>
          </cell>
          <cell r="CE103" t="str">
            <v/>
          </cell>
          <cell r="CF103" t="str">
            <v/>
          </cell>
          <cell r="CG103">
            <v>13</v>
          </cell>
          <cell r="CH103">
            <v>62</v>
          </cell>
          <cell r="CI103">
            <v>-0.7903</v>
          </cell>
          <cell r="CJ103">
            <v>28</v>
          </cell>
          <cell r="CK103">
            <v>-0.5357</v>
          </cell>
          <cell r="CL103">
            <v>17</v>
          </cell>
          <cell r="CM103">
            <v>-42</v>
          </cell>
          <cell r="CN103">
            <v>-0.7092</v>
          </cell>
          <cell r="CO103">
            <v>21</v>
          </cell>
          <cell r="CP103">
            <v>51</v>
          </cell>
          <cell r="CQ103">
            <v>-0.5882</v>
          </cell>
          <cell r="CR103">
            <v>14</v>
          </cell>
          <cell r="CS103">
            <v>0.5</v>
          </cell>
          <cell r="CT103">
            <v>1.6154</v>
          </cell>
          <cell r="CU103">
            <v>0.7928</v>
          </cell>
          <cell r="CV103">
            <v>28</v>
          </cell>
          <cell r="CW103">
            <v>-21</v>
          </cell>
          <cell r="CX103">
            <v>-0.429</v>
          </cell>
          <cell r="CY103">
            <v>24</v>
          </cell>
          <cell r="CZ103">
            <v>63</v>
          </cell>
          <cell r="DA103">
            <v>-0.619</v>
          </cell>
          <cell r="DB103">
            <v>15</v>
          </cell>
          <cell r="DC103">
            <v>0.6</v>
          </cell>
          <cell r="DD103">
            <v>1.8462</v>
          </cell>
          <cell r="DE103">
            <v>0.83</v>
          </cell>
          <cell r="DF103">
            <v>32</v>
          </cell>
          <cell r="DG103">
            <v>-29</v>
          </cell>
          <cell r="DH103">
            <v>-0.4717</v>
          </cell>
          <cell r="DI103">
            <v>0</v>
          </cell>
          <cell r="DJ103">
            <v>0</v>
          </cell>
          <cell r="DK103" t="str">
            <v>持平</v>
          </cell>
          <cell r="DL103">
            <v>0</v>
          </cell>
          <cell r="DM103" t="str">
            <v>持平</v>
          </cell>
          <cell r="DN103">
            <v>11</v>
          </cell>
          <cell r="DO103">
            <v>26</v>
          </cell>
          <cell r="DP103">
            <v>-0.5769</v>
          </cell>
          <cell r="DQ103">
            <v>11</v>
          </cell>
          <cell r="DR103">
            <v>0</v>
          </cell>
          <cell r="DS103">
            <v>11</v>
          </cell>
          <cell r="DT103">
            <v>26</v>
          </cell>
          <cell r="DU103">
            <v>-0.5769</v>
          </cell>
          <cell r="DV103">
            <v>11</v>
          </cell>
          <cell r="DW103">
            <v>0</v>
          </cell>
          <cell r="DX103">
            <v>13</v>
          </cell>
          <cell r="DY103">
            <v>4</v>
          </cell>
          <cell r="DZ103">
            <v>2.25</v>
          </cell>
          <cell r="EA103">
            <v>10</v>
          </cell>
          <cell r="EB103">
            <v>0.3</v>
          </cell>
          <cell r="EC103">
            <v>2</v>
          </cell>
          <cell r="ED103">
            <v>3</v>
          </cell>
          <cell r="EE103">
            <v>-0.3333</v>
          </cell>
          <cell r="EF103">
            <v>7</v>
          </cell>
          <cell r="EG103">
            <v>-0.7143</v>
          </cell>
          <cell r="EH103">
            <v>0.0952</v>
          </cell>
          <cell r="EI103">
            <v>0.0364</v>
          </cell>
          <cell r="EJ103">
            <v>3</v>
          </cell>
          <cell r="EK103">
            <v>0</v>
          </cell>
          <cell r="EL103">
            <v>-0.0756</v>
          </cell>
          <cell r="EM103">
            <v>2</v>
          </cell>
          <cell r="EN103">
            <v>3</v>
          </cell>
          <cell r="EO103">
            <v>-0.3333</v>
          </cell>
          <cell r="EP103">
            <v>7</v>
          </cell>
          <cell r="EQ103">
            <v>-0.7143</v>
          </cell>
          <cell r="ER103">
            <v>9</v>
          </cell>
          <cell r="ES103">
            <v>11</v>
          </cell>
          <cell r="ET103">
            <v>-0.1818</v>
          </cell>
          <cell r="EU103">
            <v>20</v>
          </cell>
          <cell r="EV103">
            <v>-0.55</v>
          </cell>
          <cell r="EW103">
            <v>0.4286</v>
          </cell>
          <cell r="EX103">
            <v>0.2129</v>
          </cell>
          <cell r="EY103">
            <v>12</v>
          </cell>
          <cell r="EZ103">
            <v>1</v>
          </cell>
          <cell r="FA103">
            <v>0.1345</v>
          </cell>
        </row>
        <row r="104">
          <cell r="A104" t="str">
            <v>电诈</v>
          </cell>
          <cell r="B104" t="str">
            <v>云城区</v>
          </cell>
        </row>
        <row r="104">
          <cell r="AM104">
            <v>3</v>
          </cell>
          <cell r="AN104">
            <v>1</v>
          </cell>
          <cell r="AO104">
            <v>2</v>
          </cell>
          <cell r="AP104">
            <v>7</v>
          </cell>
          <cell r="AQ104">
            <v>-0.5714</v>
          </cell>
          <cell r="AR104">
            <v>0.1667</v>
          </cell>
          <cell r="AS104">
            <v>0.1322</v>
          </cell>
          <cell r="AT104">
            <v>3</v>
          </cell>
          <cell r="AU104">
            <v>7</v>
          </cell>
          <cell r="AV104">
            <v>-0.5714</v>
          </cell>
          <cell r="AW104">
            <v>19</v>
          </cell>
          <cell r="AX104">
            <v>-0.8421</v>
          </cell>
          <cell r="AY104">
            <v>0</v>
          </cell>
          <cell r="AZ104">
            <v>0</v>
          </cell>
          <cell r="BA104" t="str">
            <v>持平</v>
          </cell>
          <cell r="BB104">
            <v>5</v>
          </cell>
          <cell r="BC104" t="str">
            <v>少5起</v>
          </cell>
          <cell r="BD104">
            <v>0</v>
          </cell>
          <cell r="BE104">
            <v>0</v>
          </cell>
          <cell r="BF104">
            <v>15</v>
          </cell>
          <cell r="BG104">
            <v>22</v>
          </cell>
          <cell r="BH104">
            <v>-0.3182</v>
          </cell>
          <cell r="BI104">
            <v>0</v>
          </cell>
          <cell r="BJ104" t="str">
            <v>多15起</v>
          </cell>
          <cell r="BK104">
            <v>0.8333</v>
          </cell>
          <cell r="BL104">
            <v>3</v>
          </cell>
          <cell r="BM104">
            <v>1</v>
          </cell>
          <cell r="BN104">
            <v>2</v>
          </cell>
          <cell r="BO104">
            <v>2</v>
          </cell>
          <cell r="BP104">
            <v>0.5</v>
          </cell>
          <cell r="BQ104">
            <v>0</v>
          </cell>
          <cell r="BR104">
            <v>1</v>
          </cell>
          <cell r="BS104" t="str">
            <v>少1起</v>
          </cell>
          <cell r="BT104">
            <v>0</v>
          </cell>
          <cell r="BU104" t="str">
            <v>持平</v>
          </cell>
          <cell r="BV104">
            <v>0</v>
          </cell>
          <cell r="BW104">
            <v>-0.0345</v>
          </cell>
          <cell r="BX104">
            <v>0</v>
          </cell>
          <cell r="BY104">
            <v>-0.1429</v>
          </cell>
          <cell r="BZ104">
            <v>0</v>
          </cell>
          <cell r="CA104">
            <v>0</v>
          </cell>
          <cell r="CB104" t="str">
            <v>持平</v>
          </cell>
          <cell r="CC104">
            <v>1</v>
          </cell>
          <cell r="CD104" t="str">
            <v>少1起</v>
          </cell>
          <cell r="CE104" t="str">
            <v/>
          </cell>
          <cell r="CF104" t="str">
            <v/>
          </cell>
          <cell r="CG104">
            <v>8</v>
          </cell>
          <cell r="CH104">
            <v>1</v>
          </cell>
          <cell r="CI104">
            <v>7</v>
          </cell>
          <cell r="CJ104">
            <v>1</v>
          </cell>
          <cell r="CK104">
            <v>7</v>
          </cell>
          <cell r="CL104">
            <v>44</v>
          </cell>
          <cell r="CM104">
            <v>41</v>
          </cell>
          <cell r="CN104">
            <v>11.8889</v>
          </cell>
          <cell r="CO104">
            <v>11</v>
          </cell>
          <cell r="CP104">
            <v>1</v>
          </cell>
          <cell r="CQ104">
            <v>10</v>
          </cell>
          <cell r="CR104">
            <v>1</v>
          </cell>
          <cell r="CS104">
            <v>10</v>
          </cell>
          <cell r="CT104">
            <v>1.375</v>
          </cell>
          <cell r="CU104">
            <v>0.375</v>
          </cell>
          <cell r="CV104">
            <v>61</v>
          </cell>
          <cell r="CW104">
            <v>58</v>
          </cell>
          <cell r="CX104">
            <v>16.7222</v>
          </cell>
          <cell r="CY104">
            <v>11</v>
          </cell>
          <cell r="CZ104">
            <v>1</v>
          </cell>
          <cell r="DA104">
            <v>10</v>
          </cell>
          <cell r="DB104">
            <v>1</v>
          </cell>
          <cell r="DC104">
            <v>10</v>
          </cell>
          <cell r="DD104">
            <v>1.375</v>
          </cell>
          <cell r="DE104">
            <v>0.375</v>
          </cell>
          <cell r="DF104">
            <v>61</v>
          </cell>
          <cell r="DG104">
            <v>58</v>
          </cell>
          <cell r="DH104">
            <v>16.7222</v>
          </cell>
          <cell r="DI104">
            <v>0</v>
          </cell>
          <cell r="DJ104">
            <v>0</v>
          </cell>
          <cell r="DK104" t="str">
            <v>持平</v>
          </cell>
          <cell r="DL104">
            <v>0</v>
          </cell>
          <cell r="DM104" t="str">
            <v>持平</v>
          </cell>
          <cell r="DN104">
            <v>3</v>
          </cell>
          <cell r="DO104">
            <v>0</v>
          </cell>
          <cell r="DP104" t="str">
            <v>多3人</v>
          </cell>
          <cell r="DQ104">
            <v>0</v>
          </cell>
          <cell r="DR104" t="str">
            <v>多3人</v>
          </cell>
          <cell r="DS104">
            <v>3</v>
          </cell>
          <cell r="DT104">
            <v>0</v>
          </cell>
          <cell r="DU104" t="str">
            <v>多3人</v>
          </cell>
          <cell r="DV104">
            <v>0</v>
          </cell>
          <cell r="DW104" t="str">
            <v>多3人</v>
          </cell>
          <cell r="DX104">
            <v>2</v>
          </cell>
          <cell r="DY104">
            <v>1</v>
          </cell>
          <cell r="DZ104">
            <v>1</v>
          </cell>
          <cell r="EA104">
            <v>1</v>
          </cell>
          <cell r="EB104">
            <v>1</v>
          </cell>
          <cell r="EC104">
            <v>0</v>
          </cell>
          <cell r="ED104">
            <v>1</v>
          </cell>
          <cell r="EE104" t="str">
            <v>少1人</v>
          </cell>
          <cell r="EF104">
            <v>0</v>
          </cell>
          <cell r="EG104" t="str">
            <v>持平</v>
          </cell>
          <cell r="EH104">
            <v>0</v>
          </cell>
          <cell r="EI104">
            <v>-1</v>
          </cell>
          <cell r="EJ104">
            <v>0</v>
          </cell>
          <cell r="EK104">
            <v>-3</v>
          </cell>
          <cell r="EL104">
            <v>-1</v>
          </cell>
          <cell r="EM104">
            <v>0</v>
          </cell>
          <cell r="EN104">
            <v>1</v>
          </cell>
          <cell r="EO104" t="str">
            <v>少1人</v>
          </cell>
          <cell r="EP104">
            <v>0</v>
          </cell>
          <cell r="EQ104" t="str">
            <v>持平</v>
          </cell>
          <cell r="ER104">
            <v>0</v>
          </cell>
          <cell r="ES104">
            <v>2</v>
          </cell>
          <cell r="ET104" t="str">
            <v>少2人</v>
          </cell>
          <cell r="EU104">
            <v>7</v>
          </cell>
          <cell r="EV104" t="str">
            <v>少7人</v>
          </cell>
          <cell r="EW104">
            <v>0</v>
          </cell>
          <cell r="EX104">
            <v>-2</v>
          </cell>
          <cell r="EY104">
            <v>0</v>
          </cell>
          <cell r="EZ104">
            <v>-7</v>
          </cell>
          <cell r="FA104">
            <v>-1</v>
          </cell>
        </row>
        <row r="105">
          <cell r="A105" t="str">
            <v>电诈</v>
          </cell>
          <cell r="B105" t="str">
            <v>云安区</v>
          </cell>
        </row>
        <row r="105">
          <cell r="AM105">
            <v>6</v>
          </cell>
          <cell r="AN105">
            <v>4</v>
          </cell>
          <cell r="AO105">
            <v>0.5</v>
          </cell>
          <cell r="AP105">
            <v>0</v>
          </cell>
          <cell r="AQ105" t="str">
            <v>多6起</v>
          </cell>
          <cell r="AR105">
            <v>1.5</v>
          </cell>
          <cell r="AS105">
            <v>-0.5</v>
          </cell>
          <cell r="AT105">
            <v>4</v>
          </cell>
          <cell r="AU105">
            <v>2</v>
          </cell>
          <cell r="AV105">
            <v>1</v>
          </cell>
          <cell r="AW105">
            <v>3</v>
          </cell>
          <cell r="AX105">
            <v>0.3333</v>
          </cell>
          <cell r="AY105">
            <v>2</v>
          </cell>
          <cell r="AZ105">
            <v>0</v>
          </cell>
          <cell r="BA105" t="str">
            <v>多2起</v>
          </cell>
          <cell r="BB105">
            <v>0</v>
          </cell>
          <cell r="BC105" t="str">
            <v>多2起</v>
          </cell>
          <cell r="BD105">
            <v>0.5</v>
          </cell>
          <cell r="BE105">
            <v>0.5</v>
          </cell>
          <cell r="BF105">
            <v>0</v>
          </cell>
          <cell r="BG105">
            <v>0</v>
          </cell>
          <cell r="BH105" t="str">
            <v>持平</v>
          </cell>
          <cell r="BI105">
            <v>1</v>
          </cell>
          <cell r="BJ105" t="str">
            <v>少1起</v>
          </cell>
          <cell r="BK105">
            <v>0</v>
          </cell>
          <cell r="BL105">
            <v>4</v>
          </cell>
          <cell r="BM105">
            <v>4</v>
          </cell>
          <cell r="BN105">
            <v>0</v>
          </cell>
          <cell r="BO105">
            <v>0</v>
          </cell>
          <cell r="BP105" t="str">
            <v>多4起</v>
          </cell>
          <cell r="BQ105">
            <v>2</v>
          </cell>
          <cell r="BR105">
            <v>0</v>
          </cell>
          <cell r="BS105" t="str">
            <v>多2起</v>
          </cell>
          <cell r="BT105">
            <v>0</v>
          </cell>
          <cell r="BU105" t="str">
            <v>多2起</v>
          </cell>
          <cell r="BV105">
            <v>0.5</v>
          </cell>
          <cell r="BW105">
            <v>0.5</v>
          </cell>
          <cell r="BX105">
            <v>0.5</v>
          </cell>
          <cell r="BY105">
            <v>0.5</v>
          </cell>
          <cell r="BZ105">
            <v>0</v>
          </cell>
          <cell r="CA105">
            <v>0</v>
          </cell>
          <cell r="CB105" t="str">
            <v>持平</v>
          </cell>
          <cell r="CC105">
            <v>0</v>
          </cell>
          <cell r="CD105" t="str">
            <v>持平</v>
          </cell>
          <cell r="CE105" t="str">
            <v/>
          </cell>
          <cell r="CF105" t="str">
            <v/>
          </cell>
          <cell r="CG105">
            <v>1</v>
          </cell>
          <cell r="CH105">
            <v>0</v>
          </cell>
          <cell r="CI105" t="str">
            <v>多1人</v>
          </cell>
          <cell r="CJ105">
            <v>4</v>
          </cell>
          <cell r="CK105">
            <v>-0.75</v>
          </cell>
          <cell r="CL105">
            <v>25</v>
          </cell>
          <cell r="CM105">
            <v>25</v>
          </cell>
          <cell r="CN105" t="str">
            <v/>
          </cell>
          <cell r="CO105">
            <v>2</v>
          </cell>
          <cell r="CP105">
            <v>0</v>
          </cell>
          <cell r="CQ105" t="str">
            <v>多2人</v>
          </cell>
          <cell r="CR105">
            <v>9</v>
          </cell>
          <cell r="CS105">
            <v>-0.7778</v>
          </cell>
          <cell r="CT105">
            <v>2</v>
          </cell>
          <cell r="CU105" t="str">
            <v/>
          </cell>
          <cell r="CV105">
            <v>50</v>
          </cell>
          <cell r="CW105">
            <v>50</v>
          </cell>
          <cell r="CX105" t="str">
            <v/>
          </cell>
          <cell r="CY105">
            <v>3</v>
          </cell>
          <cell r="CZ105">
            <v>0</v>
          </cell>
          <cell r="DA105" t="str">
            <v>多3人</v>
          </cell>
          <cell r="DB105">
            <v>9</v>
          </cell>
          <cell r="DC105">
            <v>-0.6667</v>
          </cell>
          <cell r="DD105">
            <v>3</v>
          </cell>
          <cell r="DE105" t="str">
            <v/>
          </cell>
          <cell r="DF105">
            <v>75</v>
          </cell>
          <cell r="DG105">
            <v>75</v>
          </cell>
          <cell r="DH105" t="str">
            <v/>
          </cell>
          <cell r="DI105">
            <v>0</v>
          </cell>
          <cell r="DJ105">
            <v>0</v>
          </cell>
          <cell r="DK105" t="str">
            <v>持平</v>
          </cell>
          <cell r="DL105">
            <v>0</v>
          </cell>
          <cell r="DM105" t="str">
            <v>持平</v>
          </cell>
          <cell r="DN105">
            <v>2</v>
          </cell>
          <cell r="DO105">
            <v>8</v>
          </cell>
          <cell r="DP105">
            <v>-0.75</v>
          </cell>
          <cell r="DQ105">
            <v>1</v>
          </cell>
          <cell r="DR105">
            <v>1</v>
          </cell>
          <cell r="DS105">
            <v>2</v>
          </cell>
          <cell r="DT105">
            <v>8</v>
          </cell>
          <cell r="DU105">
            <v>-0.75</v>
          </cell>
          <cell r="DV105">
            <v>1</v>
          </cell>
          <cell r="DW105">
            <v>1</v>
          </cell>
          <cell r="DX105">
            <v>6</v>
          </cell>
          <cell r="DY105">
            <v>1</v>
          </cell>
          <cell r="DZ105">
            <v>5</v>
          </cell>
          <cell r="EA105">
            <v>1</v>
          </cell>
          <cell r="EB105">
            <v>5</v>
          </cell>
          <cell r="EC105">
            <v>1</v>
          </cell>
          <cell r="ED105">
            <v>0</v>
          </cell>
          <cell r="EE105" t="str">
            <v>多1人</v>
          </cell>
          <cell r="EF105">
            <v>0</v>
          </cell>
          <cell r="EG105" t="str">
            <v>多1人</v>
          </cell>
          <cell r="EH105">
            <v>0.5</v>
          </cell>
          <cell r="EI105" t="str">
            <v/>
          </cell>
          <cell r="EJ105">
            <v>25</v>
          </cell>
          <cell r="EK105">
            <v>25</v>
          </cell>
          <cell r="EL105" t="str">
            <v/>
          </cell>
          <cell r="EM105">
            <v>1</v>
          </cell>
          <cell r="EN105">
            <v>0</v>
          </cell>
          <cell r="EO105" t="str">
            <v>多1人</v>
          </cell>
          <cell r="EP105">
            <v>0</v>
          </cell>
          <cell r="EQ105" t="str">
            <v>多1人</v>
          </cell>
          <cell r="ER105">
            <v>4</v>
          </cell>
          <cell r="ES105">
            <v>0</v>
          </cell>
          <cell r="ET105" t="str">
            <v>多4人</v>
          </cell>
          <cell r="EU105">
            <v>1</v>
          </cell>
          <cell r="EV105">
            <v>3</v>
          </cell>
          <cell r="EW105">
            <v>2</v>
          </cell>
          <cell r="EX105" t="str">
            <v/>
          </cell>
          <cell r="EY105">
            <v>100</v>
          </cell>
          <cell r="EZ105">
            <v>100</v>
          </cell>
          <cell r="FA105" t="str">
            <v/>
          </cell>
        </row>
        <row r="106">
          <cell r="A106" t="str">
            <v>电诈</v>
          </cell>
          <cell r="B106" t="str">
            <v>新兴县</v>
          </cell>
        </row>
        <row r="106">
          <cell r="AM106">
            <v>4</v>
          </cell>
          <cell r="AN106">
            <v>4</v>
          </cell>
          <cell r="AO106">
            <v>0</v>
          </cell>
          <cell r="AP106">
            <v>25</v>
          </cell>
          <cell r="AQ106">
            <v>-0.84</v>
          </cell>
          <cell r="AR106">
            <v>0.1481</v>
          </cell>
          <cell r="AS106">
            <v>0.0231</v>
          </cell>
          <cell r="AT106">
            <v>23</v>
          </cell>
          <cell r="AU106">
            <v>16</v>
          </cell>
          <cell r="AV106">
            <v>0.4375</v>
          </cell>
          <cell r="AW106">
            <v>21</v>
          </cell>
          <cell r="AX106">
            <v>0.0952</v>
          </cell>
          <cell r="AY106">
            <v>0</v>
          </cell>
          <cell r="AZ106">
            <v>1</v>
          </cell>
          <cell r="BA106" t="str">
            <v>少1起</v>
          </cell>
          <cell r="BB106">
            <v>16</v>
          </cell>
          <cell r="BC106" t="str">
            <v>少16起</v>
          </cell>
          <cell r="BD106">
            <v>0</v>
          </cell>
          <cell r="BE106">
            <v>-0.0625</v>
          </cell>
          <cell r="BF106">
            <v>4</v>
          </cell>
          <cell r="BG106">
            <v>16</v>
          </cell>
          <cell r="BH106">
            <v>-0.75</v>
          </cell>
          <cell r="BI106">
            <v>0</v>
          </cell>
          <cell r="BJ106" t="str">
            <v>多4起</v>
          </cell>
          <cell r="BK106">
            <v>0.1481</v>
          </cell>
          <cell r="BL106">
            <v>4</v>
          </cell>
          <cell r="BM106">
            <v>3</v>
          </cell>
          <cell r="BN106">
            <v>0.3333</v>
          </cell>
          <cell r="BO106">
            <v>9</v>
          </cell>
          <cell r="BP106">
            <v>-0.5556</v>
          </cell>
          <cell r="BQ106">
            <v>1</v>
          </cell>
          <cell r="BR106">
            <v>3</v>
          </cell>
          <cell r="BS106">
            <v>-0.6667</v>
          </cell>
          <cell r="BT106">
            <v>3</v>
          </cell>
          <cell r="BU106">
            <v>-0.6667</v>
          </cell>
          <cell r="BV106">
            <v>0.037</v>
          </cell>
          <cell r="BW106">
            <v>-0.0567</v>
          </cell>
          <cell r="BX106">
            <v>0.0435</v>
          </cell>
          <cell r="BY106">
            <v>-0.144</v>
          </cell>
          <cell r="BZ106">
            <v>0</v>
          </cell>
          <cell r="CA106">
            <v>0</v>
          </cell>
          <cell r="CB106" t="str">
            <v>持平</v>
          </cell>
          <cell r="CC106">
            <v>0</v>
          </cell>
          <cell r="CD106" t="str">
            <v>持平</v>
          </cell>
          <cell r="CE106" t="str">
            <v/>
          </cell>
          <cell r="CF106" t="str">
            <v/>
          </cell>
          <cell r="CG106">
            <v>2</v>
          </cell>
          <cell r="CH106">
            <v>24</v>
          </cell>
          <cell r="CI106">
            <v>-0.9167</v>
          </cell>
          <cell r="CJ106">
            <v>2</v>
          </cell>
          <cell r="CK106">
            <v>0</v>
          </cell>
          <cell r="CL106">
            <v>7</v>
          </cell>
          <cell r="CM106">
            <v>-68</v>
          </cell>
          <cell r="CN106">
            <v>-0.9012</v>
          </cell>
          <cell r="CO106">
            <v>8</v>
          </cell>
          <cell r="CP106">
            <v>28</v>
          </cell>
          <cell r="CQ106">
            <v>-0.7143</v>
          </cell>
          <cell r="CR106">
            <v>2</v>
          </cell>
          <cell r="CS106">
            <v>3</v>
          </cell>
          <cell r="CT106">
            <v>4</v>
          </cell>
          <cell r="CU106">
            <v>2.8333</v>
          </cell>
          <cell r="CV106">
            <v>30</v>
          </cell>
          <cell r="CW106">
            <v>-58</v>
          </cell>
          <cell r="CX106">
            <v>-0.6614</v>
          </cell>
          <cell r="CY106">
            <v>9</v>
          </cell>
          <cell r="CZ106">
            <v>29</v>
          </cell>
          <cell r="DA106">
            <v>-0.6897</v>
          </cell>
          <cell r="DB106">
            <v>2</v>
          </cell>
          <cell r="DC106">
            <v>3.5</v>
          </cell>
          <cell r="DD106">
            <v>4.5</v>
          </cell>
          <cell r="DE106">
            <v>3.2917</v>
          </cell>
          <cell r="DF106">
            <v>33</v>
          </cell>
          <cell r="DG106">
            <v>-57</v>
          </cell>
          <cell r="DH106">
            <v>-0.6322</v>
          </cell>
          <cell r="DI106">
            <v>0</v>
          </cell>
          <cell r="DJ106">
            <v>0</v>
          </cell>
          <cell r="DK106" t="str">
            <v>持平</v>
          </cell>
          <cell r="DL106">
            <v>0</v>
          </cell>
          <cell r="DM106" t="str">
            <v>持平</v>
          </cell>
          <cell r="DN106">
            <v>2</v>
          </cell>
          <cell r="DO106">
            <v>3</v>
          </cell>
          <cell r="DP106">
            <v>-0.3333</v>
          </cell>
          <cell r="DQ106">
            <v>5</v>
          </cell>
          <cell r="DR106">
            <v>-0.6</v>
          </cell>
          <cell r="DS106">
            <v>2</v>
          </cell>
          <cell r="DT106">
            <v>3</v>
          </cell>
          <cell r="DU106">
            <v>-0.3333</v>
          </cell>
          <cell r="DV106">
            <v>5</v>
          </cell>
          <cell r="DW106">
            <v>-0.6</v>
          </cell>
          <cell r="DX106">
            <v>3</v>
          </cell>
          <cell r="DY106">
            <v>2</v>
          </cell>
          <cell r="DZ106">
            <v>0.5</v>
          </cell>
          <cell r="EA106">
            <v>2</v>
          </cell>
          <cell r="EB106">
            <v>0.5</v>
          </cell>
          <cell r="EC106">
            <v>1</v>
          </cell>
          <cell r="ED106">
            <v>2</v>
          </cell>
          <cell r="EE106">
            <v>-0.5</v>
          </cell>
          <cell r="EF106">
            <v>3</v>
          </cell>
          <cell r="EG106">
            <v>-0.6667</v>
          </cell>
          <cell r="EH106">
            <v>0.125</v>
          </cell>
          <cell r="EI106">
            <v>0.0536</v>
          </cell>
          <cell r="EJ106">
            <v>4</v>
          </cell>
          <cell r="EK106">
            <v>-3</v>
          </cell>
          <cell r="EL106">
            <v>-0.4074</v>
          </cell>
          <cell r="EM106">
            <v>1</v>
          </cell>
          <cell r="EN106">
            <v>2</v>
          </cell>
          <cell r="EO106">
            <v>-0.5</v>
          </cell>
          <cell r="EP106">
            <v>3</v>
          </cell>
          <cell r="EQ106">
            <v>-0.6667</v>
          </cell>
          <cell r="ER106">
            <v>2</v>
          </cell>
          <cell r="ES106">
            <v>3</v>
          </cell>
          <cell r="ET106">
            <v>-0.3333</v>
          </cell>
          <cell r="EU106">
            <v>6</v>
          </cell>
          <cell r="EV106">
            <v>-0.6667</v>
          </cell>
          <cell r="EW106">
            <v>0.25</v>
          </cell>
          <cell r="EX106">
            <v>0.1429</v>
          </cell>
          <cell r="EY106">
            <v>7</v>
          </cell>
          <cell r="EZ106">
            <v>-2</v>
          </cell>
          <cell r="FA106">
            <v>-0.2099</v>
          </cell>
        </row>
        <row r="107">
          <cell r="A107" t="str">
            <v>电诈</v>
          </cell>
          <cell r="B107" t="str">
            <v>郁南县</v>
          </cell>
        </row>
        <row r="107">
          <cell r="AM107">
            <v>0</v>
          </cell>
          <cell r="AN107">
            <v>1</v>
          </cell>
          <cell r="AO107" t="str">
            <v>少1起</v>
          </cell>
          <cell r="AP107">
            <v>3</v>
          </cell>
          <cell r="AQ107" t="str">
            <v>少3起</v>
          </cell>
          <cell r="AR107">
            <v>0</v>
          </cell>
          <cell r="AS107">
            <v>-0.125</v>
          </cell>
          <cell r="AT107">
            <v>3</v>
          </cell>
          <cell r="AU107">
            <v>6</v>
          </cell>
          <cell r="AV107">
            <v>-0.5</v>
          </cell>
          <cell r="AW107">
            <v>6</v>
          </cell>
          <cell r="AX107">
            <v>-0.5</v>
          </cell>
          <cell r="AY107">
            <v>0</v>
          </cell>
          <cell r="AZ107">
            <v>0</v>
          </cell>
          <cell r="BA107" t="str">
            <v>持平</v>
          </cell>
          <cell r="BB107">
            <v>1</v>
          </cell>
          <cell r="BC107" t="str">
            <v>少1起</v>
          </cell>
          <cell r="BD107">
            <v>0</v>
          </cell>
          <cell r="BE107">
            <v>0</v>
          </cell>
          <cell r="BF107">
            <v>1</v>
          </cell>
          <cell r="BG107">
            <v>2</v>
          </cell>
          <cell r="BH107">
            <v>-0.5</v>
          </cell>
          <cell r="BI107">
            <v>0</v>
          </cell>
          <cell r="BJ107" t="str">
            <v>多1起</v>
          </cell>
          <cell r="BK107">
            <v>0.25</v>
          </cell>
          <cell r="BL107">
            <v>0</v>
          </cell>
          <cell r="BM107">
            <v>1</v>
          </cell>
          <cell r="BN107" t="str">
            <v>少1起</v>
          </cell>
          <cell r="BO107">
            <v>2</v>
          </cell>
          <cell r="BP107" t="str">
            <v>少2起</v>
          </cell>
          <cell r="BQ107">
            <v>0</v>
          </cell>
          <cell r="BR107">
            <v>0</v>
          </cell>
          <cell r="BS107" t="str">
            <v>持平</v>
          </cell>
          <cell r="BT107">
            <v>0</v>
          </cell>
          <cell r="BU107" t="str">
            <v>持平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 t="str">
            <v>持平</v>
          </cell>
          <cell r="CC107">
            <v>0</v>
          </cell>
          <cell r="CD107" t="str">
            <v>持平</v>
          </cell>
          <cell r="CE107" t="str">
            <v/>
          </cell>
          <cell r="CF107" t="str">
            <v/>
          </cell>
          <cell r="CG107">
            <v>0</v>
          </cell>
          <cell r="CH107">
            <v>0</v>
          </cell>
          <cell r="CI107" t="str">
            <v>持平</v>
          </cell>
          <cell r="CJ107">
            <v>1</v>
          </cell>
          <cell r="CK107" t="str">
            <v>少1人</v>
          </cell>
          <cell r="CL107">
            <v>0</v>
          </cell>
          <cell r="CM107">
            <v>0</v>
          </cell>
          <cell r="CN107" t="str">
            <v/>
          </cell>
          <cell r="CO107">
            <v>0</v>
          </cell>
          <cell r="CP107">
            <v>1</v>
          </cell>
          <cell r="CQ107" t="str">
            <v>少1人</v>
          </cell>
          <cell r="CR107">
            <v>0</v>
          </cell>
          <cell r="CS107" t="str">
            <v>持平</v>
          </cell>
          <cell r="CT107" t="str">
            <v/>
          </cell>
          <cell r="CU107" t="str">
            <v/>
          </cell>
          <cell r="CV107">
            <v>0</v>
          </cell>
          <cell r="CW107">
            <v>-13</v>
          </cell>
          <cell r="CX107">
            <v>-1</v>
          </cell>
          <cell r="CY107">
            <v>0</v>
          </cell>
          <cell r="CZ107">
            <v>1</v>
          </cell>
          <cell r="DA107" t="str">
            <v>少1人</v>
          </cell>
          <cell r="DB107">
            <v>0</v>
          </cell>
          <cell r="DC107" t="str">
            <v>持平</v>
          </cell>
          <cell r="DD107" t="str">
            <v/>
          </cell>
          <cell r="DE107" t="str">
            <v/>
          </cell>
          <cell r="DF107">
            <v>0</v>
          </cell>
          <cell r="DG107">
            <v>-13</v>
          </cell>
          <cell r="DH107">
            <v>-1</v>
          </cell>
          <cell r="DI107">
            <v>0</v>
          </cell>
          <cell r="DJ107">
            <v>0</v>
          </cell>
          <cell r="DK107" t="str">
            <v>持平</v>
          </cell>
          <cell r="DL107">
            <v>0</v>
          </cell>
          <cell r="DM107" t="str">
            <v>持平</v>
          </cell>
          <cell r="DN107">
            <v>0</v>
          </cell>
          <cell r="DO107">
            <v>4</v>
          </cell>
          <cell r="DP107" t="str">
            <v>少4人</v>
          </cell>
          <cell r="DQ107">
            <v>4</v>
          </cell>
          <cell r="DR107" t="str">
            <v>少4人</v>
          </cell>
          <cell r="DS107">
            <v>0</v>
          </cell>
          <cell r="DT107">
            <v>4</v>
          </cell>
          <cell r="DU107" t="str">
            <v>少4人</v>
          </cell>
          <cell r="DV107">
            <v>4</v>
          </cell>
          <cell r="DW107" t="str">
            <v>少4人</v>
          </cell>
          <cell r="DX107">
            <v>0</v>
          </cell>
          <cell r="DY107">
            <v>0</v>
          </cell>
          <cell r="DZ107" t="str">
            <v>持平</v>
          </cell>
          <cell r="EA107">
            <v>3</v>
          </cell>
          <cell r="EB107" t="str">
            <v>少3人</v>
          </cell>
          <cell r="EC107">
            <v>0</v>
          </cell>
          <cell r="ED107">
            <v>0</v>
          </cell>
          <cell r="EE107" t="str">
            <v>持平</v>
          </cell>
          <cell r="EF107">
            <v>1</v>
          </cell>
          <cell r="EG107" t="str">
            <v>少1人</v>
          </cell>
          <cell r="EH107" t="str">
            <v/>
          </cell>
          <cell r="EI107" t="str">
            <v/>
          </cell>
          <cell r="EJ107">
            <v>0</v>
          </cell>
          <cell r="EK107">
            <v>0</v>
          </cell>
          <cell r="EL107" t="str">
            <v/>
          </cell>
          <cell r="EM107">
            <v>0</v>
          </cell>
          <cell r="EN107">
            <v>0</v>
          </cell>
          <cell r="EO107" t="str">
            <v>持平</v>
          </cell>
          <cell r="EP107">
            <v>1</v>
          </cell>
          <cell r="EQ107" t="str">
            <v>少1人</v>
          </cell>
          <cell r="ER107">
            <v>0</v>
          </cell>
          <cell r="ES107">
            <v>0</v>
          </cell>
          <cell r="ET107" t="str">
            <v>持平</v>
          </cell>
          <cell r="EU107">
            <v>0</v>
          </cell>
          <cell r="EV107" t="str">
            <v>持平</v>
          </cell>
          <cell r="EW107" t="str">
            <v/>
          </cell>
          <cell r="EX107" t="str">
            <v/>
          </cell>
          <cell r="EY107">
            <v>0</v>
          </cell>
          <cell r="EZ107">
            <v>0</v>
          </cell>
          <cell r="FA107" t="str">
            <v/>
          </cell>
        </row>
        <row r="108">
          <cell r="A108" t="str">
            <v>电诈</v>
          </cell>
          <cell r="B108" t="str">
            <v>罗定市</v>
          </cell>
        </row>
        <row r="108">
          <cell r="AM108">
            <v>9</v>
          </cell>
          <cell r="AN108">
            <v>1</v>
          </cell>
          <cell r="AO108">
            <v>8</v>
          </cell>
          <cell r="AP108">
            <v>15</v>
          </cell>
          <cell r="AQ108">
            <v>-0.4</v>
          </cell>
          <cell r="AR108">
            <v>0.4091</v>
          </cell>
          <cell r="AS108">
            <v>0.3788</v>
          </cell>
          <cell r="AT108">
            <v>10</v>
          </cell>
          <cell r="AU108">
            <v>17</v>
          </cell>
          <cell r="AV108">
            <v>-0.4118</v>
          </cell>
          <cell r="AW108">
            <v>17</v>
          </cell>
          <cell r="AX108">
            <v>-0.4118</v>
          </cell>
          <cell r="AY108">
            <v>0</v>
          </cell>
          <cell r="AZ108">
            <v>1</v>
          </cell>
          <cell r="BA108" t="str">
            <v>少1起</v>
          </cell>
          <cell r="BB108">
            <v>9</v>
          </cell>
          <cell r="BC108" t="str">
            <v>少9起</v>
          </cell>
          <cell r="BD108">
            <v>0</v>
          </cell>
          <cell r="BE108">
            <v>-0.0588</v>
          </cell>
          <cell r="BF108">
            <v>12</v>
          </cell>
          <cell r="BG108">
            <v>16</v>
          </cell>
          <cell r="BH108">
            <v>-0.25</v>
          </cell>
          <cell r="BI108">
            <v>0</v>
          </cell>
          <cell r="BJ108" t="str">
            <v>多12起</v>
          </cell>
          <cell r="BK108">
            <v>0.5455</v>
          </cell>
          <cell r="BL108">
            <v>9</v>
          </cell>
          <cell r="BM108">
            <v>0</v>
          </cell>
          <cell r="BN108" t="str">
            <v>多9起</v>
          </cell>
          <cell r="BO108">
            <v>6</v>
          </cell>
          <cell r="BP108">
            <v>0.5</v>
          </cell>
          <cell r="BQ108">
            <v>0</v>
          </cell>
          <cell r="BR108">
            <v>3</v>
          </cell>
          <cell r="BS108" t="str">
            <v>少3起</v>
          </cell>
          <cell r="BT108">
            <v>3</v>
          </cell>
          <cell r="BU108" t="str">
            <v>少3起</v>
          </cell>
          <cell r="BV108">
            <v>0</v>
          </cell>
          <cell r="BW108">
            <v>-0.0909</v>
          </cell>
          <cell r="BX108">
            <v>0</v>
          </cell>
          <cell r="BY108">
            <v>-0.1765</v>
          </cell>
          <cell r="BZ108">
            <v>0</v>
          </cell>
          <cell r="CA108">
            <v>0</v>
          </cell>
          <cell r="CB108" t="str">
            <v>持平</v>
          </cell>
          <cell r="CC108">
            <v>0</v>
          </cell>
          <cell r="CD108" t="str">
            <v>持平</v>
          </cell>
          <cell r="CE108" t="str">
            <v/>
          </cell>
          <cell r="CF108" t="str">
            <v/>
          </cell>
          <cell r="CG108">
            <v>2</v>
          </cell>
          <cell r="CH108">
            <v>37</v>
          </cell>
          <cell r="CI108">
            <v>-0.9459</v>
          </cell>
          <cell r="CJ108">
            <v>20</v>
          </cell>
          <cell r="CK108">
            <v>-0.9</v>
          </cell>
          <cell r="CL108">
            <v>9</v>
          </cell>
          <cell r="CM108">
            <v>-103</v>
          </cell>
          <cell r="CN108">
            <v>-0.9189</v>
          </cell>
          <cell r="CO108">
            <v>0</v>
          </cell>
          <cell r="CP108">
            <v>21</v>
          </cell>
          <cell r="CQ108" t="str">
            <v>少21人</v>
          </cell>
          <cell r="CR108">
            <v>2</v>
          </cell>
          <cell r="CS108" t="str">
            <v>少2人</v>
          </cell>
          <cell r="CT108">
            <v>0</v>
          </cell>
          <cell r="CU108">
            <v>-0.5676</v>
          </cell>
          <cell r="CV108">
            <v>0</v>
          </cell>
          <cell r="CW108">
            <v>-64</v>
          </cell>
          <cell r="CX108">
            <v>-1</v>
          </cell>
          <cell r="CY108">
            <v>1</v>
          </cell>
          <cell r="CZ108">
            <v>32</v>
          </cell>
          <cell r="DA108">
            <v>-0.9688</v>
          </cell>
          <cell r="DB108">
            <v>3</v>
          </cell>
          <cell r="DC108">
            <v>-0.6667</v>
          </cell>
          <cell r="DD108">
            <v>0.5</v>
          </cell>
          <cell r="DE108">
            <v>-0.3649</v>
          </cell>
          <cell r="DF108">
            <v>5</v>
          </cell>
          <cell r="DG108">
            <v>-92</v>
          </cell>
          <cell r="DH108">
            <v>-0.9531</v>
          </cell>
          <cell r="DI108">
            <v>0</v>
          </cell>
          <cell r="DJ108">
            <v>0</v>
          </cell>
          <cell r="DK108" t="str">
            <v>持平</v>
          </cell>
          <cell r="DL108">
            <v>0</v>
          </cell>
          <cell r="DM108" t="str">
            <v>持平</v>
          </cell>
          <cell r="DN108">
            <v>4</v>
          </cell>
          <cell r="DO108">
            <v>11</v>
          </cell>
          <cell r="DP108">
            <v>-0.6364</v>
          </cell>
          <cell r="DQ108">
            <v>1</v>
          </cell>
          <cell r="DR108">
            <v>3</v>
          </cell>
          <cell r="DS108">
            <v>4</v>
          </cell>
          <cell r="DT108">
            <v>11</v>
          </cell>
          <cell r="DU108">
            <v>-0.6364</v>
          </cell>
          <cell r="DV108">
            <v>1</v>
          </cell>
          <cell r="DW108">
            <v>3</v>
          </cell>
          <cell r="DX108">
            <v>2</v>
          </cell>
          <cell r="DY108">
            <v>0</v>
          </cell>
          <cell r="DZ108" t="str">
            <v>多2人</v>
          </cell>
          <cell r="EA108">
            <v>3</v>
          </cell>
          <cell r="EB108">
            <v>-0.3333</v>
          </cell>
          <cell r="EC108">
            <v>0</v>
          </cell>
          <cell r="ED108">
            <v>0</v>
          </cell>
          <cell r="EE108" t="str">
            <v>持平</v>
          </cell>
          <cell r="EF108">
            <v>3</v>
          </cell>
          <cell r="EG108" t="str">
            <v>少3人</v>
          </cell>
          <cell r="EH108" t="str">
            <v/>
          </cell>
          <cell r="EI108" t="str">
            <v/>
          </cell>
          <cell r="EJ108">
            <v>0</v>
          </cell>
          <cell r="EK108">
            <v>0</v>
          </cell>
          <cell r="EL108" t="str">
            <v/>
          </cell>
          <cell r="EM108">
            <v>0</v>
          </cell>
          <cell r="EN108">
            <v>0</v>
          </cell>
          <cell r="EO108" t="str">
            <v>持平</v>
          </cell>
          <cell r="EP108">
            <v>3</v>
          </cell>
          <cell r="EQ108" t="str">
            <v>少3人</v>
          </cell>
          <cell r="ER108">
            <v>3</v>
          </cell>
          <cell r="ES108">
            <v>6</v>
          </cell>
          <cell r="ET108">
            <v>-0.5</v>
          </cell>
          <cell r="EU108">
            <v>6</v>
          </cell>
          <cell r="EV108">
            <v>-0.5</v>
          </cell>
          <cell r="EW108" t="str">
            <v/>
          </cell>
          <cell r="EX108" t="str">
            <v/>
          </cell>
          <cell r="EY108">
            <v>14</v>
          </cell>
          <cell r="EZ108">
            <v>-5</v>
          </cell>
          <cell r="FA108">
            <v>-0.25</v>
          </cell>
        </row>
        <row r="109">
          <cell r="A109" t="str">
            <v>扰乱公共秩序</v>
          </cell>
          <cell r="B109" t="str">
            <v>全省</v>
          </cell>
        </row>
        <row r="109">
          <cell r="AM109">
            <v>2659</v>
          </cell>
          <cell r="AN109">
            <v>2482</v>
          </cell>
          <cell r="AO109">
            <v>0.0713</v>
          </cell>
          <cell r="AP109">
            <v>6729</v>
          </cell>
          <cell r="AQ109">
            <v>-0.6048</v>
          </cell>
          <cell r="AR109">
            <v>0.6021</v>
          </cell>
          <cell r="AS109">
            <v>0.4068</v>
          </cell>
          <cell r="AT109">
            <v>2879</v>
          </cell>
          <cell r="AU109">
            <v>5189</v>
          </cell>
          <cell r="AV109">
            <v>-0.4452</v>
          </cell>
          <cell r="AW109">
            <v>7435</v>
          </cell>
          <cell r="AX109">
            <v>-0.6128</v>
          </cell>
          <cell r="AY109">
            <v>905</v>
          </cell>
          <cell r="AZ109">
            <v>924</v>
          </cell>
          <cell r="BA109">
            <v>-0.0206</v>
          </cell>
          <cell r="BB109">
            <v>3151</v>
          </cell>
          <cell r="BC109">
            <v>-0.7128</v>
          </cell>
          <cell r="BD109">
            <v>0.3143</v>
          </cell>
          <cell r="BE109">
            <v>0.1363</v>
          </cell>
          <cell r="BF109">
            <v>1537</v>
          </cell>
          <cell r="BG109">
            <v>7521</v>
          </cell>
          <cell r="BH109">
            <v>-0.7956</v>
          </cell>
          <cell r="BI109">
            <v>220</v>
          </cell>
          <cell r="BJ109">
            <v>5.9864</v>
          </cell>
          <cell r="BK109">
            <v>0.3481</v>
          </cell>
          <cell r="BL109">
            <v>1754</v>
          </cell>
          <cell r="BM109">
            <v>1558</v>
          </cell>
          <cell r="BN109">
            <v>0.1258</v>
          </cell>
          <cell r="BO109">
            <v>3578</v>
          </cell>
          <cell r="BP109">
            <v>-0.5098</v>
          </cell>
          <cell r="BQ109">
            <v>839</v>
          </cell>
          <cell r="BR109">
            <v>678</v>
          </cell>
          <cell r="BS109">
            <v>0.2375</v>
          </cell>
          <cell r="BT109">
            <v>1592</v>
          </cell>
          <cell r="BU109">
            <v>-0.473</v>
          </cell>
          <cell r="BV109">
            <v>0.19</v>
          </cell>
          <cell r="BW109">
            <v>0.1366</v>
          </cell>
          <cell r="BX109">
            <v>0.2914</v>
          </cell>
          <cell r="BY109">
            <v>0.1608</v>
          </cell>
          <cell r="BZ109">
            <v>4</v>
          </cell>
          <cell r="CA109">
            <v>5</v>
          </cell>
          <cell r="CB109">
            <v>-0.2</v>
          </cell>
          <cell r="CC109">
            <v>82</v>
          </cell>
          <cell r="CD109">
            <v>-0.9512</v>
          </cell>
          <cell r="CE109" t="str">
            <v/>
          </cell>
          <cell r="CF109" t="str">
            <v/>
          </cell>
          <cell r="CG109">
            <v>8062</v>
          </cell>
          <cell r="CH109">
            <v>5343</v>
          </cell>
          <cell r="CI109">
            <v>0.5089</v>
          </cell>
          <cell r="CJ109">
            <v>6826</v>
          </cell>
          <cell r="CK109">
            <v>0.1811</v>
          </cell>
          <cell r="CL109">
            <v>183</v>
          </cell>
          <cell r="CM109">
            <v>141</v>
          </cell>
          <cell r="CN109">
            <v>3.3428</v>
          </cell>
          <cell r="CO109">
            <v>6806</v>
          </cell>
          <cell r="CP109">
            <v>3384</v>
          </cell>
          <cell r="CQ109">
            <v>1.0112</v>
          </cell>
          <cell r="CR109">
            <v>5056</v>
          </cell>
          <cell r="CS109">
            <v>0.3461</v>
          </cell>
          <cell r="CT109">
            <v>0.8442</v>
          </cell>
          <cell r="CU109">
            <v>0.2109</v>
          </cell>
          <cell r="CV109">
            <v>154</v>
          </cell>
          <cell r="CW109">
            <v>127</v>
          </cell>
          <cell r="CX109">
            <v>4.7887</v>
          </cell>
          <cell r="CY109">
            <v>7202</v>
          </cell>
          <cell r="CZ109">
            <v>3873</v>
          </cell>
          <cell r="DA109">
            <v>0.8595</v>
          </cell>
          <cell r="DB109">
            <v>5574</v>
          </cell>
          <cell r="DC109">
            <v>0.2921</v>
          </cell>
          <cell r="DD109">
            <v>0.8933</v>
          </cell>
          <cell r="DE109">
            <v>0.1685</v>
          </cell>
          <cell r="DF109">
            <v>163</v>
          </cell>
          <cell r="DG109">
            <v>133</v>
          </cell>
          <cell r="DH109">
            <v>4.3521</v>
          </cell>
          <cell r="DI109">
            <v>5916</v>
          </cell>
          <cell r="DJ109">
            <v>2996</v>
          </cell>
          <cell r="DK109">
            <v>0.9746</v>
          </cell>
          <cell r="DL109">
            <v>4524</v>
          </cell>
          <cell r="DM109">
            <v>0.3077</v>
          </cell>
          <cell r="DN109">
            <v>3028</v>
          </cell>
          <cell r="DO109">
            <v>2460</v>
          </cell>
          <cell r="DP109">
            <v>0.2309</v>
          </cell>
          <cell r="DQ109">
            <v>2933</v>
          </cell>
          <cell r="DR109">
            <v>0.0324</v>
          </cell>
          <cell r="DS109">
            <v>3029</v>
          </cell>
          <cell r="DT109">
            <v>2461</v>
          </cell>
          <cell r="DU109">
            <v>0.2308</v>
          </cell>
          <cell r="DV109">
            <v>2935</v>
          </cell>
          <cell r="DW109">
            <v>0.032</v>
          </cell>
          <cell r="DX109">
            <v>3008</v>
          </cell>
          <cell r="DY109">
            <v>2208</v>
          </cell>
          <cell r="DZ109">
            <v>0.3623</v>
          </cell>
          <cell r="EA109">
            <v>2407</v>
          </cell>
          <cell r="EB109">
            <v>0.2497</v>
          </cell>
          <cell r="EC109">
            <v>1214</v>
          </cell>
          <cell r="ED109">
            <v>1296</v>
          </cell>
          <cell r="EE109">
            <v>-0.0633</v>
          </cell>
          <cell r="EF109">
            <v>1409</v>
          </cell>
          <cell r="EG109">
            <v>-0.1384</v>
          </cell>
          <cell r="EH109">
            <v>0.1784</v>
          </cell>
          <cell r="EI109">
            <v>-0.2046</v>
          </cell>
          <cell r="EJ109">
            <v>27</v>
          </cell>
          <cell r="EK109">
            <v>17</v>
          </cell>
          <cell r="EL109">
            <v>1.6961</v>
          </cell>
          <cell r="EM109">
            <v>1263</v>
          </cell>
          <cell r="EN109">
            <v>1278</v>
          </cell>
          <cell r="EO109">
            <v>-0.0117</v>
          </cell>
          <cell r="EP109">
            <v>1436</v>
          </cell>
          <cell r="EQ109">
            <v>-0.1205</v>
          </cell>
          <cell r="ER109">
            <v>1897</v>
          </cell>
          <cell r="ES109">
            <v>1482</v>
          </cell>
          <cell r="ET109">
            <v>0.28</v>
          </cell>
          <cell r="EU109">
            <v>3195</v>
          </cell>
          <cell r="EV109">
            <v>-0.4063</v>
          </cell>
          <cell r="EW109">
            <v>0.2787</v>
          </cell>
          <cell r="EX109">
            <v>-0.1592</v>
          </cell>
          <cell r="EY109">
            <v>43</v>
          </cell>
          <cell r="EZ109">
            <v>31</v>
          </cell>
          <cell r="FA109">
            <v>2.6841</v>
          </cell>
        </row>
        <row r="110">
          <cell r="A110" t="str">
            <v>扰乱公共秩序</v>
          </cell>
          <cell r="B110" t="str">
            <v>云浮</v>
          </cell>
        </row>
        <row r="110">
          <cell r="AM110">
            <v>14</v>
          </cell>
          <cell r="AN110">
            <v>8</v>
          </cell>
          <cell r="AO110">
            <v>0.75</v>
          </cell>
          <cell r="AP110">
            <v>21</v>
          </cell>
          <cell r="AQ110">
            <v>-0.3333</v>
          </cell>
          <cell r="AR110">
            <v>0.9333</v>
          </cell>
          <cell r="AS110">
            <v>0.1333</v>
          </cell>
          <cell r="AT110">
            <v>7</v>
          </cell>
          <cell r="AU110">
            <v>7</v>
          </cell>
          <cell r="AV110">
            <v>0</v>
          </cell>
          <cell r="AW110">
            <v>7</v>
          </cell>
          <cell r="AX110">
            <v>0</v>
          </cell>
          <cell r="AY110">
            <v>5</v>
          </cell>
          <cell r="AZ110">
            <v>4</v>
          </cell>
          <cell r="BA110">
            <v>0.25</v>
          </cell>
          <cell r="BB110">
            <v>15</v>
          </cell>
          <cell r="BC110">
            <v>-0.6667</v>
          </cell>
          <cell r="BD110">
            <v>0.7143</v>
          </cell>
          <cell r="BE110">
            <v>0.1429</v>
          </cell>
          <cell r="BF110">
            <v>8</v>
          </cell>
          <cell r="BG110">
            <v>3</v>
          </cell>
          <cell r="BH110">
            <v>1.6667</v>
          </cell>
          <cell r="BI110">
            <v>1</v>
          </cell>
          <cell r="BJ110">
            <v>7</v>
          </cell>
          <cell r="BK110">
            <v>0.5333</v>
          </cell>
          <cell r="BL110">
            <v>9</v>
          </cell>
          <cell r="BM110">
            <v>4</v>
          </cell>
          <cell r="BN110">
            <v>1.25</v>
          </cell>
          <cell r="BO110">
            <v>6</v>
          </cell>
          <cell r="BP110">
            <v>0.5</v>
          </cell>
          <cell r="BQ110">
            <v>11</v>
          </cell>
          <cell r="BR110">
            <v>12</v>
          </cell>
          <cell r="BS110">
            <v>-0.0833</v>
          </cell>
          <cell r="BT110">
            <v>14</v>
          </cell>
          <cell r="BU110">
            <v>-0.2143</v>
          </cell>
          <cell r="BV110">
            <v>0.7333</v>
          </cell>
          <cell r="BW110">
            <v>-0.4667</v>
          </cell>
          <cell r="BX110">
            <v>1.5714</v>
          </cell>
          <cell r="BY110">
            <v>-0.1429</v>
          </cell>
          <cell r="BZ110">
            <v>0</v>
          </cell>
          <cell r="CA110">
            <v>0</v>
          </cell>
          <cell r="CB110" t="str">
            <v>持平</v>
          </cell>
          <cell r="CC110">
            <v>0</v>
          </cell>
          <cell r="CD110" t="str">
            <v>持平</v>
          </cell>
          <cell r="CE110" t="str">
            <v/>
          </cell>
          <cell r="CF110" t="str">
            <v/>
          </cell>
          <cell r="CG110">
            <v>118</v>
          </cell>
          <cell r="CH110">
            <v>44</v>
          </cell>
          <cell r="CI110">
            <v>1.6818</v>
          </cell>
          <cell r="CJ110">
            <v>88</v>
          </cell>
          <cell r="CK110">
            <v>0.3409</v>
          </cell>
          <cell r="CL110">
            <v>787</v>
          </cell>
          <cell r="CM110">
            <v>347</v>
          </cell>
          <cell r="CN110">
            <v>0.7879</v>
          </cell>
          <cell r="CO110">
            <v>82</v>
          </cell>
          <cell r="CP110">
            <v>70</v>
          </cell>
          <cell r="CQ110">
            <v>0.1714</v>
          </cell>
          <cell r="CR110">
            <v>100</v>
          </cell>
          <cell r="CS110">
            <v>-0.18</v>
          </cell>
          <cell r="CT110">
            <v>0.6949</v>
          </cell>
          <cell r="CU110">
            <v>-0.896</v>
          </cell>
          <cell r="CV110">
            <v>547</v>
          </cell>
          <cell r="CW110">
            <v>-153</v>
          </cell>
          <cell r="CX110">
            <v>-0.219</v>
          </cell>
          <cell r="CY110">
            <v>85</v>
          </cell>
          <cell r="CZ110">
            <v>70</v>
          </cell>
          <cell r="DA110">
            <v>0.2143</v>
          </cell>
          <cell r="DB110">
            <v>103</v>
          </cell>
          <cell r="DC110">
            <v>-0.1748</v>
          </cell>
          <cell r="DD110">
            <v>0.7203</v>
          </cell>
          <cell r="DE110">
            <v>-0.8706</v>
          </cell>
          <cell r="DF110">
            <v>567</v>
          </cell>
          <cell r="DG110">
            <v>-133</v>
          </cell>
          <cell r="DH110">
            <v>-0.1905</v>
          </cell>
          <cell r="DI110">
            <v>65</v>
          </cell>
          <cell r="DJ110">
            <v>59</v>
          </cell>
          <cell r="DK110">
            <v>0.1017</v>
          </cell>
          <cell r="DL110">
            <v>91</v>
          </cell>
          <cell r="DM110">
            <v>-0.2857</v>
          </cell>
          <cell r="DN110">
            <v>30</v>
          </cell>
          <cell r="DO110">
            <v>17</v>
          </cell>
          <cell r="DP110">
            <v>0.7647</v>
          </cell>
          <cell r="DQ110">
            <v>39</v>
          </cell>
          <cell r="DR110">
            <v>-0.2308</v>
          </cell>
          <cell r="DS110">
            <v>30</v>
          </cell>
          <cell r="DT110">
            <v>17</v>
          </cell>
          <cell r="DU110">
            <v>0.7647</v>
          </cell>
          <cell r="DV110">
            <v>39</v>
          </cell>
          <cell r="DW110">
            <v>-0.2308</v>
          </cell>
          <cell r="DX110">
            <v>33</v>
          </cell>
          <cell r="DY110">
            <v>14</v>
          </cell>
          <cell r="DZ110">
            <v>1.3571</v>
          </cell>
          <cell r="EA110">
            <v>33</v>
          </cell>
          <cell r="EB110">
            <v>0</v>
          </cell>
          <cell r="EC110">
            <v>15</v>
          </cell>
          <cell r="ED110">
            <v>9</v>
          </cell>
          <cell r="EE110">
            <v>0.6667</v>
          </cell>
          <cell r="EF110">
            <v>24</v>
          </cell>
          <cell r="EG110">
            <v>-0.375</v>
          </cell>
          <cell r="EH110">
            <v>0.1829</v>
          </cell>
          <cell r="EI110">
            <v>0.0544</v>
          </cell>
          <cell r="EJ110">
            <v>100</v>
          </cell>
          <cell r="EK110">
            <v>10</v>
          </cell>
          <cell r="EL110">
            <v>0.1111</v>
          </cell>
          <cell r="EM110">
            <v>15</v>
          </cell>
          <cell r="EN110">
            <v>9</v>
          </cell>
          <cell r="EO110">
            <v>0.6667</v>
          </cell>
          <cell r="EP110">
            <v>24</v>
          </cell>
          <cell r="EQ110">
            <v>-0.375</v>
          </cell>
          <cell r="ER110">
            <v>25</v>
          </cell>
          <cell r="ES110">
            <v>16</v>
          </cell>
          <cell r="ET110">
            <v>0.5625</v>
          </cell>
          <cell r="EU110">
            <v>34</v>
          </cell>
          <cell r="EV110">
            <v>-0.2647</v>
          </cell>
          <cell r="EW110">
            <v>0.3049</v>
          </cell>
          <cell r="EX110">
            <v>0.0763</v>
          </cell>
          <cell r="EY110">
            <v>167</v>
          </cell>
          <cell r="EZ110">
            <v>7</v>
          </cell>
          <cell r="FA110">
            <v>0.0417</v>
          </cell>
        </row>
        <row r="111">
          <cell r="A111" t="str">
            <v>扰乱公共秩序</v>
          </cell>
          <cell r="B111" t="str">
            <v>云城区</v>
          </cell>
        </row>
        <row r="111">
          <cell r="AM111">
            <v>1</v>
          </cell>
          <cell r="AN111">
            <v>1</v>
          </cell>
          <cell r="AO111">
            <v>0</v>
          </cell>
          <cell r="AP111">
            <v>1</v>
          </cell>
          <cell r="AQ111">
            <v>0</v>
          </cell>
          <cell r="AR111">
            <v>0.5</v>
          </cell>
          <cell r="AS111">
            <v>-0.5</v>
          </cell>
          <cell r="AT111">
            <v>2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0</v>
          </cell>
          <cell r="BB111">
            <v>1</v>
          </cell>
          <cell r="BC111">
            <v>0</v>
          </cell>
          <cell r="BD111">
            <v>0.5</v>
          </cell>
          <cell r="BE111">
            <v>-0.5</v>
          </cell>
          <cell r="BF111">
            <v>0</v>
          </cell>
          <cell r="BG111">
            <v>0</v>
          </cell>
          <cell r="BH111" t="str">
            <v>持平</v>
          </cell>
          <cell r="BI111">
            <v>0</v>
          </cell>
          <cell r="BJ111" t="str">
            <v>持平</v>
          </cell>
          <cell r="BK111">
            <v>0</v>
          </cell>
          <cell r="BL111">
            <v>0</v>
          </cell>
          <cell r="BM111">
            <v>0</v>
          </cell>
          <cell r="BN111" t="str">
            <v>持平</v>
          </cell>
          <cell r="BO111">
            <v>0</v>
          </cell>
          <cell r="BP111" t="str">
            <v>持平</v>
          </cell>
          <cell r="BQ111">
            <v>1</v>
          </cell>
          <cell r="BR111">
            <v>2</v>
          </cell>
          <cell r="BS111">
            <v>-0.5</v>
          </cell>
          <cell r="BT111">
            <v>0</v>
          </cell>
          <cell r="BU111" t="str">
            <v>多1起</v>
          </cell>
          <cell r="BV111">
            <v>0.5</v>
          </cell>
          <cell r="BW111">
            <v>-1.5</v>
          </cell>
          <cell r="BX111">
            <v>0.5</v>
          </cell>
          <cell r="BY111">
            <v>-1.5</v>
          </cell>
          <cell r="BZ111">
            <v>0</v>
          </cell>
          <cell r="CA111">
            <v>0</v>
          </cell>
          <cell r="CB111" t="str">
            <v>持平</v>
          </cell>
          <cell r="CC111">
            <v>0</v>
          </cell>
          <cell r="CD111" t="str">
            <v>持平</v>
          </cell>
          <cell r="CE111" t="str">
            <v/>
          </cell>
          <cell r="CF111" t="str">
            <v/>
          </cell>
          <cell r="CG111">
            <v>45</v>
          </cell>
          <cell r="CH111">
            <v>6</v>
          </cell>
          <cell r="CI111">
            <v>6.5</v>
          </cell>
          <cell r="CJ111">
            <v>1</v>
          </cell>
          <cell r="CK111">
            <v>44</v>
          </cell>
          <cell r="CL111">
            <v>2250</v>
          </cell>
          <cell r="CM111">
            <v>1650</v>
          </cell>
          <cell r="CN111">
            <v>2.75</v>
          </cell>
          <cell r="CO111">
            <v>17</v>
          </cell>
          <cell r="CP111">
            <v>6</v>
          </cell>
          <cell r="CQ111">
            <v>1.8333</v>
          </cell>
          <cell r="CR111">
            <v>2</v>
          </cell>
          <cell r="CS111">
            <v>7.5</v>
          </cell>
          <cell r="CT111">
            <v>0.3778</v>
          </cell>
          <cell r="CU111">
            <v>-0.6222</v>
          </cell>
          <cell r="CV111">
            <v>850</v>
          </cell>
          <cell r="CW111">
            <v>250</v>
          </cell>
          <cell r="CX111">
            <v>0.4167</v>
          </cell>
          <cell r="CY111">
            <v>17</v>
          </cell>
          <cell r="CZ111">
            <v>6</v>
          </cell>
          <cell r="DA111">
            <v>1.8333</v>
          </cell>
          <cell r="DB111">
            <v>2</v>
          </cell>
          <cell r="DC111">
            <v>7.5</v>
          </cell>
          <cell r="DD111">
            <v>0.3778</v>
          </cell>
          <cell r="DE111">
            <v>-0.6222</v>
          </cell>
          <cell r="DF111">
            <v>850</v>
          </cell>
          <cell r="DG111">
            <v>250</v>
          </cell>
          <cell r="DH111">
            <v>0.4167</v>
          </cell>
          <cell r="DI111">
            <v>0</v>
          </cell>
          <cell r="DJ111">
            <v>0</v>
          </cell>
          <cell r="DK111" t="str">
            <v>持平</v>
          </cell>
          <cell r="DL111">
            <v>0</v>
          </cell>
          <cell r="DM111" t="str">
            <v>持平</v>
          </cell>
          <cell r="DN111">
            <v>0</v>
          </cell>
          <cell r="DO111">
            <v>0</v>
          </cell>
          <cell r="DP111" t="str">
            <v>持平</v>
          </cell>
          <cell r="DQ111">
            <v>4</v>
          </cell>
          <cell r="DR111" t="str">
            <v>少4人</v>
          </cell>
          <cell r="DS111">
            <v>0</v>
          </cell>
          <cell r="DT111">
            <v>0</v>
          </cell>
          <cell r="DU111" t="str">
            <v>持平</v>
          </cell>
          <cell r="DV111">
            <v>4</v>
          </cell>
          <cell r="DW111" t="str">
            <v>少4人</v>
          </cell>
          <cell r="DX111">
            <v>7</v>
          </cell>
          <cell r="DY111">
            <v>0</v>
          </cell>
          <cell r="DZ111" t="str">
            <v>多7人</v>
          </cell>
          <cell r="EA111">
            <v>7</v>
          </cell>
          <cell r="EB111">
            <v>0</v>
          </cell>
          <cell r="EC111">
            <v>1</v>
          </cell>
          <cell r="ED111">
            <v>0</v>
          </cell>
          <cell r="EE111" t="str">
            <v>多1人</v>
          </cell>
          <cell r="EF111">
            <v>5</v>
          </cell>
          <cell r="EG111">
            <v>-0.8</v>
          </cell>
          <cell r="EH111">
            <v>0.0588</v>
          </cell>
          <cell r="EI111">
            <v>0.0588</v>
          </cell>
          <cell r="EJ111">
            <v>50</v>
          </cell>
          <cell r="EK111">
            <v>50</v>
          </cell>
          <cell r="EL111" t="str">
            <v/>
          </cell>
          <cell r="EM111">
            <v>1</v>
          </cell>
          <cell r="EN111">
            <v>0</v>
          </cell>
          <cell r="EO111" t="str">
            <v>多1人</v>
          </cell>
          <cell r="EP111">
            <v>5</v>
          </cell>
          <cell r="EQ111">
            <v>-0.8</v>
          </cell>
          <cell r="ER111">
            <v>1</v>
          </cell>
          <cell r="ES111">
            <v>3</v>
          </cell>
          <cell r="ET111">
            <v>-0.6667</v>
          </cell>
          <cell r="EU111">
            <v>0</v>
          </cell>
          <cell r="EV111" t="str">
            <v>多1人</v>
          </cell>
          <cell r="EW111">
            <v>0.0588</v>
          </cell>
          <cell r="EX111">
            <v>-0.4412</v>
          </cell>
          <cell r="EY111">
            <v>50</v>
          </cell>
          <cell r="EZ111">
            <v>-250</v>
          </cell>
          <cell r="FA111">
            <v>-0.8333</v>
          </cell>
        </row>
        <row r="112">
          <cell r="A112" t="str">
            <v>扰乱公共秩序</v>
          </cell>
          <cell r="B112" t="str">
            <v>云安区</v>
          </cell>
        </row>
        <row r="112">
          <cell r="AM112">
            <v>2</v>
          </cell>
          <cell r="AN112">
            <v>2</v>
          </cell>
          <cell r="AO112">
            <v>0</v>
          </cell>
          <cell r="AP112">
            <v>4</v>
          </cell>
          <cell r="AQ112">
            <v>-0.5</v>
          </cell>
          <cell r="AR112">
            <v>2</v>
          </cell>
          <cell r="AS112">
            <v>1</v>
          </cell>
          <cell r="AT112">
            <v>0</v>
          </cell>
          <cell r="AU112">
            <v>2</v>
          </cell>
          <cell r="AV112" t="str">
            <v>少2起</v>
          </cell>
          <cell r="AW112">
            <v>1</v>
          </cell>
          <cell r="AX112" t="str">
            <v>少1起</v>
          </cell>
          <cell r="AY112">
            <v>0</v>
          </cell>
          <cell r="AZ112">
            <v>2</v>
          </cell>
          <cell r="BA112" t="str">
            <v>少2起</v>
          </cell>
          <cell r="BB112">
            <v>3</v>
          </cell>
          <cell r="BC112" t="str">
            <v>少3起</v>
          </cell>
          <cell r="BD112" t="str">
            <v/>
          </cell>
          <cell r="BE112" t="str">
            <v/>
          </cell>
          <cell r="BF112">
            <v>1</v>
          </cell>
          <cell r="BG112">
            <v>0</v>
          </cell>
          <cell r="BH112" t="str">
            <v>多1起</v>
          </cell>
          <cell r="BI112">
            <v>0</v>
          </cell>
          <cell r="BJ112" t="str">
            <v>多1起</v>
          </cell>
          <cell r="BK112">
            <v>1</v>
          </cell>
          <cell r="BL112">
            <v>2</v>
          </cell>
          <cell r="BM112">
            <v>0</v>
          </cell>
          <cell r="BN112" t="str">
            <v>多2起</v>
          </cell>
          <cell r="BO112">
            <v>1</v>
          </cell>
          <cell r="BP112">
            <v>1</v>
          </cell>
          <cell r="BQ112">
            <v>3</v>
          </cell>
          <cell r="BR112">
            <v>2</v>
          </cell>
          <cell r="BS112">
            <v>0.5</v>
          </cell>
          <cell r="BT112">
            <v>2</v>
          </cell>
          <cell r="BU112">
            <v>0.5</v>
          </cell>
          <cell r="BV112">
            <v>3</v>
          </cell>
          <cell r="BW112">
            <v>2</v>
          </cell>
          <cell r="BX112" t="str">
            <v/>
          </cell>
          <cell r="BY112" t="str">
            <v/>
          </cell>
          <cell r="BZ112">
            <v>0</v>
          </cell>
          <cell r="CA112">
            <v>0</v>
          </cell>
          <cell r="CB112" t="str">
            <v>持平</v>
          </cell>
          <cell r="CC112">
            <v>0</v>
          </cell>
          <cell r="CD112" t="str">
            <v>持平</v>
          </cell>
          <cell r="CE112" t="str">
            <v/>
          </cell>
          <cell r="CF112" t="str">
            <v/>
          </cell>
          <cell r="CG112">
            <v>22</v>
          </cell>
          <cell r="CH112">
            <v>9</v>
          </cell>
          <cell r="CI112">
            <v>1.4444</v>
          </cell>
          <cell r="CJ112">
            <v>59</v>
          </cell>
          <cell r="CK112">
            <v>-0.6271</v>
          </cell>
          <cell r="CL112">
            <v>2200</v>
          </cell>
          <cell r="CM112">
            <v>1750</v>
          </cell>
          <cell r="CN112">
            <v>3.8889</v>
          </cell>
          <cell r="CO112">
            <v>8</v>
          </cell>
          <cell r="CP112">
            <v>10</v>
          </cell>
          <cell r="CQ112">
            <v>-0.2</v>
          </cell>
          <cell r="CR112">
            <v>21</v>
          </cell>
          <cell r="CS112">
            <v>-0.619</v>
          </cell>
          <cell r="CT112">
            <v>0.3636</v>
          </cell>
          <cell r="CU112">
            <v>-0.7475</v>
          </cell>
          <cell r="CV112">
            <v>800</v>
          </cell>
          <cell r="CW112">
            <v>300</v>
          </cell>
          <cell r="CX112">
            <v>0.6</v>
          </cell>
          <cell r="CY112">
            <v>8</v>
          </cell>
          <cell r="CZ112">
            <v>10</v>
          </cell>
          <cell r="DA112">
            <v>-0.2</v>
          </cell>
          <cell r="DB112">
            <v>23</v>
          </cell>
          <cell r="DC112">
            <v>-0.6522</v>
          </cell>
          <cell r="DD112">
            <v>0.3636</v>
          </cell>
          <cell r="DE112">
            <v>-0.7475</v>
          </cell>
          <cell r="DF112">
            <v>800</v>
          </cell>
          <cell r="DG112">
            <v>300</v>
          </cell>
          <cell r="DH112">
            <v>0.6</v>
          </cell>
          <cell r="DI112">
            <v>0</v>
          </cell>
          <cell r="DJ112">
            <v>0</v>
          </cell>
          <cell r="DK112" t="str">
            <v>持平</v>
          </cell>
          <cell r="DL112">
            <v>0</v>
          </cell>
          <cell r="DM112" t="str">
            <v>持平</v>
          </cell>
          <cell r="DN112">
            <v>11</v>
          </cell>
          <cell r="DO112">
            <v>1</v>
          </cell>
          <cell r="DP112">
            <v>10</v>
          </cell>
          <cell r="DQ112">
            <v>9</v>
          </cell>
          <cell r="DR112">
            <v>0.2222</v>
          </cell>
          <cell r="DS112">
            <v>11</v>
          </cell>
          <cell r="DT112">
            <v>1</v>
          </cell>
          <cell r="DU112">
            <v>10</v>
          </cell>
          <cell r="DV112">
            <v>9</v>
          </cell>
          <cell r="DW112">
            <v>0.2222</v>
          </cell>
          <cell r="DX112">
            <v>7</v>
          </cell>
          <cell r="DY112">
            <v>0</v>
          </cell>
          <cell r="DZ112" t="str">
            <v>多7人</v>
          </cell>
          <cell r="EA112">
            <v>3</v>
          </cell>
          <cell r="EB112">
            <v>1.3333</v>
          </cell>
          <cell r="EC112">
            <v>2</v>
          </cell>
          <cell r="ED112">
            <v>2</v>
          </cell>
          <cell r="EE112">
            <v>0</v>
          </cell>
          <cell r="EF112">
            <v>3</v>
          </cell>
          <cell r="EG112">
            <v>-0.3333</v>
          </cell>
          <cell r="EH112">
            <v>0.25</v>
          </cell>
          <cell r="EI112">
            <v>0.05</v>
          </cell>
          <cell r="EJ112">
            <v>200</v>
          </cell>
          <cell r="EK112">
            <v>100</v>
          </cell>
          <cell r="EL112">
            <v>1</v>
          </cell>
          <cell r="EM112">
            <v>2</v>
          </cell>
          <cell r="EN112">
            <v>2</v>
          </cell>
          <cell r="EO112">
            <v>0</v>
          </cell>
          <cell r="EP112">
            <v>3</v>
          </cell>
          <cell r="EQ112">
            <v>-0.3333</v>
          </cell>
          <cell r="ER112">
            <v>4</v>
          </cell>
          <cell r="ES112">
            <v>2</v>
          </cell>
          <cell r="ET112">
            <v>1</v>
          </cell>
          <cell r="EU112">
            <v>4</v>
          </cell>
          <cell r="EV112">
            <v>0</v>
          </cell>
          <cell r="EW112">
            <v>0.5</v>
          </cell>
          <cell r="EX112">
            <v>0.3</v>
          </cell>
          <cell r="EY112">
            <v>400</v>
          </cell>
          <cell r="EZ112">
            <v>300</v>
          </cell>
          <cell r="FA112">
            <v>3</v>
          </cell>
        </row>
        <row r="113">
          <cell r="A113" t="str">
            <v>扰乱公共秩序</v>
          </cell>
          <cell r="B113" t="str">
            <v>新兴县</v>
          </cell>
        </row>
        <row r="113">
          <cell r="AM113">
            <v>3</v>
          </cell>
          <cell r="AN113">
            <v>1</v>
          </cell>
          <cell r="AO113">
            <v>2</v>
          </cell>
          <cell r="AP113">
            <v>4</v>
          </cell>
          <cell r="AQ113">
            <v>-0.25</v>
          </cell>
          <cell r="AR113">
            <v>0.6</v>
          </cell>
          <cell r="AS113">
            <v>0.2667</v>
          </cell>
          <cell r="AT113">
            <v>2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0</v>
          </cell>
          <cell r="BA113" t="str">
            <v>多1起</v>
          </cell>
          <cell r="BB113">
            <v>4</v>
          </cell>
          <cell r="BC113">
            <v>-0.75</v>
          </cell>
          <cell r="BD113">
            <v>0.5</v>
          </cell>
          <cell r="BE113">
            <v>0.5</v>
          </cell>
          <cell r="BF113">
            <v>3</v>
          </cell>
          <cell r="BG113">
            <v>2</v>
          </cell>
          <cell r="BH113">
            <v>0.5</v>
          </cell>
          <cell r="BI113">
            <v>0</v>
          </cell>
          <cell r="BJ113" t="str">
            <v>多3起</v>
          </cell>
          <cell r="BK113">
            <v>0.6</v>
          </cell>
          <cell r="BL113">
            <v>2</v>
          </cell>
          <cell r="BM113">
            <v>1</v>
          </cell>
          <cell r="BN113">
            <v>1</v>
          </cell>
          <cell r="BO113">
            <v>0</v>
          </cell>
          <cell r="BP113" t="str">
            <v>多2起</v>
          </cell>
          <cell r="BQ113">
            <v>2</v>
          </cell>
          <cell r="BR113">
            <v>5</v>
          </cell>
          <cell r="BS113">
            <v>-0.6</v>
          </cell>
          <cell r="BT113">
            <v>3</v>
          </cell>
          <cell r="BU113">
            <v>-0.3333</v>
          </cell>
          <cell r="BV113">
            <v>0.4</v>
          </cell>
          <cell r="BW113">
            <v>-1.2667</v>
          </cell>
          <cell r="BX113">
            <v>1</v>
          </cell>
          <cell r="BY113">
            <v>-4</v>
          </cell>
          <cell r="BZ113">
            <v>0</v>
          </cell>
          <cell r="CA113">
            <v>0</v>
          </cell>
          <cell r="CB113" t="str">
            <v>持平</v>
          </cell>
          <cell r="CC113">
            <v>0</v>
          </cell>
          <cell r="CD113" t="str">
            <v>持平</v>
          </cell>
          <cell r="CE113" t="str">
            <v/>
          </cell>
          <cell r="CF113" t="str">
            <v/>
          </cell>
          <cell r="CG113">
            <v>25</v>
          </cell>
          <cell r="CH113">
            <v>17</v>
          </cell>
          <cell r="CI113">
            <v>0.4706</v>
          </cell>
          <cell r="CJ113">
            <v>2</v>
          </cell>
          <cell r="CK113">
            <v>11.5</v>
          </cell>
          <cell r="CL113">
            <v>500</v>
          </cell>
          <cell r="CM113">
            <v>-67</v>
          </cell>
          <cell r="CN113">
            <v>-0.1176</v>
          </cell>
          <cell r="CO113">
            <v>20</v>
          </cell>
          <cell r="CP113">
            <v>11</v>
          </cell>
          <cell r="CQ113">
            <v>0.8182</v>
          </cell>
          <cell r="CR113">
            <v>4</v>
          </cell>
          <cell r="CS113">
            <v>4</v>
          </cell>
          <cell r="CT113">
            <v>0.8</v>
          </cell>
          <cell r="CU113">
            <v>0.1529</v>
          </cell>
          <cell r="CV113">
            <v>400</v>
          </cell>
          <cell r="CW113">
            <v>33</v>
          </cell>
          <cell r="CX113">
            <v>0.0909</v>
          </cell>
          <cell r="CY113">
            <v>21</v>
          </cell>
          <cell r="CZ113">
            <v>11</v>
          </cell>
          <cell r="DA113">
            <v>0.9091</v>
          </cell>
          <cell r="DB113">
            <v>5</v>
          </cell>
          <cell r="DC113">
            <v>3.2</v>
          </cell>
          <cell r="DD113">
            <v>0.84</v>
          </cell>
          <cell r="DE113">
            <v>0.1929</v>
          </cell>
          <cell r="DF113">
            <v>420</v>
          </cell>
          <cell r="DG113">
            <v>53</v>
          </cell>
          <cell r="DH113">
            <v>0.1455</v>
          </cell>
          <cell r="DI113">
            <v>16</v>
          </cell>
          <cell r="DJ113">
            <v>21</v>
          </cell>
          <cell r="DK113">
            <v>-0.2381</v>
          </cell>
          <cell r="DL113">
            <v>18</v>
          </cell>
          <cell r="DM113">
            <v>-0.1111</v>
          </cell>
          <cell r="DN113">
            <v>7</v>
          </cell>
          <cell r="DO113">
            <v>3</v>
          </cell>
          <cell r="DP113">
            <v>1.3333</v>
          </cell>
          <cell r="DQ113">
            <v>1</v>
          </cell>
          <cell r="DR113">
            <v>6</v>
          </cell>
          <cell r="DS113">
            <v>7</v>
          </cell>
          <cell r="DT113">
            <v>3</v>
          </cell>
          <cell r="DU113">
            <v>1.3333</v>
          </cell>
          <cell r="DV113">
            <v>1</v>
          </cell>
          <cell r="DW113">
            <v>6</v>
          </cell>
          <cell r="DX113">
            <v>6</v>
          </cell>
          <cell r="DY113">
            <v>2</v>
          </cell>
          <cell r="DZ113">
            <v>2</v>
          </cell>
          <cell r="EA113">
            <v>3</v>
          </cell>
          <cell r="EB113">
            <v>1</v>
          </cell>
          <cell r="EC113">
            <v>0</v>
          </cell>
          <cell r="ED113">
            <v>0</v>
          </cell>
          <cell r="EE113" t="str">
            <v>持平</v>
          </cell>
          <cell r="EF113">
            <v>0</v>
          </cell>
          <cell r="EG113" t="str">
            <v>持平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 t="str">
            <v/>
          </cell>
          <cell r="EM113">
            <v>0</v>
          </cell>
          <cell r="EN113">
            <v>0</v>
          </cell>
          <cell r="EO113" t="str">
            <v>持平</v>
          </cell>
          <cell r="EP113">
            <v>0</v>
          </cell>
          <cell r="EQ113" t="str">
            <v>持平</v>
          </cell>
          <cell r="ER113">
            <v>5</v>
          </cell>
          <cell r="ES113">
            <v>5</v>
          </cell>
          <cell r="ET113">
            <v>0</v>
          </cell>
          <cell r="EU113">
            <v>7</v>
          </cell>
          <cell r="EV113">
            <v>-0.2857</v>
          </cell>
          <cell r="EW113">
            <v>0.25</v>
          </cell>
          <cell r="EX113">
            <v>-0.2045</v>
          </cell>
          <cell r="EY113">
            <v>100</v>
          </cell>
          <cell r="EZ113">
            <v>-67</v>
          </cell>
          <cell r="FA113">
            <v>-0.4</v>
          </cell>
        </row>
        <row r="114">
          <cell r="A114" t="str">
            <v>扰乱公共秩序</v>
          </cell>
          <cell r="B114" t="str">
            <v>郁南县</v>
          </cell>
        </row>
        <row r="114">
          <cell r="AM114">
            <v>3</v>
          </cell>
          <cell r="AN114">
            <v>1</v>
          </cell>
          <cell r="AO114">
            <v>2</v>
          </cell>
          <cell r="AP114">
            <v>0</v>
          </cell>
          <cell r="AQ114" t="str">
            <v>多3起</v>
          </cell>
          <cell r="AR114">
            <v>1</v>
          </cell>
          <cell r="AS114">
            <v>0.5</v>
          </cell>
          <cell r="AT114">
            <v>3</v>
          </cell>
          <cell r="AU114">
            <v>2</v>
          </cell>
          <cell r="AV114">
            <v>0.5</v>
          </cell>
          <cell r="AW114">
            <v>0</v>
          </cell>
          <cell r="AX114" t="str">
            <v>多3起</v>
          </cell>
          <cell r="AY114">
            <v>3</v>
          </cell>
          <cell r="AZ114">
            <v>1</v>
          </cell>
          <cell r="BA114">
            <v>2</v>
          </cell>
          <cell r="BB114">
            <v>0</v>
          </cell>
          <cell r="BC114" t="str">
            <v>多3起</v>
          </cell>
          <cell r="BD114">
            <v>1</v>
          </cell>
          <cell r="BE114">
            <v>0.5</v>
          </cell>
          <cell r="BF114">
            <v>0</v>
          </cell>
          <cell r="BG114">
            <v>0</v>
          </cell>
          <cell r="BH114" t="str">
            <v>持平</v>
          </cell>
          <cell r="BI114">
            <v>0</v>
          </cell>
          <cell r="BJ114" t="str">
            <v>持平</v>
          </cell>
          <cell r="BK114">
            <v>0</v>
          </cell>
          <cell r="BL114">
            <v>0</v>
          </cell>
          <cell r="BM114">
            <v>0</v>
          </cell>
          <cell r="BN114" t="str">
            <v>持平</v>
          </cell>
          <cell r="BO114">
            <v>0</v>
          </cell>
          <cell r="BP114" t="str">
            <v>持平</v>
          </cell>
          <cell r="BQ114">
            <v>3</v>
          </cell>
          <cell r="BR114">
            <v>0</v>
          </cell>
          <cell r="BS114" t="str">
            <v>多3起</v>
          </cell>
          <cell r="BT114">
            <v>5</v>
          </cell>
          <cell r="BU114">
            <v>-0.4</v>
          </cell>
          <cell r="BV114">
            <v>1</v>
          </cell>
          <cell r="BW114">
            <v>1</v>
          </cell>
          <cell r="BX114">
            <v>1</v>
          </cell>
          <cell r="BY114">
            <v>1</v>
          </cell>
          <cell r="BZ114">
            <v>0</v>
          </cell>
          <cell r="CA114">
            <v>0</v>
          </cell>
          <cell r="CB114" t="str">
            <v>持平</v>
          </cell>
          <cell r="CC114">
            <v>0</v>
          </cell>
          <cell r="CD114" t="str">
            <v>持平</v>
          </cell>
          <cell r="CE114" t="str">
            <v/>
          </cell>
          <cell r="CF114" t="str">
            <v/>
          </cell>
          <cell r="CG114">
            <v>13</v>
          </cell>
          <cell r="CH114">
            <v>7</v>
          </cell>
          <cell r="CI114">
            <v>0.8571</v>
          </cell>
          <cell r="CJ114">
            <v>1</v>
          </cell>
          <cell r="CK114">
            <v>12</v>
          </cell>
          <cell r="CL114">
            <v>433</v>
          </cell>
          <cell r="CM114">
            <v>83</v>
          </cell>
          <cell r="CN114">
            <v>0.2381</v>
          </cell>
          <cell r="CO114">
            <v>14</v>
          </cell>
          <cell r="CP114">
            <v>2</v>
          </cell>
          <cell r="CQ114">
            <v>6</v>
          </cell>
          <cell r="CR114">
            <v>0</v>
          </cell>
          <cell r="CS114" t="str">
            <v>多14人</v>
          </cell>
          <cell r="CT114">
            <v>1.0769</v>
          </cell>
          <cell r="CU114">
            <v>0.7912</v>
          </cell>
          <cell r="CV114">
            <v>467</v>
          </cell>
          <cell r="CW114">
            <v>367</v>
          </cell>
          <cell r="CX114">
            <v>3.6667</v>
          </cell>
          <cell r="CY114">
            <v>15</v>
          </cell>
          <cell r="CZ114">
            <v>2</v>
          </cell>
          <cell r="DA114">
            <v>6.5</v>
          </cell>
          <cell r="DB114">
            <v>0</v>
          </cell>
          <cell r="DC114" t="str">
            <v>多15人</v>
          </cell>
          <cell r="DD114">
            <v>1.1538</v>
          </cell>
          <cell r="DE114">
            <v>0.8681</v>
          </cell>
          <cell r="DF114">
            <v>500</v>
          </cell>
          <cell r="DG114">
            <v>400</v>
          </cell>
          <cell r="DH114">
            <v>4</v>
          </cell>
          <cell r="DI114">
            <v>4</v>
          </cell>
          <cell r="DJ114">
            <v>2</v>
          </cell>
          <cell r="DK114">
            <v>1</v>
          </cell>
          <cell r="DL114">
            <v>9</v>
          </cell>
          <cell r="DM114">
            <v>-0.5556</v>
          </cell>
          <cell r="DN114">
            <v>2</v>
          </cell>
          <cell r="DO114">
            <v>6</v>
          </cell>
          <cell r="DP114">
            <v>-0.6667</v>
          </cell>
          <cell r="DQ114">
            <v>5</v>
          </cell>
          <cell r="DR114">
            <v>-0.6</v>
          </cell>
          <cell r="DS114">
            <v>2</v>
          </cell>
          <cell r="DT114">
            <v>6</v>
          </cell>
          <cell r="DU114">
            <v>-0.6667</v>
          </cell>
          <cell r="DV114">
            <v>5</v>
          </cell>
          <cell r="DW114">
            <v>-0.6</v>
          </cell>
          <cell r="DX114">
            <v>1</v>
          </cell>
          <cell r="DY114">
            <v>0</v>
          </cell>
          <cell r="DZ114" t="str">
            <v>多1人</v>
          </cell>
          <cell r="EA114">
            <v>8</v>
          </cell>
          <cell r="EB114">
            <v>-0.875</v>
          </cell>
          <cell r="EC114">
            <v>3</v>
          </cell>
          <cell r="ED114">
            <v>0</v>
          </cell>
          <cell r="EE114" t="str">
            <v>多3人</v>
          </cell>
          <cell r="EF114">
            <v>6</v>
          </cell>
          <cell r="EG114">
            <v>-0.5</v>
          </cell>
          <cell r="EH114">
            <v>0.2143</v>
          </cell>
          <cell r="EI114">
            <v>0.2143</v>
          </cell>
          <cell r="EJ114">
            <v>100</v>
          </cell>
          <cell r="EK114">
            <v>100</v>
          </cell>
          <cell r="EL114" t="str">
            <v/>
          </cell>
          <cell r="EM114">
            <v>3</v>
          </cell>
          <cell r="EN114">
            <v>0</v>
          </cell>
          <cell r="EO114" t="str">
            <v>多3人</v>
          </cell>
          <cell r="EP114">
            <v>6</v>
          </cell>
          <cell r="EQ114">
            <v>-0.5</v>
          </cell>
          <cell r="ER114">
            <v>10</v>
          </cell>
          <cell r="ES114">
            <v>0</v>
          </cell>
          <cell r="ET114" t="str">
            <v>多10人</v>
          </cell>
          <cell r="EU114">
            <v>13</v>
          </cell>
          <cell r="EV114">
            <v>-0.2308</v>
          </cell>
          <cell r="EW114">
            <v>0.7143</v>
          </cell>
          <cell r="EX114">
            <v>0.7143</v>
          </cell>
          <cell r="EY114">
            <v>333</v>
          </cell>
          <cell r="EZ114">
            <v>333</v>
          </cell>
          <cell r="FA114" t="str">
            <v/>
          </cell>
        </row>
        <row r="115">
          <cell r="A115" t="str">
            <v>扰乱公共秩序</v>
          </cell>
          <cell r="B115" t="str">
            <v>罗定市</v>
          </cell>
        </row>
        <row r="115">
          <cell r="AM115">
            <v>4</v>
          </cell>
          <cell r="AN115">
            <v>1</v>
          </cell>
          <cell r="AO115">
            <v>3</v>
          </cell>
          <cell r="AP115">
            <v>5</v>
          </cell>
          <cell r="AQ115">
            <v>-0.2</v>
          </cell>
          <cell r="AR115">
            <v>1.3333</v>
          </cell>
          <cell r="AS115">
            <v>0.3333</v>
          </cell>
          <cell r="AT115">
            <v>0</v>
          </cell>
          <cell r="AU115">
            <v>1</v>
          </cell>
          <cell r="AV115" t="str">
            <v>少1起</v>
          </cell>
          <cell r="AW115">
            <v>0</v>
          </cell>
          <cell r="AX115" t="str">
            <v>持平</v>
          </cell>
          <cell r="AY115">
            <v>0</v>
          </cell>
          <cell r="AZ115">
            <v>0</v>
          </cell>
          <cell r="BA115" t="str">
            <v>持平</v>
          </cell>
          <cell r="BB115">
            <v>2</v>
          </cell>
          <cell r="BC115" t="str">
            <v>少2起</v>
          </cell>
          <cell r="BD115" t="str">
            <v/>
          </cell>
          <cell r="BE115" t="str">
            <v/>
          </cell>
          <cell r="BF115">
            <v>3</v>
          </cell>
          <cell r="BG115">
            <v>0</v>
          </cell>
          <cell r="BH115" t="str">
            <v>多3起</v>
          </cell>
          <cell r="BI115">
            <v>0</v>
          </cell>
          <cell r="BJ115" t="str">
            <v>多3起</v>
          </cell>
          <cell r="BK115">
            <v>1</v>
          </cell>
          <cell r="BL115">
            <v>4</v>
          </cell>
          <cell r="BM115">
            <v>1</v>
          </cell>
          <cell r="BN115">
            <v>3</v>
          </cell>
          <cell r="BO115">
            <v>3</v>
          </cell>
          <cell r="BP115">
            <v>0.3333</v>
          </cell>
          <cell r="BQ115">
            <v>1</v>
          </cell>
          <cell r="BR115">
            <v>2</v>
          </cell>
          <cell r="BS115">
            <v>-0.5</v>
          </cell>
          <cell r="BT115">
            <v>3</v>
          </cell>
          <cell r="BU115">
            <v>-0.6667</v>
          </cell>
          <cell r="BV115">
            <v>0.3333</v>
          </cell>
          <cell r="BW115">
            <v>-1.6667</v>
          </cell>
          <cell r="BX115" t="str">
            <v/>
          </cell>
          <cell r="BY115" t="str">
            <v/>
          </cell>
          <cell r="BZ115">
            <v>0</v>
          </cell>
          <cell r="CA115">
            <v>0</v>
          </cell>
          <cell r="CB115" t="str">
            <v>持平</v>
          </cell>
          <cell r="CC115">
            <v>0</v>
          </cell>
          <cell r="CD115" t="str">
            <v>持平</v>
          </cell>
          <cell r="CE115" t="str">
            <v/>
          </cell>
          <cell r="CF115" t="str">
            <v/>
          </cell>
          <cell r="CG115">
            <v>13</v>
          </cell>
          <cell r="CH115">
            <v>5</v>
          </cell>
          <cell r="CI115">
            <v>1.6</v>
          </cell>
          <cell r="CJ115">
            <v>25</v>
          </cell>
          <cell r="CK115">
            <v>-0.48</v>
          </cell>
          <cell r="CL115">
            <v>433</v>
          </cell>
          <cell r="CM115">
            <v>-67</v>
          </cell>
          <cell r="CN115">
            <v>-0.1333</v>
          </cell>
          <cell r="CO115">
            <v>9</v>
          </cell>
          <cell r="CP115">
            <v>15</v>
          </cell>
          <cell r="CQ115">
            <v>-0.4</v>
          </cell>
          <cell r="CR115">
            <v>0</v>
          </cell>
          <cell r="CS115" t="str">
            <v>多9人</v>
          </cell>
          <cell r="CT115">
            <v>0.6923</v>
          </cell>
          <cell r="CU115">
            <v>-2.3077</v>
          </cell>
          <cell r="CV115">
            <v>300</v>
          </cell>
          <cell r="CW115">
            <v>-1200</v>
          </cell>
          <cell r="CX115">
            <v>-0.8</v>
          </cell>
          <cell r="CY115">
            <v>9</v>
          </cell>
          <cell r="CZ115">
            <v>15</v>
          </cell>
          <cell r="DA115">
            <v>-0.4</v>
          </cell>
          <cell r="DB115">
            <v>0</v>
          </cell>
          <cell r="DC115" t="str">
            <v>多9人</v>
          </cell>
          <cell r="DD115">
            <v>0.6923</v>
          </cell>
          <cell r="DE115">
            <v>-2.3077</v>
          </cell>
          <cell r="DF115">
            <v>300</v>
          </cell>
          <cell r="DG115">
            <v>-1200</v>
          </cell>
          <cell r="DH115">
            <v>-0.8</v>
          </cell>
          <cell r="DI115">
            <v>18</v>
          </cell>
          <cell r="DJ115">
            <v>0</v>
          </cell>
          <cell r="DK115" t="str">
            <v>多18人</v>
          </cell>
          <cell r="DL115">
            <v>28</v>
          </cell>
          <cell r="DM115">
            <v>-0.3571</v>
          </cell>
          <cell r="DN115">
            <v>2</v>
          </cell>
          <cell r="DO115">
            <v>7</v>
          </cell>
          <cell r="DP115">
            <v>-0.7143</v>
          </cell>
          <cell r="DQ115">
            <v>2</v>
          </cell>
          <cell r="DR115">
            <v>0</v>
          </cell>
          <cell r="DS115">
            <v>2</v>
          </cell>
          <cell r="DT115">
            <v>7</v>
          </cell>
          <cell r="DU115">
            <v>-0.7143</v>
          </cell>
          <cell r="DV115">
            <v>2</v>
          </cell>
          <cell r="DW115">
            <v>0</v>
          </cell>
          <cell r="DX115">
            <v>12</v>
          </cell>
          <cell r="DY115">
            <v>12</v>
          </cell>
          <cell r="DZ115">
            <v>0</v>
          </cell>
          <cell r="EA115">
            <v>12</v>
          </cell>
          <cell r="EB115">
            <v>0</v>
          </cell>
          <cell r="EC115">
            <v>9</v>
          </cell>
          <cell r="ED115">
            <v>7</v>
          </cell>
          <cell r="EE115">
            <v>0.2857</v>
          </cell>
          <cell r="EF115">
            <v>10</v>
          </cell>
          <cell r="EG115">
            <v>-0.1</v>
          </cell>
          <cell r="EH115">
            <v>1</v>
          </cell>
          <cell r="EI115">
            <v>0.5333</v>
          </cell>
          <cell r="EJ115">
            <v>300</v>
          </cell>
          <cell r="EK115">
            <v>-400</v>
          </cell>
          <cell r="EL115">
            <v>-0.5714</v>
          </cell>
          <cell r="EM115">
            <v>9</v>
          </cell>
          <cell r="EN115">
            <v>7</v>
          </cell>
          <cell r="EO115">
            <v>0.2857</v>
          </cell>
          <cell r="EP115">
            <v>10</v>
          </cell>
          <cell r="EQ115">
            <v>-0.1</v>
          </cell>
          <cell r="ER115">
            <v>4</v>
          </cell>
          <cell r="ES115">
            <v>2</v>
          </cell>
          <cell r="ET115">
            <v>1</v>
          </cell>
          <cell r="EU115">
            <v>5</v>
          </cell>
          <cell r="EV115">
            <v>-0.2</v>
          </cell>
          <cell r="EW115">
            <v>0.4444</v>
          </cell>
          <cell r="EX115">
            <v>0.3111</v>
          </cell>
          <cell r="EY115">
            <v>133</v>
          </cell>
          <cell r="EZ115">
            <v>-67</v>
          </cell>
          <cell r="FA115">
            <v>-0.3333</v>
          </cell>
        </row>
        <row r="116">
          <cell r="A116" t="str">
            <v>利信、帮信</v>
          </cell>
          <cell r="B116" t="str">
            <v>全省</v>
          </cell>
        </row>
        <row r="116">
          <cell r="AM116">
            <v>1424</v>
          </cell>
          <cell r="AN116">
            <v>1650</v>
          </cell>
          <cell r="AO116">
            <v>-0.137</v>
          </cell>
          <cell r="AP116">
            <v>5139</v>
          </cell>
          <cell r="AQ116">
            <v>-0.7229</v>
          </cell>
          <cell r="AR116">
            <v>0.4701</v>
          </cell>
          <cell r="AS116">
            <v>0.3222</v>
          </cell>
          <cell r="AT116">
            <v>1915</v>
          </cell>
          <cell r="AU116">
            <v>4357</v>
          </cell>
          <cell r="AV116">
            <v>-0.5605</v>
          </cell>
          <cell r="AW116">
            <v>6302</v>
          </cell>
          <cell r="AX116">
            <v>-0.6961</v>
          </cell>
          <cell r="AY116">
            <v>167</v>
          </cell>
          <cell r="AZ116">
            <v>482</v>
          </cell>
          <cell r="BA116">
            <v>-0.6535</v>
          </cell>
          <cell r="BB116">
            <v>1981</v>
          </cell>
          <cell r="BC116">
            <v>-0.9157</v>
          </cell>
          <cell r="BD116">
            <v>0.0872</v>
          </cell>
          <cell r="BE116">
            <v>-0.0234</v>
          </cell>
          <cell r="BF116">
            <v>1114</v>
          </cell>
          <cell r="BG116">
            <v>6799</v>
          </cell>
          <cell r="BH116">
            <v>-0.8362</v>
          </cell>
          <cell r="BI116">
            <v>82</v>
          </cell>
          <cell r="BJ116">
            <v>12.5854</v>
          </cell>
          <cell r="BK116">
            <v>0.3678</v>
          </cell>
          <cell r="BL116">
            <v>1257</v>
          </cell>
          <cell r="BM116">
            <v>1168</v>
          </cell>
          <cell r="BN116">
            <v>0.0762</v>
          </cell>
          <cell r="BO116">
            <v>3158</v>
          </cell>
          <cell r="BP116">
            <v>-0.602</v>
          </cell>
          <cell r="BQ116">
            <v>236</v>
          </cell>
          <cell r="BR116">
            <v>178</v>
          </cell>
          <cell r="BS116">
            <v>0.3258</v>
          </cell>
          <cell r="BT116">
            <v>495</v>
          </cell>
          <cell r="BU116">
            <v>-0.5232</v>
          </cell>
          <cell r="BV116">
            <v>0.0779</v>
          </cell>
          <cell r="BW116">
            <v>0.062</v>
          </cell>
          <cell r="BX116">
            <v>0.1232</v>
          </cell>
          <cell r="BY116">
            <v>0.0824</v>
          </cell>
          <cell r="BZ116">
            <v>2</v>
          </cell>
          <cell r="CA116">
            <v>2</v>
          </cell>
          <cell r="CB116">
            <v>0</v>
          </cell>
          <cell r="CC116">
            <v>62</v>
          </cell>
          <cell r="CD116">
            <v>-0.9677</v>
          </cell>
          <cell r="CE116" t="str">
            <v/>
          </cell>
          <cell r="CF116" t="str">
            <v/>
          </cell>
          <cell r="CG116">
            <v>1499</v>
          </cell>
          <cell r="CH116">
            <v>1688</v>
          </cell>
          <cell r="CI116">
            <v>-0.112</v>
          </cell>
          <cell r="CJ116">
            <v>2215</v>
          </cell>
          <cell r="CK116">
            <v>-0.3233</v>
          </cell>
          <cell r="CL116">
            <v>49</v>
          </cell>
          <cell r="CM116">
            <v>34</v>
          </cell>
          <cell r="CN116">
            <v>2.2707</v>
          </cell>
          <cell r="CO116">
            <v>1707</v>
          </cell>
          <cell r="CP116">
            <v>1178</v>
          </cell>
          <cell r="CQ116">
            <v>0.4491</v>
          </cell>
          <cell r="CR116">
            <v>1385</v>
          </cell>
          <cell r="CS116">
            <v>0.2325</v>
          </cell>
          <cell r="CT116">
            <v>1.1388</v>
          </cell>
          <cell r="CU116">
            <v>0.4409</v>
          </cell>
          <cell r="CV116">
            <v>56</v>
          </cell>
          <cell r="CW116">
            <v>46</v>
          </cell>
          <cell r="CX116">
            <v>4.337</v>
          </cell>
          <cell r="CY116">
            <v>1815</v>
          </cell>
          <cell r="CZ116">
            <v>1347</v>
          </cell>
          <cell r="DA116">
            <v>0.3474</v>
          </cell>
          <cell r="DB116">
            <v>1548</v>
          </cell>
          <cell r="DC116">
            <v>0.1725</v>
          </cell>
          <cell r="DD116">
            <v>1.2108</v>
          </cell>
          <cell r="DE116">
            <v>0.4128</v>
          </cell>
          <cell r="DF116">
            <v>60</v>
          </cell>
          <cell r="DG116">
            <v>48</v>
          </cell>
          <cell r="DH116">
            <v>3.9627</v>
          </cell>
          <cell r="DI116">
            <v>854</v>
          </cell>
          <cell r="DJ116">
            <v>540</v>
          </cell>
          <cell r="DK116">
            <v>0.5815</v>
          </cell>
          <cell r="DL116">
            <v>639</v>
          </cell>
          <cell r="DM116">
            <v>0.3365</v>
          </cell>
          <cell r="DN116">
            <v>964</v>
          </cell>
          <cell r="DO116">
            <v>854</v>
          </cell>
          <cell r="DP116">
            <v>0.1288</v>
          </cell>
          <cell r="DQ116">
            <v>1025</v>
          </cell>
          <cell r="DR116">
            <v>-0.0595</v>
          </cell>
          <cell r="DS116">
            <v>965</v>
          </cell>
          <cell r="DT116">
            <v>854</v>
          </cell>
          <cell r="DU116">
            <v>0.13</v>
          </cell>
          <cell r="DV116">
            <v>1026</v>
          </cell>
          <cell r="DW116">
            <v>-0.0595</v>
          </cell>
          <cell r="DX116">
            <v>463</v>
          </cell>
          <cell r="DY116">
            <v>479</v>
          </cell>
          <cell r="DZ116">
            <v>-0.0334</v>
          </cell>
          <cell r="EA116">
            <v>365</v>
          </cell>
          <cell r="EB116">
            <v>0.2685</v>
          </cell>
          <cell r="EC116">
            <v>147</v>
          </cell>
          <cell r="ED116">
            <v>283</v>
          </cell>
          <cell r="EE116">
            <v>-0.4806</v>
          </cell>
          <cell r="EF116">
            <v>187</v>
          </cell>
          <cell r="EG116">
            <v>-0.2139</v>
          </cell>
          <cell r="EH116">
            <v>0.0861</v>
          </cell>
          <cell r="EI116">
            <v>-0.1541</v>
          </cell>
          <cell r="EJ116">
            <v>5</v>
          </cell>
          <cell r="EK116">
            <v>2</v>
          </cell>
          <cell r="EL116">
            <v>0.9131</v>
          </cell>
          <cell r="EM116">
            <v>165</v>
          </cell>
          <cell r="EN116">
            <v>266</v>
          </cell>
          <cell r="EO116">
            <v>-0.3797</v>
          </cell>
          <cell r="EP116">
            <v>185</v>
          </cell>
          <cell r="EQ116">
            <v>-0.1081</v>
          </cell>
          <cell r="ER116">
            <v>339</v>
          </cell>
          <cell r="ES116">
            <v>282</v>
          </cell>
          <cell r="ET116">
            <v>0.2021</v>
          </cell>
          <cell r="EU116">
            <v>669</v>
          </cell>
          <cell r="EV116">
            <v>-0.4933</v>
          </cell>
          <cell r="EW116">
            <v>0.1986</v>
          </cell>
          <cell r="EX116">
            <v>-0.0408</v>
          </cell>
          <cell r="EY116">
            <v>11</v>
          </cell>
          <cell r="EZ116">
            <v>9</v>
          </cell>
          <cell r="FA116">
            <v>3.4275</v>
          </cell>
        </row>
        <row r="117">
          <cell r="A117" t="str">
            <v>利信、帮信</v>
          </cell>
          <cell r="B117" t="str">
            <v>云浮</v>
          </cell>
        </row>
        <row r="117">
          <cell r="AM117">
            <v>2</v>
          </cell>
          <cell r="AN117">
            <v>1</v>
          </cell>
          <cell r="AO117">
            <v>1</v>
          </cell>
          <cell r="AP117">
            <v>4</v>
          </cell>
          <cell r="AQ117">
            <v>-0.5</v>
          </cell>
          <cell r="AR117">
            <v>2</v>
          </cell>
          <cell r="AS117">
            <v>1</v>
          </cell>
          <cell r="AT117">
            <v>1</v>
          </cell>
          <cell r="AU117">
            <v>1</v>
          </cell>
          <cell r="AV117">
            <v>0</v>
          </cell>
          <cell r="AW117">
            <v>0</v>
          </cell>
          <cell r="AX117" t="str">
            <v>多1起</v>
          </cell>
          <cell r="AY117">
            <v>1</v>
          </cell>
          <cell r="AZ117">
            <v>1</v>
          </cell>
          <cell r="BA117">
            <v>0</v>
          </cell>
          <cell r="BB117">
            <v>2</v>
          </cell>
          <cell r="BC117">
            <v>-0.5</v>
          </cell>
          <cell r="BD117">
            <v>1</v>
          </cell>
          <cell r="BE117">
            <v>0</v>
          </cell>
          <cell r="BF117">
            <v>0</v>
          </cell>
          <cell r="BG117">
            <v>0</v>
          </cell>
          <cell r="BH117" t="str">
            <v>持平</v>
          </cell>
          <cell r="BI117">
            <v>0</v>
          </cell>
          <cell r="BJ117" t="str">
            <v>持平</v>
          </cell>
          <cell r="BK117">
            <v>0</v>
          </cell>
          <cell r="BL117">
            <v>1</v>
          </cell>
          <cell r="BM117">
            <v>0</v>
          </cell>
          <cell r="BN117" t="str">
            <v>多1起</v>
          </cell>
          <cell r="BO117">
            <v>2</v>
          </cell>
          <cell r="BP117">
            <v>-0.5</v>
          </cell>
          <cell r="BQ117">
            <v>0</v>
          </cell>
          <cell r="BR117">
            <v>0</v>
          </cell>
          <cell r="BS117" t="str">
            <v>持平</v>
          </cell>
          <cell r="BT117">
            <v>0</v>
          </cell>
          <cell r="BU117" t="str">
            <v>持平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 t="str">
            <v>持平</v>
          </cell>
          <cell r="CC117">
            <v>0</v>
          </cell>
          <cell r="CD117" t="str">
            <v>持平</v>
          </cell>
          <cell r="CE117" t="str">
            <v/>
          </cell>
          <cell r="CF117" t="str">
            <v/>
          </cell>
          <cell r="CG117">
            <v>25</v>
          </cell>
          <cell r="CH117">
            <v>10</v>
          </cell>
          <cell r="CI117">
            <v>1.5</v>
          </cell>
          <cell r="CJ117">
            <v>4</v>
          </cell>
          <cell r="CK117">
            <v>5.25</v>
          </cell>
          <cell r="CL117">
            <v>2500</v>
          </cell>
          <cell r="CM117">
            <v>1500</v>
          </cell>
          <cell r="CN117">
            <v>1.5</v>
          </cell>
          <cell r="CO117">
            <v>21</v>
          </cell>
          <cell r="CP117">
            <v>10</v>
          </cell>
          <cell r="CQ117">
            <v>1.1</v>
          </cell>
          <cell r="CR117">
            <v>4</v>
          </cell>
          <cell r="CS117">
            <v>4.25</v>
          </cell>
          <cell r="CT117">
            <v>0.84</v>
          </cell>
          <cell r="CU117">
            <v>-0.16</v>
          </cell>
          <cell r="CV117">
            <v>2100</v>
          </cell>
          <cell r="CW117">
            <v>1100</v>
          </cell>
          <cell r="CX117">
            <v>1.1</v>
          </cell>
          <cell r="CY117">
            <v>21</v>
          </cell>
          <cell r="CZ117">
            <v>10</v>
          </cell>
          <cell r="DA117">
            <v>1.1</v>
          </cell>
          <cell r="DB117">
            <v>4</v>
          </cell>
          <cell r="DC117">
            <v>4.25</v>
          </cell>
          <cell r="DD117">
            <v>0.84</v>
          </cell>
          <cell r="DE117">
            <v>-0.16</v>
          </cell>
          <cell r="DF117">
            <v>2100</v>
          </cell>
          <cell r="DG117">
            <v>1100</v>
          </cell>
          <cell r="DH117">
            <v>1.1</v>
          </cell>
          <cell r="DI117">
            <v>12</v>
          </cell>
          <cell r="DJ117">
            <v>4</v>
          </cell>
          <cell r="DK117">
            <v>2</v>
          </cell>
          <cell r="DL117">
            <v>3</v>
          </cell>
          <cell r="DM117">
            <v>3</v>
          </cell>
          <cell r="DN117">
            <v>2</v>
          </cell>
          <cell r="DO117">
            <v>3</v>
          </cell>
          <cell r="DP117">
            <v>-0.3333</v>
          </cell>
          <cell r="DQ117">
            <v>0</v>
          </cell>
          <cell r="DR117" t="str">
            <v>多2人</v>
          </cell>
          <cell r="DS117">
            <v>2</v>
          </cell>
          <cell r="DT117">
            <v>3</v>
          </cell>
          <cell r="DU117">
            <v>-0.3333</v>
          </cell>
          <cell r="DV117">
            <v>0</v>
          </cell>
          <cell r="DW117" t="str">
            <v>多2人</v>
          </cell>
          <cell r="DX117">
            <v>4</v>
          </cell>
          <cell r="DY117">
            <v>1</v>
          </cell>
          <cell r="DZ117">
            <v>3</v>
          </cell>
          <cell r="EA117">
            <v>1</v>
          </cell>
          <cell r="EB117">
            <v>3</v>
          </cell>
          <cell r="EC117">
            <v>0</v>
          </cell>
          <cell r="ED117">
            <v>0</v>
          </cell>
          <cell r="EE117" t="str">
            <v>持平</v>
          </cell>
          <cell r="EF117">
            <v>0</v>
          </cell>
          <cell r="EG117" t="str">
            <v>持平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 t="str">
            <v/>
          </cell>
          <cell r="EM117">
            <v>0</v>
          </cell>
          <cell r="EN117">
            <v>0</v>
          </cell>
          <cell r="EO117" t="str">
            <v>持平</v>
          </cell>
          <cell r="EP117">
            <v>0</v>
          </cell>
          <cell r="EQ117" t="str">
            <v>持平</v>
          </cell>
          <cell r="ER117">
            <v>0</v>
          </cell>
          <cell r="ES117">
            <v>0</v>
          </cell>
          <cell r="ET117" t="str">
            <v>持平</v>
          </cell>
          <cell r="EU117">
            <v>2</v>
          </cell>
          <cell r="EV117" t="str">
            <v>少2人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 t="str">
            <v/>
          </cell>
        </row>
        <row r="118">
          <cell r="A118" t="str">
            <v>利信、帮信</v>
          </cell>
          <cell r="B118" t="str">
            <v>云城区</v>
          </cell>
        </row>
        <row r="118">
          <cell r="AM118">
            <v>0</v>
          </cell>
          <cell r="AN118">
            <v>0</v>
          </cell>
          <cell r="AO118" t="str">
            <v>持平</v>
          </cell>
          <cell r="AP118">
            <v>0</v>
          </cell>
          <cell r="AQ118" t="str">
            <v>持平</v>
          </cell>
          <cell r="AR118" t="str">
            <v/>
          </cell>
          <cell r="AS118" t="str">
            <v/>
          </cell>
          <cell r="AT118">
            <v>0</v>
          </cell>
          <cell r="AU118">
            <v>0</v>
          </cell>
          <cell r="AV118" t="str">
            <v>持平</v>
          </cell>
          <cell r="AW118">
            <v>0</v>
          </cell>
          <cell r="AX118" t="str">
            <v>持平</v>
          </cell>
          <cell r="AY118">
            <v>0</v>
          </cell>
          <cell r="AZ118">
            <v>0</v>
          </cell>
          <cell r="BA118" t="str">
            <v>持平</v>
          </cell>
          <cell r="BB118">
            <v>0</v>
          </cell>
          <cell r="BC118" t="str">
            <v>持平</v>
          </cell>
          <cell r="BD118" t="str">
            <v/>
          </cell>
          <cell r="BE118" t="str">
            <v/>
          </cell>
          <cell r="BF118">
            <v>0</v>
          </cell>
          <cell r="BG118">
            <v>0</v>
          </cell>
          <cell r="BH118" t="str">
            <v>持平</v>
          </cell>
          <cell r="BI118">
            <v>0</v>
          </cell>
          <cell r="BJ118" t="str">
            <v>持平</v>
          </cell>
          <cell r="BK118" t="str">
            <v/>
          </cell>
          <cell r="BL118">
            <v>0</v>
          </cell>
          <cell r="BM118">
            <v>0</v>
          </cell>
          <cell r="BN118" t="str">
            <v>持平</v>
          </cell>
          <cell r="BO118">
            <v>0</v>
          </cell>
          <cell r="BP118" t="str">
            <v>持平</v>
          </cell>
          <cell r="BQ118">
            <v>0</v>
          </cell>
          <cell r="BR118">
            <v>0</v>
          </cell>
          <cell r="BS118" t="str">
            <v>持平</v>
          </cell>
          <cell r="BT118">
            <v>0</v>
          </cell>
          <cell r="BU118" t="str">
            <v>持平</v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>
            <v>0</v>
          </cell>
          <cell r="CA118">
            <v>0</v>
          </cell>
          <cell r="CB118" t="str">
            <v>持平</v>
          </cell>
          <cell r="CC118">
            <v>0</v>
          </cell>
          <cell r="CD118" t="str">
            <v>持平</v>
          </cell>
          <cell r="CE118" t="str">
            <v/>
          </cell>
          <cell r="CF118" t="str">
            <v/>
          </cell>
          <cell r="CG118">
            <v>0</v>
          </cell>
          <cell r="CH118">
            <v>0</v>
          </cell>
          <cell r="CI118" t="str">
            <v>持平</v>
          </cell>
          <cell r="CJ118">
            <v>0</v>
          </cell>
          <cell r="CK118" t="str">
            <v>持平</v>
          </cell>
          <cell r="CL118" t="str">
            <v/>
          </cell>
          <cell r="CM118" t="str">
            <v/>
          </cell>
          <cell r="CN118" t="str">
            <v/>
          </cell>
          <cell r="CO118">
            <v>0</v>
          </cell>
          <cell r="CP118">
            <v>0</v>
          </cell>
          <cell r="CQ118" t="str">
            <v>持平</v>
          </cell>
          <cell r="CR118">
            <v>0</v>
          </cell>
          <cell r="CS118" t="str">
            <v>持平</v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>
            <v>0</v>
          </cell>
          <cell r="CZ118">
            <v>0</v>
          </cell>
          <cell r="DA118" t="str">
            <v>持平</v>
          </cell>
          <cell r="DB118">
            <v>0</v>
          </cell>
          <cell r="DC118" t="str">
            <v>持平</v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>
            <v>0</v>
          </cell>
          <cell r="DJ118">
            <v>0</v>
          </cell>
          <cell r="DK118" t="str">
            <v>持平</v>
          </cell>
          <cell r="DL118">
            <v>0</v>
          </cell>
          <cell r="DM118" t="str">
            <v>持平</v>
          </cell>
          <cell r="DN118">
            <v>0</v>
          </cell>
          <cell r="DO118">
            <v>0</v>
          </cell>
          <cell r="DP118" t="str">
            <v>持平</v>
          </cell>
          <cell r="DQ118">
            <v>0</v>
          </cell>
          <cell r="DR118" t="str">
            <v>持平</v>
          </cell>
          <cell r="DS118">
            <v>0</v>
          </cell>
          <cell r="DT118">
            <v>0</v>
          </cell>
          <cell r="DU118" t="str">
            <v>持平</v>
          </cell>
          <cell r="DV118">
            <v>0</v>
          </cell>
          <cell r="DW118" t="str">
            <v>持平</v>
          </cell>
          <cell r="DX118">
            <v>0</v>
          </cell>
          <cell r="DY118">
            <v>0</v>
          </cell>
          <cell r="DZ118" t="str">
            <v>持平</v>
          </cell>
          <cell r="EA118">
            <v>0</v>
          </cell>
          <cell r="EB118" t="str">
            <v>持平</v>
          </cell>
          <cell r="EC118">
            <v>0</v>
          </cell>
          <cell r="ED118">
            <v>0</v>
          </cell>
          <cell r="EE118" t="str">
            <v>持平</v>
          </cell>
          <cell r="EF118">
            <v>0</v>
          </cell>
          <cell r="EG118" t="str">
            <v>持平</v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>
            <v>0</v>
          </cell>
          <cell r="EN118">
            <v>0</v>
          </cell>
          <cell r="EO118" t="str">
            <v>持平</v>
          </cell>
          <cell r="EP118">
            <v>0</v>
          </cell>
          <cell r="EQ118" t="str">
            <v>持平</v>
          </cell>
          <cell r="ER118">
            <v>0</v>
          </cell>
          <cell r="ES118">
            <v>0</v>
          </cell>
          <cell r="ET118" t="str">
            <v>持平</v>
          </cell>
          <cell r="EU118">
            <v>0</v>
          </cell>
          <cell r="EV118" t="str">
            <v>持平</v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</row>
        <row r="119">
          <cell r="A119" t="str">
            <v>利信、帮信</v>
          </cell>
          <cell r="B119" t="str">
            <v>云安区</v>
          </cell>
        </row>
        <row r="119">
          <cell r="AM119">
            <v>1</v>
          </cell>
          <cell r="AN119">
            <v>1</v>
          </cell>
          <cell r="AO119">
            <v>0</v>
          </cell>
          <cell r="AP119">
            <v>2</v>
          </cell>
          <cell r="AQ119">
            <v>-0.5</v>
          </cell>
          <cell r="AR119" t="str">
            <v/>
          </cell>
          <cell r="AS119" t="str">
            <v/>
          </cell>
          <cell r="AT119">
            <v>0</v>
          </cell>
          <cell r="AU119">
            <v>1</v>
          </cell>
          <cell r="AV119" t="str">
            <v>少1起</v>
          </cell>
          <cell r="AW119">
            <v>0</v>
          </cell>
          <cell r="AX119" t="str">
            <v>持平</v>
          </cell>
          <cell r="AY119">
            <v>0</v>
          </cell>
          <cell r="AZ119">
            <v>1</v>
          </cell>
          <cell r="BA119" t="str">
            <v>少1起</v>
          </cell>
          <cell r="BB119">
            <v>1</v>
          </cell>
          <cell r="BC119" t="str">
            <v>少1起</v>
          </cell>
          <cell r="BD119" t="str">
            <v/>
          </cell>
          <cell r="BE119" t="str">
            <v/>
          </cell>
          <cell r="BF119">
            <v>0</v>
          </cell>
          <cell r="BG119">
            <v>0</v>
          </cell>
          <cell r="BH119" t="str">
            <v>持平</v>
          </cell>
          <cell r="BI119">
            <v>0</v>
          </cell>
          <cell r="BJ119" t="str">
            <v>持平</v>
          </cell>
          <cell r="BK119" t="str">
            <v/>
          </cell>
          <cell r="BL119">
            <v>1</v>
          </cell>
          <cell r="BM119">
            <v>0</v>
          </cell>
          <cell r="BN119" t="str">
            <v>多1起</v>
          </cell>
          <cell r="BO119">
            <v>1</v>
          </cell>
          <cell r="BP119">
            <v>0</v>
          </cell>
          <cell r="BQ119">
            <v>0</v>
          </cell>
          <cell r="BR119">
            <v>0</v>
          </cell>
          <cell r="BS119" t="str">
            <v>持平</v>
          </cell>
          <cell r="BT119">
            <v>0</v>
          </cell>
          <cell r="BU119" t="str">
            <v>持平</v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>
            <v>0</v>
          </cell>
          <cell r="CA119">
            <v>0</v>
          </cell>
          <cell r="CB119" t="str">
            <v>持平</v>
          </cell>
          <cell r="CC119">
            <v>0</v>
          </cell>
          <cell r="CD119" t="str">
            <v>持平</v>
          </cell>
          <cell r="CE119" t="str">
            <v/>
          </cell>
          <cell r="CF119" t="str">
            <v/>
          </cell>
          <cell r="CG119">
            <v>0</v>
          </cell>
          <cell r="CH119">
            <v>9</v>
          </cell>
          <cell r="CI119" t="str">
            <v>少9人</v>
          </cell>
          <cell r="CJ119">
            <v>2</v>
          </cell>
          <cell r="CK119" t="str">
            <v>少2人</v>
          </cell>
          <cell r="CL119" t="str">
            <v/>
          </cell>
          <cell r="CM119" t="str">
            <v/>
          </cell>
          <cell r="CN119" t="str">
            <v/>
          </cell>
          <cell r="CO119">
            <v>0</v>
          </cell>
          <cell r="CP119">
            <v>9</v>
          </cell>
          <cell r="CQ119" t="str">
            <v>少9人</v>
          </cell>
          <cell r="CR119">
            <v>3</v>
          </cell>
          <cell r="CS119" t="str">
            <v>少3人</v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>
            <v>0</v>
          </cell>
          <cell r="CZ119">
            <v>9</v>
          </cell>
          <cell r="DA119" t="str">
            <v>少9人</v>
          </cell>
          <cell r="DB119">
            <v>3</v>
          </cell>
          <cell r="DC119" t="str">
            <v>少3人</v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>
            <v>0</v>
          </cell>
          <cell r="DJ119">
            <v>0</v>
          </cell>
          <cell r="DK119" t="str">
            <v>持平</v>
          </cell>
          <cell r="DL119">
            <v>0</v>
          </cell>
          <cell r="DM119" t="str">
            <v>持平</v>
          </cell>
          <cell r="DN119">
            <v>1</v>
          </cell>
          <cell r="DO119">
            <v>1</v>
          </cell>
          <cell r="DP119">
            <v>0</v>
          </cell>
          <cell r="DQ119">
            <v>0</v>
          </cell>
          <cell r="DR119" t="str">
            <v>多1人</v>
          </cell>
          <cell r="DS119">
            <v>1</v>
          </cell>
          <cell r="DT119">
            <v>1</v>
          </cell>
          <cell r="DU119">
            <v>0</v>
          </cell>
          <cell r="DV119">
            <v>0</v>
          </cell>
          <cell r="DW119" t="str">
            <v>多1人</v>
          </cell>
          <cell r="DX119">
            <v>3</v>
          </cell>
          <cell r="DY119">
            <v>0</v>
          </cell>
          <cell r="DZ119" t="str">
            <v>多3人</v>
          </cell>
          <cell r="EA119">
            <v>0</v>
          </cell>
          <cell r="EB119" t="str">
            <v>多3人</v>
          </cell>
          <cell r="EC119">
            <v>0</v>
          </cell>
          <cell r="ED119">
            <v>0</v>
          </cell>
          <cell r="EE119" t="str">
            <v>持平</v>
          </cell>
          <cell r="EF119">
            <v>0</v>
          </cell>
          <cell r="EG119" t="str">
            <v>持平</v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>
            <v>0</v>
          </cell>
          <cell r="EN119">
            <v>0</v>
          </cell>
          <cell r="EO119" t="str">
            <v>持平</v>
          </cell>
          <cell r="EP119">
            <v>0</v>
          </cell>
          <cell r="EQ119" t="str">
            <v>持平</v>
          </cell>
          <cell r="ER119">
            <v>0</v>
          </cell>
          <cell r="ES119">
            <v>0</v>
          </cell>
          <cell r="ET119" t="str">
            <v>持平</v>
          </cell>
          <cell r="EU119">
            <v>1</v>
          </cell>
          <cell r="EV119" t="str">
            <v>少1人</v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</row>
        <row r="120">
          <cell r="A120" t="str">
            <v>利信、帮信</v>
          </cell>
          <cell r="B120" t="str">
            <v>新兴县</v>
          </cell>
        </row>
        <row r="120">
          <cell r="AM120">
            <v>0</v>
          </cell>
          <cell r="AN120">
            <v>0</v>
          </cell>
          <cell r="AO120" t="str">
            <v>持平</v>
          </cell>
          <cell r="AP120">
            <v>0</v>
          </cell>
          <cell r="AQ120" t="str">
            <v>持平</v>
          </cell>
          <cell r="AR120" t="str">
            <v/>
          </cell>
          <cell r="AS120" t="str">
            <v/>
          </cell>
          <cell r="AT120">
            <v>0</v>
          </cell>
          <cell r="AU120">
            <v>0</v>
          </cell>
          <cell r="AV120" t="str">
            <v>持平</v>
          </cell>
          <cell r="AW120">
            <v>0</v>
          </cell>
          <cell r="AX120" t="str">
            <v>持平</v>
          </cell>
          <cell r="AY120">
            <v>0</v>
          </cell>
          <cell r="AZ120">
            <v>0</v>
          </cell>
          <cell r="BA120" t="str">
            <v>持平</v>
          </cell>
          <cell r="BB120">
            <v>0</v>
          </cell>
          <cell r="BC120" t="str">
            <v>持平</v>
          </cell>
          <cell r="BD120" t="str">
            <v/>
          </cell>
          <cell r="BE120" t="str">
            <v/>
          </cell>
          <cell r="BF120">
            <v>0</v>
          </cell>
          <cell r="BG120">
            <v>0</v>
          </cell>
          <cell r="BH120" t="str">
            <v>持平</v>
          </cell>
          <cell r="BI120">
            <v>0</v>
          </cell>
          <cell r="BJ120" t="str">
            <v>持平</v>
          </cell>
          <cell r="BK120" t="str">
            <v/>
          </cell>
          <cell r="BL120">
            <v>0</v>
          </cell>
          <cell r="BM120">
            <v>0</v>
          </cell>
          <cell r="BN120" t="str">
            <v>持平</v>
          </cell>
          <cell r="BO120">
            <v>0</v>
          </cell>
          <cell r="BP120" t="str">
            <v>持平</v>
          </cell>
          <cell r="BQ120">
            <v>0</v>
          </cell>
          <cell r="BR120">
            <v>0</v>
          </cell>
          <cell r="BS120" t="str">
            <v>持平</v>
          </cell>
          <cell r="BT120">
            <v>0</v>
          </cell>
          <cell r="BU120" t="str">
            <v>持平</v>
          </cell>
          <cell r="BV120" t="str">
            <v/>
          </cell>
          <cell r="BW120" t="str">
            <v/>
          </cell>
          <cell r="BX120" t="str">
            <v/>
          </cell>
          <cell r="BY120" t="str">
            <v/>
          </cell>
          <cell r="BZ120">
            <v>0</v>
          </cell>
          <cell r="CA120">
            <v>0</v>
          </cell>
          <cell r="CB120" t="str">
            <v>持平</v>
          </cell>
          <cell r="CC120">
            <v>0</v>
          </cell>
          <cell r="CD120" t="str">
            <v>持平</v>
          </cell>
          <cell r="CE120" t="str">
            <v/>
          </cell>
          <cell r="CF120" t="str">
            <v/>
          </cell>
          <cell r="CG120">
            <v>16</v>
          </cell>
          <cell r="CH120">
            <v>1</v>
          </cell>
          <cell r="CI120">
            <v>15</v>
          </cell>
          <cell r="CJ120">
            <v>1</v>
          </cell>
          <cell r="CK120">
            <v>15</v>
          </cell>
          <cell r="CL120" t="str">
            <v/>
          </cell>
          <cell r="CM120" t="str">
            <v/>
          </cell>
          <cell r="CN120" t="str">
            <v/>
          </cell>
          <cell r="CO120">
            <v>10</v>
          </cell>
          <cell r="CP120">
            <v>1</v>
          </cell>
          <cell r="CQ120">
            <v>9</v>
          </cell>
          <cell r="CR120">
            <v>1</v>
          </cell>
          <cell r="CS120">
            <v>9</v>
          </cell>
          <cell r="CT120">
            <v>0.625</v>
          </cell>
          <cell r="CU120">
            <v>-0.375</v>
          </cell>
          <cell r="CV120" t="str">
            <v/>
          </cell>
          <cell r="CW120" t="str">
            <v/>
          </cell>
          <cell r="CX120" t="str">
            <v/>
          </cell>
          <cell r="CY120">
            <v>10</v>
          </cell>
          <cell r="CZ120">
            <v>1</v>
          </cell>
          <cell r="DA120">
            <v>9</v>
          </cell>
          <cell r="DB120">
            <v>1</v>
          </cell>
          <cell r="DC120">
            <v>9</v>
          </cell>
          <cell r="DD120">
            <v>0.625</v>
          </cell>
          <cell r="DE120">
            <v>-0.375</v>
          </cell>
          <cell r="DF120" t="str">
            <v/>
          </cell>
          <cell r="DG120" t="str">
            <v/>
          </cell>
          <cell r="DH120" t="str">
            <v/>
          </cell>
          <cell r="DI120">
            <v>9</v>
          </cell>
          <cell r="DJ120">
            <v>1</v>
          </cell>
          <cell r="DK120">
            <v>8</v>
          </cell>
          <cell r="DL120">
            <v>1</v>
          </cell>
          <cell r="DM120">
            <v>8</v>
          </cell>
          <cell r="DN120">
            <v>1</v>
          </cell>
          <cell r="DO120">
            <v>2</v>
          </cell>
          <cell r="DP120">
            <v>-0.5</v>
          </cell>
          <cell r="DQ120">
            <v>0</v>
          </cell>
          <cell r="DR120" t="str">
            <v>多1人</v>
          </cell>
          <cell r="DS120">
            <v>1</v>
          </cell>
          <cell r="DT120">
            <v>2</v>
          </cell>
          <cell r="DU120">
            <v>-0.5</v>
          </cell>
          <cell r="DV120">
            <v>0</v>
          </cell>
          <cell r="DW120" t="str">
            <v>多1人</v>
          </cell>
          <cell r="DX120">
            <v>1</v>
          </cell>
          <cell r="DY120">
            <v>1</v>
          </cell>
          <cell r="DZ120">
            <v>0</v>
          </cell>
          <cell r="EA120">
            <v>1</v>
          </cell>
          <cell r="EB120">
            <v>0</v>
          </cell>
          <cell r="EC120">
            <v>0</v>
          </cell>
          <cell r="ED120">
            <v>0</v>
          </cell>
          <cell r="EE120" t="str">
            <v>持平</v>
          </cell>
          <cell r="EF120">
            <v>0</v>
          </cell>
          <cell r="EG120" t="str">
            <v>持平</v>
          </cell>
          <cell r="EH120">
            <v>0</v>
          </cell>
          <cell r="EI120">
            <v>0</v>
          </cell>
          <cell r="EJ120" t="str">
            <v/>
          </cell>
          <cell r="EK120" t="str">
            <v/>
          </cell>
          <cell r="EL120" t="str">
            <v/>
          </cell>
          <cell r="EM120">
            <v>0</v>
          </cell>
          <cell r="EN120">
            <v>0</v>
          </cell>
          <cell r="EO120" t="str">
            <v>持平</v>
          </cell>
          <cell r="EP120">
            <v>0</v>
          </cell>
          <cell r="EQ120" t="str">
            <v>持平</v>
          </cell>
          <cell r="ER120">
            <v>0</v>
          </cell>
          <cell r="ES120">
            <v>0</v>
          </cell>
          <cell r="ET120" t="str">
            <v>持平</v>
          </cell>
          <cell r="EU120">
            <v>1</v>
          </cell>
          <cell r="EV120" t="str">
            <v>少1人</v>
          </cell>
          <cell r="EW120">
            <v>0</v>
          </cell>
          <cell r="EX120">
            <v>0</v>
          </cell>
          <cell r="EY120" t="str">
            <v/>
          </cell>
          <cell r="EZ120" t="str">
            <v/>
          </cell>
          <cell r="FA120" t="str">
            <v/>
          </cell>
        </row>
        <row r="121">
          <cell r="A121" t="str">
            <v>利信、帮信</v>
          </cell>
          <cell r="B121" t="str">
            <v>郁南县</v>
          </cell>
        </row>
        <row r="121">
          <cell r="AM121">
            <v>1</v>
          </cell>
          <cell r="AN121">
            <v>0</v>
          </cell>
          <cell r="AO121" t="str">
            <v>多1起</v>
          </cell>
          <cell r="AP121">
            <v>0</v>
          </cell>
          <cell r="AQ121" t="str">
            <v>多1起</v>
          </cell>
          <cell r="AR121">
            <v>1</v>
          </cell>
          <cell r="AS121" t="str">
            <v/>
          </cell>
          <cell r="AT121">
            <v>1</v>
          </cell>
          <cell r="AU121">
            <v>0</v>
          </cell>
          <cell r="AV121" t="str">
            <v>多1起</v>
          </cell>
          <cell r="AW121">
            <v>0</v>
          </cell>
          <cell r="AX121" t="str">
            <v>多1起</v>
          </cell>
          <cell r="AY121">
            <v>1</v>
          </cell>
          <cell r="AZ121">
            <v>0</v>
          </cell>
          <cell r="BA121" t="str">
            <v>多1起</v>
          </cell>
          <cell r="BB121">
            <v>0</v>
          </cell>
          <cell r="BC121" t="str">
            <v>多1起</v>
          </cell>
          <cell r="BD121">
            <v>1</v>
          </cell>
          <cell r="BE121" t="str">
            <v/>
          </cell>
          <cell r="BF121">
            <v>0</v>
          </cell>
          <cell r="BG121">
            <v>0</v>
          </cell>
          <cell r="BH121" t="str">
            <v>持平</v>
          </cell>
          <cell r="BI121">
            <v>0</v>
          </cell>
          <cell r="BJ121" t="str">
            <v>持平</v>
          </cell>
          <cell r="BK121">
            <v>0</v>
          </cell>
          <cell r="BL121">
            <v>0</v>
          </cell>
          <cell r="BM121">
            <v>0</v>
          </cell>
          <cell r="BN121" t="str">
            <v>持平</v>
          </cell>
          <cell r="BO121">
            <v>0</v>
          </cell>
          <cell r="BP121" t="str">
            <v>持平</v>
          </cell>
          <cell r="BQ121">
            <v>0</v>
          </cell>
          <cell r="BR121">
            <v>0</v>
          </cell>
          <cell r="BS121" t="str">
            <v>持平</v>
          </cell>
          <cell r="BT121">
            <v>0</v>
          </cell>
          <cell r="BU121" t="str">
            <v>持平</v>
          </cell>
          <cell r="BV121">
            <v>0</v>
          </cell>
          <cell r="BW121" t="str">
            <v/>
          </cell>
          <cell r="BX121">
            <v>0</v>
          </cell>
          <cell r="BY121" t="str">
            <v/>
          </cell>
          <cell r="BZ121">
            <v>0</v>
          </cell>
          <cell r="CA121">
            <v>0</v>
          </cell>
          <cell r="CB121" t="str">
            <v>持平</v>
          </cell>
          <cell r="CC121">
            <v>0</v>
          </cell>
          <cell r="CD121" t="str">
            <v>持平</v>
          </cell>
          <cell r="CE121" t="str">
            <v/>
          </cell>
          <cell r="CF121" t="str">
            <v/>
          </cell>
          <cell r="CG121">
            <v>9</v>
          </cell>
          <cell r="CH121">
            <v>0</v>
          </cell>
          <cell r="CI121" t="str">
            <v>多9人</v>
          </cell>
          <cell r="CJ121">
            <v>0</v>
          </cell>
          <cell r="CK121" t="str">
            <v>多9人</v>
          </cell>
          <cell r="CL121">
            <v>900</v>
          </cell>
          <cell r="CM121" t="str">
            <v/>
          </cell>
          <cell r="CN121" t="str">
            <v/>
          </cell>
          <cell r="CO121">
            <v>11</v>
          </cell>
          <cell r="CP121">
            <v>0</v>
          </cell>
          <cell r="CQ121" t="str">
            <v>多11人</v>
          </cell>
          <cell r="CR121">
            <v>0</v>
          </cell>
          <cell r="CS121" t="str">
            <v>多11人</v>
          </cell>
          <cell r="CT121">
            <v>1.2222</v>
          </cell>
          <cell r="CU121" t="str">
            <v/>
          </cell>
          <cell r="CV121">
            <v>1100</v>
          </cell>
          <cell r="CW121" t="str">
            <v/>
          </cell>
          <cell r="CX121" t="str">
            <v/>
          </cell>
          <cell r="CY121">
            <v>11</v>
          </cell>
          <cell r="CZ121">
            <v>0</v>
          </cell>
          <cell r="DA121" t="str">
            <v>多11人</v>
          </cell>
          <cell r="DB121">
            <v>0</v>
          </cell>
          <cell r="DC121" t="str">
            <v>多11人</v>
          </cell>
          <cell r="DD121">
            <v>1.2222</v>
          </cell>
          <cell r="DE121" t="str">
            <v/>
          </cell>
          <cell r="DF121">
            <v>1100</v>
          </cell>
          <cell r="DG121" t="str">
            <v/>
          </cell>
          <cell r="DH121" t="str">
            <v/>
          </cell>
          <cell r="DI121">
            <v>0</v>
          </cell>
          <cell r="DJ121">
            <v>0</v>
          </cell>
          <cell r="DK121" t="str">
            <v>持平</v>
          </cell>
          <cell r="DL121">
            <v>0</v>
          </cell>
          <cell r="DM121" t="str">
            <v>持平</v>
          </cell>
          <cell r="DN121">
            <v>0</v>
          </cell>
          <cell r="DO121">
            <v>0</v>
          </cell>
          <cell r="DP121" t="str">
            <v>持平</v>
          </cell>
          <cell r="DQ121">
            <v>0</v>
          </cell>
          <cell r="DR121" t="str">
            <v>持平</v>
          </cell>
          <cell r="DS121">
            <v>0</v>
          </cell>
          <cell r="DT121">
            <v>0</v>
          </cell>
          <cell r="DU121" t="str">
            <v>持平</v>
          </cell>
          <cell r="DV121">
            <v>0</v>
          </cell>
          <cell r="DW121" t="str">
            <v>持平</v>
          </cell>
          <cell r="DX121">
            <v>0</v>
          </cell>
          <cell r="DY121">
            <v>0</v>
          </cell>
          <cell r="DZ121" t="str">
            <v>持平</v>
          </cell>
          <cell r="EA121">
            <v>0</v>
          </cell>
          <cell r="EB121" t="str">
            <v>持平</v>
          </cell>
          <cell r="EC121">
            <v>0</v>
          </cell>
          <cell r="ED121">
            <v>0</v>
          </cell>
          <cell r="EE121" t="str">
            <v>持平</v>
          </cell>
          <cell r="EF121">
            <v>0</v>
          </cell>
          <cell r="EG121" t="str">
            <v>持平</v>
          </cell>
          <cell r="EH121">
            <v>0</v>
          </cell>
          <cell r="EI121" t="str">
            <v/>
          </cell>
          <cell r="EJ121">
            <v>0</v>
          </cell>
          <cell r="EK121" t="str">
            <v/>
          </cell>
          <cell r="EL121" t="str">
            <v/>
          </cell>
          <cell r="EM121">
            <v>0</v>
          </cell>
          <cell r="EN121">
            <v>0</v>
          </cell>
          <cell r="EO121" t="str">
            <v>持平</v>
          </cell>
          <cell r="EP121">
            <v>0</v>
          </cell>
          <cell r="EQ121" t="str">
            <v>持平</v>
          </cell>
          <cell r="ER121">
            <v>0</v>
          </cell>
          <cell r="ES121">
            <v>0</v>
          </cell>
          <cell r="ET121" t="str">
            <v>持平</v>
          </cell>
          <cell r="EU121">
            <v>0</v>
          </cell>
          <cell r="EV121" t="str">
            <v>持平</v>
          </cell>
          <cell r="EW121">
            <v>0</v>
          </cell>
          <cell r="EX121" t="str">
            <v/>
          </cell>
          <cell r="EY121">
            <v>0</v>
          </cell>
          <cell r="EZ121" t="str">
            <v/>
          </cell>
          <cell r="FA121" t="str">
            <v/>
          </cell>
        </row>
        <row r="122">
          <cell r="A122" t="str">
            <v>利信、帮信</v>
          </cell>
          <cell r="B122" t="str">
            <v>罗定市</v>
          </cell>
        </row>
        <row r="122">
          <cell r="AM122">
            <v>0</v>
          </cell>
          <cell r="AN122">
            <v>0</v>
          </cell>
          <cell r="AO122" t="str">
            <v>持平</v>
          </cell>
          <cell r="AP122">
            <v>2</v>
          </cell>
          <cell r="AQ122" t="str">
            <v>少2起</v>
          </cell>
          <cell r="AR122" t="str">
            <v/>
          </cell>
          <cell r="AS122" t="str">
            <v/>
          </cell>
          <cell r="AT122">
            <v>0</v>
          </cell>
          <cell r="AU122">
            <v>0</v>
          </cell>
          <cell r="AV122" t="str">
            <v>持平</v>
          </cell>
          <cell r="AW122">
            <v>0</v>
          </cell>
          <cell r="AX122" t="str">
            <v>持平</v>
          </cell>
          <cell r="AY122">
            <v>0</v>
          </cell>
          <cell r="AZ122">
            <v>0</v>
          </cell>
          <cell r="BA122" t="str">
            <v>持平</v>
          </cell>
          <cell r="BB122">
            <v>1</v>
          </cell>
          <cell r="BC122" t="str">
            <v>少1起</v>
          </cell>
          <cell r="BD122" t="str">
            <v/>
          </cell>
          <cell r="BE122" t="str">
            <v/>
          </cell>
          <cell r="BF122">
            <v>0</v>
          </cell>
          <cell r="BG122">
            <v>0</v>
          </cell>
          <cell r="BH122" t="str">
            <v>持平</v>
          </cell>
          <cell r="BI122">
            <v>0</v>
          </cell>
          <cell r="BJ122" t="str">
            <v>持平</v>
          </cell>
          <cell r="BK122" t="str">
            <v/>
          </cell>
          <cell r="BL122">
            <v>0</v>
          </cell>
          <cell r="BM122">
            <v>0</v>
          </cell>
          <cell r="BN122" t="str">
            <v>持平</v>
          </cell>
          <cell r="BO122">
            <v>1</v>
          </cell>
          <cell r="BP122" t="str">
            <v>少1起</v>
          </cell>
          <cell r="BQ122">
            <v>0</v>
          </cell>
          <cell r="BR122">
            <v>0</v>
          </cell>
          <cell r="BS122" t="str">
            <v>持平</v>
          </cell>
          <cell r="BT122">
            <v>0</v>
          </cell>
          <cell r="BU122" t="str">
            <v>持平</v>
          </cell>
          <cell r="BV122" t="str">
            <v/>
          </cell>
          <cell r="BW122" t="str">
            <v/>
          </cell>
          <cell r="BX122" t="str">
            <v/>
          </cell>
          <cell r="BY122" t="str">
            <v/>
          </cell>
          <cell r="BZ122">
            <v>0</v>
          </cell>
          <cell r="CA122">
            <v>0</v>
          </cell>
          <cell r="CB122" t="str">
            <v>持平</v>
          </cell>
          <cell r="CC122">
            <v>0</v>
          </cell>
          <cell r="CD122" t="str">
            <v>持平</v>
          </cell>
          <cell r="CE122" t="str">
            <v/>
          </cell>
          <cell r="CF122" t="str">
            <v/>
          </cell>
          <cell r="CG122">
            <v>0</v>
          </cell>
          <cell r="CH122">
            <v>0</v>
          </cell>
          <cell r="CI122" t="str">
            <v>持平</v>
          </cell>
          <cell r="CJ122">
            <v>1</v>
          </cell>
          <cell r="CK122" t="str">
            <v>少1人</v>
          </cell>
          <cell r="CL122" t="str">
            <v/>
          </cell>
          <cell r="CM122" t="str">
            <v/>
          </cell>
          <cell r="CN122" t="str">
            <v/>
          </cell>
          <cell r="CO122">
            <v>0</v>
          </cell>
          <cell r="CP122">
            <v>0</v>
          </cell>
          <cell r="CQ122" t="str">
            <v>持平</v>
          </cell>
          <cell r="CR122">
            <v>0</v>
          </cell>
          <cell r="CS122" t="str">
            <v>持平</v>
          </cell>
          <cell r="CT122" t="str">
            <v/>
          </cell>
          <cell r="CU122" t="str">
            <v/>
          </cell>
          <cell r="CV122" t="str">
            <v/>
          </cell>
          <cell r="CW122" t="str">
            <v/>
          </cell>
          <cell r="CX122" t="str">
            <v/>
          </cell>
          <cell r="CY122">
            <v>0</v>
          </cell>
          <cell r="CZ122">
            <v>0</v>
          </cell>
          <cell r="DA122" t="str">
            <v>持平</v>
          </cell>
          <cell r="DB122">
            <v>0</v>
          </cell>
          <cell r="DC122" t="str">
            <v>持平</v>
          </cell>
          <cell r="DD122" t="str">
            <v/>
          </cell>
          <cell r="DE122" t="str">
            <v/>
          </cell>
          <cell r="DF122" t="str">
            <v/>
          </cell>
          <cell r="DG122" t="str">
            <v/>
          </cell>
          <cell r="DH122" t="str">
            <v/>
          </cell>
          <cell r="DI122">
            <v>0</v>
          </cell>
          <cell r="DJ122">
            <v>0</v>
          </cell>
          <cell r="DK122" t="str">
            <v>持平</v>
          </cell>
          <cell r="DL122">
            <v>2</v>
          </cell>
          <cell r="DM122" t="str">
            <v>少2人</v>
          </cell>
          <cell r="DN122">
            <v>0</v>
          </cell>
          <cell r="DO122">
            <v>0</v>
          </cell>
          <cell r="DP122" t="str">
            <v>持平</v>
          </cell>
          <cell r="DQ122">
            <v>0</v>
          </cell>
          <cell r="DR122" t="str">
            <v>持平</v>
          </cell>
          <cell r="DS122">
            <v>0</v>
          </cell>
          <cell r="DT122">
            <v>0</v>
          </cell>
          <cell r="DU122" t="str">
            <v>持平</v>
          </cell>
          <cell r="DV122">
            <v>0</v>
          </cell>
          <cell r="DW122" t="str">
            <v>持平</v>
          </cell>
          <cell r="DX122">
            <v>0</v>
          </cell>
          <cell r="DY122">
            <v>0</v>
          </cell>
          <cell r="DZ122" t="str">
            <v>持平</v>
          </cell>
          <cell r="EA122">
            <v>0</v>
          </cell>
          <cell r="EB122" t="str">
            <v>持平</v>
          </cell>
          <cell r="EC122">
            <v>0</v>
          </cell>
          <cell r="ED122">
            <v>0</v>
          </cell>
          <cell r="EE122" t="str">
            <v>持平</v>
          </cell>
          <cell r="EF122">
            <v>0</v>
          </cell>
          <cell r="EG122" t="str">
            <v>持平</v>
          </cell>
          <cell r="EH122" t="str">
            <v/>
          </cell>
          <cell r="EI122" t="str">
            <v/>
          </cell>
          <cell r="EJ122" t="str">
            <v/>
          </cell>
          <cell r="EK122" t="str">
            <v/>
          </cell>
          <cell r="EL122" t="str">
            <v/>
          </cell>
          <cell r="EM122">
            <v>0</v>
          </cell>
          <cell r="EN122">
            <v>0</v>
          </cell>
          <cell r="EO122" t="str">
            <v>持平</v>
          </cell>
          <cell r="EP122">
            <v>0</v>
          </cell>
          <cell r="EQ122" t="str">
            <v>持平</v>
          </cell>
          <cell r="ER122">
            <v>0</v>
          </cell>
          <cell r="ES122">
            <v>0</v>
          </cell>
          <cell r="ET122" t="str">
            <v>持平</v>
          </cell>
          <cell r="EU122">
            <v>0</v>
          </cell>
          <cell r="EV122" t="str">
            <v>持平</v>
          </cell>
          <cell r="EW122" t="str">
            <v/>
          </cell>
          <cell r="EX122" t="str">
            <v/>
          </cell>
          <cell r="EY122" t="str">
            <v/>
          </cell>
          <cell r="EZ122" t="str">
            <v/>
          </cell>
          <cell r="FA122" t="str">
            <v/>
          </cell>
        </row>
        <row r="123">
          <cell r="A123" t="str">
            <v>非法利用信息网络</v>
          </cell>
          <cell r="B123" t="str">
            <v>全省</v>
          </cell>
        </row>
        <row r="123">
          <cell r="AM123">
            <v>783</v>
          </cell>
          <cell r="AN123">
            <v>991</v>
          </cell>
          <cell r="AO123">
            <v>-0.2099</v>
          </cell>
          <cell r="AP123">
            <v>3280</v>
          </cell>
          <cell r="AQ123">
            <v>-0.7613</v>
          </cell>
          <cell r="AR123">
            <v>0.4036</v>
          </cell>
          <cell r="AS123">
            <v>0.2765</v>
          </cell>
          <cell r="AT123">
            <v>1292</v>
          </cell>
          <cell r="AU123">
            <v>3096</v>
          </cell>
          <cell r="AV123">
            <v>-0.5827</v>
          </cell>
          <cell r="AW123">
            <v>3071</v>
          </cell>
          <cell r="AX123">
            <v>-0.5793</v>
          </cell>
          <cell r="AY123">
            <v>71</v>
          </cell>
          <cell r="AZ123">
            <v>261</v>
          </cell>
          <cell r="BA123">
            <v>-0.728</v>
          </cell>
          <cell r="BB123">
            <v>880</v>
          </cell>
          <cell r="BC123">
            <v>-0.9193</v>
          </cell>
          <cell r="BD123">
            <v>0.055</v>
          </cell>
          <cell r="BE123">
            <v>-0.0293</v>
          </cell>
          <cell r="BF123">
            <v>648</v>
          </cell>
          <cell r="BG123">
            <v>4700</v>
          </cell>
          <cell r="BH123">
            <v>-0.8621</v>
          </cell>
          <cell r="BI123">
            <v>38</v>
          </cell>
          <cell r="BJ123">
            <v>16.0526</v>
          </cell>
          <cell r="BK123">
            <v>0.334</v>
          </cell>
          <cell r="BL123">
            <v>712</v>
          </cell>
          <cell r="BM123">
            <v>730</v>
          </cell>
          <cell r="BN123">
            <v>-0.0247</v>
          </cell>
          <cell r="BO123">
            <v>2400</v>
          </cell>
          <cell r="BP123">
            <v>-0.7033</v>
          </cell>
          <cell r="BQ123">
            <v>118</v>
          </cell>
          <cell r="BR123">
            <v>100</v>
          </cell>
          <cell r="BS123">
            <v>0.18</v>
          </cell>
          <cell r="BT123">
            <v>241</v>
          </cell>
          <cell r="BU123">
            <v>-0.5104</v>
          </cell>
          <cell r="BV123">
            <v>0.0608</v>
          </cell>
          <cell r="BW123">
            <v>0.048</v>
          </cell>
          <cell r="BX123">
            <v>0.0913</v>
          </cell>
          <cell r="BY123">
            <v>0.059</v>
          </cell>
          <cell r="BZ123">
            <v>0</v>
          </cell>
          <cell r="CA123">
            <v>0</v>
          </cell>
          <cell r="CB123" t="str">
            <v>持平</v>
          </cell>
          <cell r="CC123">
            <v>16</v>
          </cell>
          <cell r="CD123" t="str">
            <v>少16起</v>
          </cell>
          <cell r="CE123" t="str">
            <v/>
          </cell>
          <cell r="CF123" t="str">
            <v/>
          </cell>
          <cell r="CG123">
            <v>662</v>
          </cell>
          <cell r="CH123">
            <v>973</v>
          </cell>
          <cell r="CI123">
            <v>-0.3196</v>
          </cell>
          <cell r="CJ123">
            <v>1187</v>
          </cell>
          <cell r="CK123">
            <v>-0.4423</v>
          </cell>
          <cell r="CL123">
            <v>34</v>
          </cell>
          <cell r="CM123">
            <v>22</v>
          </cell>
          <cell r="CN123">
            <v>1.7341</v>
          </cell>
          <cell r="CO123">
            <v>806</v>
          </cell>
          <cell r="CP123">
            <v>696</v>
          </cell>
          <cell r="CQ123">
            <v>0.158</v>
          </cell>
          <cell r="CR123">
            <v>694</v>
          </cell>
          <cell r="CS123">
            <v>0.1614</v>
          </cell>
          <cell r="CT123">
            <v>1.2175</v>
          </cell>
          <cell r="CU123">
            <v>0.5022</v>
          </cell>
          <cell r="CV123">
            <v>42</v>
          </cell>
          <cell r="CW123">
            <v>33</v>
          </cell>
          <cell r="CX123">
            <v>3.6537</v>
          </cell>
          <cell r="CY123">
            <v>880</v>
          </cell>
          <cell r="CZ123">
            <v>795</v>
          </cell>
          <cell r="DA123">
            <v>0.1069</v>
          </cell>
          <cell r="DB123">
            <v>770</v>
          </cell>
          <cell r="DC123">
            <v>0.1429</v>
          </cell>
          <cell r="DD123">
            <v>1.3293</v>
          </cell>
          <cell r="DE123">
            <v>0.5122</v>
          </cell>
          <cell r="DF123">
            <v>45</v>
          </cell>
          <cell r="DG123">
            <v>35</v>
          </cell>
          <cell r="DH123">
            <v>3.4482</v>
          </cell>
          <cell r="DI123">
            <v>164</v>
          </cell>
          <cell r="DJ123">
            <v>80</v>
          </cell>
          <cell r="DK123">
            <v>1.05</v>
          </cell>
          <cell r="DL123">
            <v>163</v>
          </cell>
          <cell r="DM123">
            <v>0.0061</v>
          </cell>
          <cell r="DN123">
            <v>518</v>
          </cell>
          <cell r="DO123">
            <v>544</v>
          </cell>
          <cell r="DP123">
            <v>-0.0478</v>
          </cell>
          <cell r="DQ123">
            <v>510</v>
          </cell>
          <cell r="DR123">
            <v>0.0157</v>
          </cell>
          <cell r="DS123">
            <v>518</v>
          </cell>
          <cell r="DT123">
            <v>544</v>
          </cell>
          <cell r="DU123">
            <v>-0.0478</v>
          </cell>
          <cell r="DV123">
            <v>511</v>
          </cell>
          <cell r="DW123">
            <v>0.0137</v>
          </cell>
          <cell r="DX123">
            <v>209</v>
          </cell>
          <cell r="DY123">
            <v>253</v>
          </cell>
          <cell r="DZ123">
            <v>-0.1739</v>
          </cell>
          <cell r="EA123">
            <v>162</v>
          </cell>
          <cell r="EB123">
            <v>0.2901</v>
          </cell>
          <cell r="EC123">
            <v>75</v>
          </cell>
          <cell r="ED123">
            <v>143</v>
          </cell>
          <cell r="EE123">
            <v>-0.4755</v>
          </cell>
          <cell r="EF123">
            <v>90</v>
          </cell>
          <cell r="EG123">
            <v>-0.1667</v>
          </cell>
          <cell r="EH123">
            <v>0.0931</v>
          </cell>
          <cell r="EI123">
            <v>-0.1124</v>
          </cell>
          <cell r="EJ123">
            <v>4</v>
          </cell>
          <cell r="EK123">
            <v>2</v>
          </cell>
          <cell r="EL123">
            <v>1.1076</v>
          </cell>
          <cell r="EM123">
            <v>80</v>
          </cell>
          <cell r="EN123">
            <v>131</v>
          </cell>
          <cell r="EO123">
            <v>-0.3893</v>
          </cell>
          <cell r="EP123">
            <v>83</v>
          </cell>
          <cell r="EQ123">
            <v>-0.0361</v>
          </cell>
          <cell r="ER123">
            <v>162</v>
          </cell>
          <cell r="ES123">
            <v>148</v>
          </cell>
          <cell r="ET123">
            <v>0.0946</v>
          </cell>
          <cell r="EU123">
            <v>320</v>
          </cell>
          <cell r="EV123">
            <v>-0.4938</v>
          </cell>
          <cell r="EW123">
            <v>0.201</v>
          </cell>
          <cell r="EX123">
            <v>-0.0117</v>
          </cell>
          <cell r="EY123">
            <v>8</v>
          </cell>
          <cell r="EZ123">
            <v>6</v>
          </cell>
          <cell r="FA123">
            <v>3.3987</v>
          </cell>
        </row>
        <row r="124">
          <cell r="A124" t="str">
            <v>非法利用信息网络</v>
          </cell>
          <cell r="B124" t="str">
            <v>云浮</v>
          </cell>
        </row>
        <row r="124">
          <cell r="AM124">
            <v>1</v>
          </cell>
          <cell r="AN124">
            <v>0</v>
          </cell>
          <cell r="AO124" t="str">
            <v>多1起</v>
          </cell>
          <cell r="AP124">
            <v>1</v>
          </cell>
          <cell r="AQ124">
            <v>0</v>
          </cell>
          <cell r="AR124" t="str">
            <v/>
          </cell>
          <cell r="AS124" t="str">
            <v/>
          </cell>
          <cell r="AT124">
            <v>0</v>
          </cell>
          <cell r="AU124">
            <v>0</v>
          </cell>
          <cell r="AV124" t="str">
            <v>持平</v>
          </cell>
          <cell r="AW124">
            <v>0</v>
          </cell>
          <cell r="AX124" t="str">
            <v>持平</v>
          </cell>
          <cell r="AY124">
            <v>0</v>
          </cell>
          <cell r="AZ124">
            <v>0</v>
          </cell>
          <cell r="BA124" t="str">
            <v>持平</v>
          </cell>
          <cell r="BB124">
            <v>1</v>
          </cell>
          <cell r="BC124" t="str">
            <v>少1起</v>
          </cell>
          <cell r="BD124" t="str">
            <v/>
          </cell>
          <cell r="BE124" t="str">
            <v/>
          </cell>
          <cell r="BF124">
            <v>0</v>
          </cell>
          <cell r="BG124">
            <v>0</v>
          </cell>
          <cell r="BH124" t="str">
            <v>持平</v>
          </cell>
          <cell r="BI124">
            <v>0</v>
          </cell>
          <cell r="BJ124" t="str">
            <v>持平</v>
          </cell>
          <cell r="BK124" t="str">
            <v/>
          </cell>
          <cell r="BL124">
            <v>1</v>
          </cell>
          <cell r="BM124">
            <v>0</v>
          </cell>
          <cell r="BN124" t="str">
            <v>多1起</v>
          </cell>
          <cell r="BO124">
            <v>0</v>
          </cell>
          <cell r="BP124" t="str">
            <v>多1起</v>
          </cell>
          <cell r="BQ124">
            <v>0</v>
          </cell>
          <cell r="BR124">
            <v>0</v>
          </cell>
          <cell r="BS124" t="str">
            <v>持平</v>
          </cell>
          <cell r="BT124">
            <v>0</v>
          </cell>
          <cell r="BU124" t="str">
            <v>持平</v>
          </cell>
          <cell r="BV124" t="str">
            <v/>
          </cell>
          <cell r="BW124" t="str">
            <v/>
          </cell>
          <cell r="BX124" t="str">
            <v/>
          </cell>
          <cell r="BY124" t="str">
            <v/>
          </cell>
          <cell r="BZ124">
            <v>0</v>
          </cell>
          <cell r="CA124">
            <v>0</v>
          </cell>
          <cell r="CB124" t="str">
            <v>持平</v>
          </cell>
          <cell r="CC124">
            <v>0</v>
          </cell>
          <cell r="CD124" t="str">
            <v>持平</v>
          </cell>
          <cell r="CE124" t="str">
            <v/>
          </cell>
          <cell r="CF124" t="str">
            <v/>
          </cell>
          <cell r="CG124">
            <v>16</v>
          </cell>
          <cell r="CH124">
            <v>0</v>
          </cell>
          <cell r="CI124" t="str">
            <v>多16人</v>
          </cell>
          <cell r="CJ124">
            <v>1</v>
          </cell>
          <cell r="CK124">
            <v>15</v>
          </cell>
          <cell r="CL124" t="str">
            <v/>
          </cell>
          <cell r="CM124" t="str">
            <v/>
          </cell>
          <cell r="CN124" t="str">
            <v/>
          </cell>
          <cell r="CO124">
            <v>10</v>
          </cell>
          <cell r="CP124">
            <v>0</v>
          </cell>
          <cell r="CQ124" t="str">
            <v>多10人</v>
          </cell>
          <cell r="CR124">
            <v>1</v>
          </cell>
          <cell r="CS124">
            <v>9</v>
          </cell>
          <cell r="CT124">
            <v>0.625</v>
          </cell>
          <cell r="CU124" t="str">
            <v/>
          </cell>
          <cell r="CV124" t="str">
            <v/>
          </cell>
          <cell r="CW124" t="str">
            <v/>
          </cell>
          <cell r="CX124" t="str">
            <v/>
          </cell>
          <cell r="CY124">
            <v>10</v>
          </cell>
          <cell r="CZ124">
            <v>0</v>
          </cell>
          <cell r="DA124" t="str">
            <v>多10人</v>
          </cell>
          <cell r="DB124">
            <v>1</v>
          </cell>
          <cell r="DC124">
            <v>9</v>
          </cell>
          <cell r="DD124">
            <v>0.625</v>
          </cell>
          <cell r="DE124" t="str">
            <v/>
          </cell>
          <cell r="DF124" t="str">
            <v/>
          </cell>
          <cell r="DG124" t="str">
            <v/>
          </cell>
          <cell r="DH124" t="str">
            <v/>
          </cell>
          <cell r="DI124">
            <v>1</v>
          </cell>
          <cell r="DJ124">
            <v>0</v>
          </cell>
          <cell r="DK124" t="str">
            <v>多1人</v>
          </cell>
          <cell r="DL124">
            <v>0</v>
          </cell>
          <cell r="DM124" t="str">
            <v>多1人</v>
          </cell>
          <cell r="DN124">
            <v>1</v>
          </cell>
          <cell r="DO124">
            <v>1</v>
          </cell>
          <cell r="DP124">
            <v>0</v>
          </cell>
          <cell r="DQ124">
            <v>0</v>
          </cell>
          <cell r="DR124" t="str">
            <v>多1人</v>
          </cell>
          <cell r="DS124">
            <v>1</v>
          </cell>
          <cell r="DT124">
            <v>1</v>
          </cell>
          <cell r="DU124">
            <v>0</v>
          </cell>
          <cell r="DV124">
            <v>0</v>
          </cell>
          <cell r="DW124" t="str">
            <v>多1人</v>
          </cell>
          <cell r="DX124">
            <v>1</v>
          </cell>
          <cell r="DY124">
            <v>0</v>
          </cell>
          <cell r="DZ124" t="str">
            <v>多1人</v>
          </cell>
          <cell r="EA124">
            <v>1</v>
          </cell>
          <cell r="EB124">
            <v>0</v>
          </cell>
          <cell r="EC124">
            <v>0</v>
          </cell>
          <cell r="ED124">
            <v>0</v>
          </cell>
          <cell r="EE124" t="str">
            <v>持平</v>
          </cell>
          <cell r="EF124">
            <v>0</v>
          </cell>
          <cell r="EG124" t="str">
            <v>持平</v>
          </cell>
          <cell r="EH124">
            <v>0</v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>
            <v>0</v>
          </cell>
          <cell r="EN124">
            <v>0</v>
          </cell>
          <cell r="EO124" t="str">
            <v>持平</v>
          </cell>
          <cell r="EP124">
            <v>0</v>
          </cell>
          <cell r="EQ124" t="str">
            <v>持平</v>
          </cell>
          <cell r="ER124">
            <v>0</v>
          </cell>
          <cell r="ES124">
            <v>0</v>
          </cell>
          <cell r="ET124" t="str">
            <v>持平</v>
          </cell>
          <cell r="EU124">
            <v>0</v>
          </cell>
          <cell r="EV124" t="str">
            <v>持平</v>
          </cell>
          <cell r="EW124">
            <v>0</v>
          </cell>
          <cell r="EX124" t="str">
            <v/>
          </cell>
          <cell r="EY124" t="str">
            <v/>
          </cell>
          <cell r="EZ124" t="str">
            <v/>
          </cell>
          <cell r="FA124" t="str">
            <v/>
          </cell>
        </row>
        <row r="125">
          <cell r="A125" t="str">
            <v>非法利用信息网络</v>
          </cell>
          <cell r="B125" t="str">
            <v>云城区</v>
          </cell>
        </row>
        <row r="125">
          <cell r="AM125">
            <v>0</v>
          </cell>
          <cell r="AN125">
            <v>0</v>
          </cell>
          <cell r="AO125" t="str">
            <v>持平</v>
          </cell>
          <cell r="AP125">
            <v>0</v>
          </cell>
          <cell r="AQ125" t="str">
            <v>持平</v>
          </cell>
          <cell r="AR125" t="str">
            <v/>
          </cell>
          <cell r="AS125" t="str">
            <v/>
          </cell>
          <cell r="AT125">
            <v>0</v>
          </cell>
          <cell r="AU125">
            <v>0</v>
          </cell>
          <cell r="AV125" t="str">
            <v>持平</v>
          </cell>
          <cell r="AW125">
            <v>0</v>
          </cell>
          <cell r="AX125" t="str">
            <v>持平</v>
          </cell>
          <cell r="AY125">
            <v>0</v>
          </cell>
          <cell r="AZ125">
            <v>0</v>
          </cell>
          <cell r="BA125" t="str">
            <v>持平</v>
          </cell>
          <cell r="BB125">
            <v>0</v>
          </cell>
          <cell r="BC125" t="str">
            <v>持平</v>
          </cell>
          <cell r="BD125" t="str">
            <v/>
          </cell>
          <cell r="BE125" t="str">
            <v/>
          </cell>
          <cell r="BF125">
            <v>0</v>
          </cell>
          <cell r="BG125">
            <v>0</v>
          </cell>
          <cell r="BH125" t="str">
            <v>持平</v>
          </cell>
          <cell r="BI125">
            <v>0</v>
          </cell>
          <cell r="BJ125" t="str">
            <v>持平</v>
          </cell>
          <cell r="BK125" t="str">
            <v/>
          </cell>
          <cell r="BL125">
            <v>0</v>
          </cell>
          <cell r="BM125">
            <v>0</v>
          </cell>
          <cell r="BN125" t="str">
            <v>持平</v>
          </cell>
          <cell r="BO125">
            <v>0</v>
          </cell>
          <cell r="BP125" t="str">
            <v>持平</v>
          </cell>
          <cell r="BQ125">
            <v>0</v>
          </cell>
          <cell r="BR125">
            <v>0</v>
          </cell>
          <cell r="BS125" t="str">
            <v>持平</v>
          </cell>
          <cell r="BT125">
            <v>0</v>
          </cell>
          <cell r="BU125" t="str">
            <v>持平</v>
          </cell>
          <cell r="BV125" t="str">
            <v/>
          </cell>
          <cell r="BW125" t="str">
            <v/>
          </cell>
          <cell r="BX125" t="str">
            <v/>
          </cell>
          <cell r="BY125" t="str">
            <v/>
          </cell>
          <cell r="BZ125">
            <v>0</v>
          </cell>
          <cell r="CA125">
            <v>0</v>
          </cell>
          <cell r="CB125" t="str">
            <v>持平</v>
          </cell>
          <cell r="CC125">
            <v>0</v>
          </cell>
          <cell r="CD125" t="str">
            <v>持平</v>
          </cell>
          <cell r="CE125" t="str">
            <v/>
          </cell>
          <cell r="CF125" t="str">
            <v/>
          </cell>
          <cell r="CG125">
            <v>0</v>
          </cell>
          <cell r="CH125">
            <v>0</v>
          </cell>
          <cell r="CI125" t="str">
            <v>持平</v>
          </cell>
          <cell r="CJ125">
            <v>0</v>
          </cell>
          <cell r="CK125" t="str">
            <v>持平</v>
          </cell>
          <cell r="CL125" t="str">
            <v/>
          </cell>
          <cell r="CM125" t="str">
            <v/>
          </cell>
          <cell r="CN125" t="str">
            <v/>
          </cell>
          <cell r="CO125">
            <v>0</v>
          </cell>
          <cell r="CP125">
            <v>0</v>
          </cell>
          <cell r="CQ125" t="str">
            <v>持平</v>
          </cell>
          <cell r="CR125">
            <v>0</v>
          </cell>
          <cell r="CS125" t="str">
            <v>持平</v>
          </cell>
          <cell r="CT125" t="str">
            <v/>
          </cell>
          <cell r="CU125" t="str">
            <v/>
          </cell>
          <cell r="CV125" t="str">
            <v/>
          </cell>
          <cell r="CW125" t="str">
            <v/>
          </cell>
          <cell r="CX125" t="str">
            <v/>
          </cell>
          <cell r="CY125">
            <v>0</v>
          </cell>
          <cell r="CZ125">
            <v>0</v>
          </cell>
          <cell r="DA125" t="str">
            <v>持平</v>
          </cell>
          <cell r="DB125">
            <v>0</v>
          </cell>
          <cell r="DC125" t="str">
            <v>持平</v>
          </cell>
          <cell r="DD125" t="str">
            <v/>
          </cell>
          <cell r="DE125" t="str">
            <v/>
          </cell>
          <cell r="DF125" t="str">
            <v/>
          </cell>
          <cell r="DG125" t="str">
            <v/>
          </cell>
          <cell r="DH125" t="str">
            <v/>
          </cell>
          <cell r="DI125">
            <v>0</v>
          </cell>
          <cell r="DJ125">
            <v>0</v>
          </cell>
          <cell r="DK125" t="str">
            <v>持平</v>
          </cell>
          <cell r="DL125">
            <v>0</v>
          </cell>
          <cell r="DM125" t="str">
            <v>持平</v>
          </cell>
          <cell r="DN125">
            <v>0</v>
          </cell>
          <cell r="DO125">
            <v>0</v>
          </cell>
          <cell r="DP125" t="str">
            <v>持平</v>
          </cell>
          <cell r="DQ125">
            <v>0</v>
          </cell>
          <cell r="DR125" t="str">
            <v>持平</v>
          </cell>
          <cell r="DS125">
            <v>0</v>
          </cell>
          <cell r="DT125">
            <v>0</v>
          </cell>
          <cell r="DU125" t="str">
            <v>持平</v>
          </cell>
          <cell r="DV125">
            <v>0</v>
          </cell>
          <cell r="DW125" t="str">
            <v>持平</v>
          </cell>
          <cell r="DX125">
            <v>0</v>
          </cell>
          <cell r="DY125">
            <v>0</v>
          </cell>
          <cell r="DZ125" t="str">
            <v>持平</v>
          </cell>
          <cell r="EA125">
            <v>0</v>
          </cell>
          <cell r="EB125" t="str">
            <v>持平</v>
          </cell>
          <cell r="EC125">
            <v>0</v>
          </cell>
          <cell r="ED125">
            <v>0</v>
          </cell>
          <cell r="EE125" t="str">
            <v>持平</v>
          </cell>
          <cell r="EF125">
            <v>0</v>
          </cell>
          <cell r="EG125" t="str">
            <v>持平</v>
          </cell>
          <cell r="EH125" t="str">
            <v/>
          </cell>
          <cell r="EI125" t="str">
            <v/>
          </cell>
          <cell r="EJ125" t="str">
            <v/>
          </cell>
          <cell r="EK125" t="str">
            <v/>
          </cell>
          <cell r="EL125" t="str">
            <v/>
          </cell>
          <cell r="EM125">
            <v>0</v>
          </cell>
          <cell r="EN125">
            <v>0</v>
          </cell>
          <cell r="EO125" t="str">
            <v>持平</v>
          </cell>
          <cell r="EP125">
            <v>0</v>
          </cell>
          <cell r="EQ125" t="str">
            <v>持平</v>
          </cell>
          <cell r="ER125">
            <v>0</v>
          </cell>
          <cell r="ES125">
            <v>0</v>
          </cell>
          <cell r="ET125" t="str">
            <v>持平</v>
          </cell>
          <cell r="EU125">
            <v>0</v>
          </cell>
          <cell r="EV125" t="str">
            <v>持平</v>
          </cell>
          <cell r="EW125" t="str">
            <v/>
          </cell>
          <cell r="EX125" t="str">
            <v/>
          </cell>
          <cell r="EY125" t="str">
            <v/>
          </cell>
          <cell r="EZ125" t="str">
            <v/>
          </cell>
          <cell r="FA125" t="str">
            <v/>
          </cell>
        </row>
        <row r="126">
          <cell r="A126" t="str">
            <v>非法利用信息网络</v>
          </cell>
          <cell r="B126" t="str">
            <v>云安区</v>
          </cell>
        </row>
        <row r="126">
          <cell r="AM126">
            <v>1</v>
          </cell>
          <cell r="AN126">
            <v>0</v>
          </cell>
          <cell r="AO126" t="str">
            <v>多1起</v>
          </cell>
          <cell r="AP126">
            <v>1</v>
          </cell>
          <cell r="AQ126">
            <v>0</v>
          </cell>
          <cell r="AR126" t="str">
            <v/>
          </cell>
          <cell r="AS126" t="str">
            <v/>
          </cell>
          <cell r="AT126">
            <v>0</v>
          </cell>
          <cell r="AU126">
            <v>0</v>
          </cell>
          <cell r="AV126" t="str">
            <v>持平</v>
          </cell>
          <cell r="AW126">
            <v>0</v>
          </cell>
          <cell r="AX126" t="str">
            <v>持平</v>
          </cell>
          <cell r="AY126">
            <v>0</v>
          </cell>
          <cell r="AZ126">
            <v>0</v>
          </cell>
          <cell r="BA126" t="str">
            <v>持平</v>
          </cell>
          <cell r="BB126">
            <v>1</v>
          </cell>
          <cell r="BC126" t="str">
            <v>少1起</v>
          </cell>
          <cell r="BD126" t="str">
            <v/>
          </cell>
          <cell r="BE126" t="str">
            <v/>
          </cell>
          <cell r="BF126">
            <v>0</v>
          </cell>
          <cell r="BG126">
            <v>0</v>
          </cell>
          <cell r="BH126" t="str">
            <v>持平</v>
          </cell>
          <cell r="BI126">
            <v>0</v>
          </cell>
          <cell r="BJ126" t="str">
            <v>持平</v>
          </cell>
          <cell r="BK126" t="str">
            <v/>
          </cell>
          <cell r="BL126">
            <v>1</v>
          </cell>
          <cell r="BM126">
            <v>0</v>
          </cell>
          <cell r="BN126" t="str">
            <v>多1起</v>
          </cell>
          <cell r="BO126">
            <v>0</v>
          </cell>
          <cell r="BP126" t="str">
            <v>多1起</v>
          </cell>
          <cell r="BQ126">
            <v>0</v>
          </cell>
          <cell r="BR126">
            <v>0</v>
          </cell>
          <cell r="BS126" t="str">
            <v>持平</v>
          </cell>
          <cell r="BT126">
            <v>0</v>
          </cell>
          <cell r="BU126" t="str">
            <v>持平</v>
          </cell>
          <cell r="BV126" t="str">
            <v/>
          </cell>
          <cell r="BW126" t="str">
            <v/>
          </cell>
          <cell r="BX126" t="str">
            <v/>
          </cell>
          <cell r="BY126" t="str">
            <v/>
          </cell>
          <cell r="BZ126">
            <v>0</v>
          </cell>
          <cell r="CA126">
            <v>0</v>
          </cell>
          <cell r="CB126" t="str">
            <v>持平</v>
          </cell>
          <cell r="CC126">
            <v>0</v>
          </cell>
          <cell r="CD126" t="str">
            <v>持平</v>
          </cell>
          <cell r="CE126" t="str">
            <v/>
          </cell>
          <cell r="CF126" t="str">
            <v/>
          </cell>
          <cell r="CG126">
            <v>0</v>
          </cell>
          <cell r="CH126">
            <v>0</v>
          </cell>
          <cell r="CI126" t="str">
            <v>持平</v>
          </cell>
          <cell r="CJ126">
            <v>0</v>
          </cell>
          <cell r="CK126" t="str">
            <v>持平</v>
          </cell>
          <cell r="CL126" t="str">
            <v/>
          </cell>
          <cell r="CM126" t="str">
            <v/>
          </cell>
          <cell r="CN126" t="str">
            <v/>
          </cell>
          <cell r="CO126">
            <v>0</v>
          </cell>
          <cell r="CP126">
            <v>0</v>
          </cell>
          <cell r="CQ126" t="str">
            <v>持平</v>
          </cell>
          <cell r="CR126">
            <v>0</v>
          </cell>
          <cell r="CS126" t="str">
            <v>持平</v>
          </cell>
          <cell r="CT126" t="str">
            <v/>
          </cell>
          <cell r="CU126" t="str">
            <v/>
          </cell>
          <cell r="CV126" t="str">
            <v/>
          </cell>
          <cell r="CW126" t="str">
            <v/>
          </cell>
          <cell r="CX126" t="str">
            <v/>
          </cell>
          <cell r="CY126">
            <v>0</v>
          </cell>
          <cell r="CZ126">
            <v>0</v>
          </cell>
          <cell r="DA126" t="str">
            <v>持平</v>
          </cell>
          <cell r="DB126">
            <v>0</v>
          </cell>
          <cell r="DC126" t="str">
            <v>持平</v>
          </cell>
          <cell r="DD126" t="str">
            <v/>
          </cell>
          <cell r="DE126" t="str">
            <v/>
          </cell>
          <cell r="DF126" t="str">
            <v/>
          </cell>
          <cell r="DG126" t="str">
            <v/>
          </cell>
          <cell r="DH126" t="str">
            <v/>
          </cell>
          <cell r="DI126">
            <v>0</v>
          </cell>
          <cell r="DJ126">
            <v>0</v>
          </cell>
          <cell r="DK126" t="str">
            <v>持平</v>
          </cell>
          <cell r="DL126">
            <v>0</v>
          </cell>
          <cell r="DM126" t="str">
            <v>持平</v>
          </cell>
          <cell r="DN126">
            <v>0</v>
          </cell>
          <cell r="DO126">
            <v>1</v>
          </cell>
          <cell r="DP126" t="str">
            <v>少1人</v>
          </cell>
          <cell r="DQ126">
            <v>0</v>
          </cell>
          <cell r="DR126" t="str">
            <v>持平</v>
          </cell>
          <cell r="DS126">
            <v>0</v>
          </cell>
          <cell r="DT126">
            <v>1</v>
          </cell>
          <cell r="DU126" t="str">
            <v>少1人</v>
          </cell>
          <cell r="DV126">
            <v>0</v>
          </cell>
          <cell r="DW126" t="str">
            <v>持平</v>
          </cell>
          <cell r="DX126">
            <v>0</v>
          </cell>
          <cell r="DY126">
            <v>0</v>
          </cell>
          <cell r="DZ126" t="str">
            <v>持平</v>
          </cell>
          <cell r="EA126">
            <v>0</v>
          </cell>
          <cell r="EB126" t="str">
            <v>持平</v>
          </cell>
          <cell r="EC126">
            <v>0</v>
          </cell>
          <cell r="ED126">
            <v>0</v>
          </cell>
          <cell r="EE126" t="str">
            <v>持平</v>
          </cell>
          <cell r="EF126">
            <v>0</v>
          </cell>
          <cell r="EG126" t="str">
            <v>持平</v>
          </cell>
          <cell r="EH126" t="str">
            <v/>
          </cell>
          <cell r="EI126" t="str">
            <v/>
          </cell>
          <cell r="EJ126" t="str">
            <v/>
          </cell>
          <cell r="EK126" t="str">
            <v/>
          </cell>
          <cell r="EL126" t="str">
            <v/>
          </cell>
          <cell r="EM126">
            <v>0</v>
          </cell>
          <cell r="EN126">
            <v>0</v>
          </cell>
          <cell r="EO126" t="str">
            <v>持平</v>
          </cell>
          <cell r="EP126">
            <v>0</v>
          </cell>
          <cell r="EQ126" t="str">
            <v>持平</v>
          </cell>
          <cell r="ER126">
            <v>0</v>
          </cell>
          <cell r="ES126">
            <v>0</v>
          </cell>
          <cell r="ET126" t="str">
            <v>持平</v>
          </cell>
          <cell r="EU126">
            <v>0</v>
          </cell>
          <cell r="EV126" t="str">
            <v>持平</v>
          </cell>
          <cell r="EW126" t="str">
            <v/>
          </cell>
          <cell r="EX126" t="str">
            <v/>
          </cell>
          <cell r="EY126" t="str">
            <v/>
          </cell>
          <cell r="EZ126" t="str">
            <v/>
          </cell>
          <cell r="FA126" t="str">
            <v/>
          </cell>
        </row>
        <row r="127">
          <cell r="A127" t="str">
            <v>非法利用信息网络</v>
          </cell>
          <cell r="B127" t="str">
            <v>新兴县</v>
          </cell>
        </row>
        <row r="127">
          <cell r="AM127">
            <v>0</v>
          </cell>
          <cell r="AN127">
            <v>0</v>
          </cell>
          <cell r="AO127" t="str">
            <v>持平</v>
          </cell>
          <cell r="AP127">
            <v>0</v>
          </cell>
          <cell r="AQ127" t="str">
            <v>持平</v>
          </cell>
          <cell r="AR127" t="str">
            <v/>
          </cell>
          <cell r="AS127" t="str">
            <v/>
          </cell>
          <cell r="AT127">
            <v>0</v>
          </cell>
          <cell r="AU127">
            <v>0</v>
          </cell>
          <cell r="AV127" t="str">
            <v>持平</v>
          </cell>
          <cell r="AW127">
            <v>0</v>
          </cell>
          <cell r="AX127" t="str">
            <v>持平</v>
          </cell>
          <cell r="AY127">
            <v>0</v>
          </cell>
          <cell r="AZ127">
            <v>0</v>
          </cell>
          <cell r="BA127" t="str">
            <v>持平</v>
          </cell>
          <cell r="BB127">
            <v>0</v>
          </cell>
          <cell r="BC127" t="str">
            <v>持平</v>
          </cell>
          <cell r="BD127" t="str">
            <v/>
          </cell>
          <cell r="BE127" t="str">
            <v/>
          </cell>
          <cell r="BF127">
            <v>0</v>
          </cell>
          <cell r="BG127">
            <v>0</v>
          </cell>
          <cell r="BH127" t="str">
            <v>持平</v>
          </cell>
          <cell r="BI127">
            <v>0</v>
          </cell>
          <cell r="BJ127" t="str">
            <v>持平</v>
          </cell>
          <cell r="BK127" t="str">
            <v/>
          </cell>
          <cell r="BL127">
            <v>0</v>
          </cell>
          <cell r="BM127">
            <v>0</v>
          </cell>
          <cell r="BN127" t="str">
            <v>持平</v>
          </cell>
          <cell r="BO127">
            <v>0</v>
          </cell>
          <cell r="BP127" t="str">
            <v>持平</v>
          </cell>
          <cell r="BQ127">
            <v>0</v>
          </cell>
          <cell r="BR127">
            <v>0</v>
          </cell>
          <cell r="BS127" t="str">
            <v>持平</v>
          </cell>
          <cell r="BT127">
            <v>0</v>
          </cell>
          <cell r="BU127" t="str">
            <v>持平</v>
          </cell>
          <cell r="BV127" t="str">
            <v/>
          </cell>
          <cell r="BW127" t="str">
            <v/>
          </cell>
          <cell r="BX127" t="str">
            <v/>
          </cell>
          <cell r="BY127" t="str">
            <v/>
          </cell>
          <cell r="BZ127">
            <v>0</v>
          </cell>
          <cell r="CA127">
            <v>0</v>
          </cell>
          <cell r="CB127" t="str">
            <v>持平</v>
          </cell>
          <cell r="CC127">
            <v>0</v>
          </cell>
          <cell r="CD127" t="str">
            <v>持平</v>
          </cell>
          <cell r="CE127" t="str">
            <v/>
          </cell>
          <cell r="CF127" t="str">
            <v/>
          </cell>
          <cell r="CG127">
            <v>16</v>
          </cell>
          <cell r="CH127">
            <v>0</v>
          </cell>
          <cell r="CI127" t="str">
            <v>多16人</v>
          </cell>
          <cell r="CJ127">
            <v>1</v>
          </cell>
          <cell r="CK127">
            <v>15</v>
          </cell>
          <cell r="CL127" t="str">
            <v/>
          </cell>
          <cell r="CM127" t="str">
            <v/>
          </cell>
          <cell r="CN127" t="str">
            <v/>
          </cell>
          <cell r="CO127">
            <v>10</v>
          </cell>
          <cell r="CP127">
            <v>0</v>
          </cell>
          <cell r="CQ127" t="str">
            <v>多10人</v>
          </cell>
          <cell r="CR127">
            <v>1</v>
          </cell>
          <cell r="CS127">
            <v>9</v>
          </cell>
          <cell r="CT127">
            <v>0.625</v>
          </cell>
          <cell r="CU127" t="str">
            <v/>
          </cell>
          <cell r="CV127" t="str">
            <v/>
          </cell>
          <cell r="CW127" t="str">
            <v/>
          </cell>
          <cell r="CX127" t="str">
            <v/>
          </cell>
          <cell r="CY127">
            <v>10</v>
          </cell>
          <cell r="CZ127">
            <v>0</v>
          </cell>
          <cell r="DA127" t="str">
            <v>多10人</v>
          </cell>
          <cell r="DB127">
            <v>1</v>
          </cell>
          <cell r="DC127">
            <v>9</v>
          </cell>
          <cell r="DD127">
            <v>0.625</v>
          </cell>
          <cell r="DE127" t="str">
            <v/>
          </cell>
          <cell r="DF127" t="str">
            <v/>
          </cell>
          <cell r="DG127" t="str">
            <v/>
          </cell>
          <cell r="DH127" t="str">
            <v/>
          </cell>
          <cell r="DI127">
            <v>1</v>
          </cell>
          <cell r="DJ127">
            <v>0</v>
          </cell>
          <cell r="DK127" t="str">
            <v>多1人</v>
          </cell>
          <cell r="DL127">
            <v>0</v>
          </cell>
          <cell r="DM127" t="str">
            <v>多1人</v>
          </cell>
          <cell r="DN127">
            <v>1</v>
          </cell>
          <cell r="DO127">
            <v>0</v>
          </cell>
          <cell r="DP127" t="str">
            <v>多1人</v>
          </cell>
          <cell r="DQ127">
            <v>0</v>
          </cell>
          <cell r="DR127" t="str">
            <v>多1人</v>
          </cell>
          <cell r="DS127">
            <v>1</v>
          </cell>
          <cell r="DT127">
            <v>0</v>
          </cell>
          <cell r="DU127" t="str">
            <v>多1人</v>
          </cell>
          <cell r="DV127">
            <v>0</v>
          </cell>
          <cell r="DW127" t="str">
            <v>多1人</v>
          </cell>
          <cell r="DX127">
            <v>1</v>
          </cell>
          <cell r="DY127">
            <v>0</v>
          </cell>
          <cell r="DZ127" t="str">
            <v>多1人</v>
          </cell>
          <cell r="EA127">
            <v>1</v>
          </cell>
          <cell r="EB127">
            <v>0</v>
          </cell>
          <cell r="EC127">
            <v>0</v>
          </cell>
          <cell r="ED127">
            <v>0</v>
          </cell>
          <cell r="EE127" t="str">
            <v>持平</v>
          </cell>
          <cell r="EF127">
            <v>0</v>
          </cell>
          <cell r="EG127" t="str">
            <v>持平</v>
          </cell>
          <cell r="EH127">
            <v>0</v>
          </cell>
          <cell r="EI127" t="str">
            <v/>
          </cell>
          <cell r="EJ127" t="str">
            <v/>
          </cell>
          <cell r="EK127" t="str">
            <v/>
          </cell>
          <cell r="EL127" t="str">
            <v/>
          </cell>
          <cell r="EM127">
            <v>0</v>
          </cell>
          <cell r="EN127">
            <v>0</v>
          </cell>
          <cell r="EO127" t="str">
            <v>持平</v>
          </cell>
          <cell r="EP127">
            <v>0</v>
          </cell>
          <cell r="EQ127" t="str">
            <v>持平</v>
          </cell>
          <cell r="ER127">
            <v>0</v>
          </cell>
          <cell r="ES127">
            <v>0</v>
          </cell>
          <cell r="ET127" t="str">
            <v>持平</v>
          </cell>
          <cell r="EU127">
            <v>0</v>
          </cell>
          <cell r="EV127" t="str">
            <v>持平</v>
          </cell>
          <cell r="EW127">
            <v>0</v>
          </cell>
          <cell r="EX127" t="str">
            <v/>
          </cell>
          <cell r="EY127" t="str">
            <v/>
          </cell>
          <cell r="EZ127" t="str">
            <v/>
          </cell>
          <cell r="FA127" t="str">
            <v/>
          </cell>
        </row>
        <row r="128">
          <cell r="A128" t="str">
            <v>非法利用信息网络</v>
          </cell>
          <cell r="B128" t="str">
            <v>郁南县</v>
          </cell>
        </row>
        <row r="128">
          <cell r="AM128">
            <v>0</v>
          </cell>
          <cell r="AN128">
            <v>0</v>
          </cell>
          <cell r="AO128" t="str">
            <v>持平</v>
          </cell>
          <cell r="AP128">
            <v>0</v>
          </cell>
          <cell r="AQ128" t="str">
            <v>持平</v>
          </cell>
          <cell r="AR128" t="str">
            <v/>
          </cell>
          <cell r="AS128" t="str">
            <v/>
          </cell>
          <cell r="AT128">
            <v>0</v>
          </cell>
          <cell r="AU128">
            <v>0</v>
          </cell>
          <cell r="AV128" t="str">
            <v>持平</v>
          </cell>
          <cell r="AW128">
            <v>0</v>
          </cell>
          <cell r="AX128" t="str">
            <v>持平</v>
          </cell>
          <cell r="AY128">
            <v>0</v>
          </cell>
          <cell r="AZ128">
            <v>0</v>
          </cell>
          <cell r="BA128" t="str">
            <v>持平</v>
          </cell>
          <cell r="BB128">
            <v>0</v>
          </cell>
          <cell r="BC128" t="str">
            <v>持平</v>
          </cell>
          <cell r="BD128" t="str">
            <v/>
          </cell>
          <cell r="BE128" t="str">
            <v/>
          </cell>
          <cell r="BF128">
            <v>0</v>
          </cell>
          <cell r="BG128">
            <v>0</v>
          </cell>
          <cell r="BH128" t="str">
            <v>持平</v>
          </cell>
          <cell r="BI128">
            <v>0</v>
          </cell>
          <cell r="BJ128" t="str">
            <v>持平</v>
          </cell>
          <cell r="BK128" t="str">
            <v/>
          </cell>
          <cell r="BL128">
            <v>0</v>
          </cell>
          <cell r="BM128">
            <v>0</v>
          </cell>
          <cell r="BN128" t="str">
            <v>持平</v>
          </cell>
          <cell r="BO128">
            <v>0</v>
          </cell>
          <cell r="BP128" t="str">
            <v>持平</v>
          </cell>
          <cell r="BQ128">
            <v>0</v>
          </cell>
          <cell r="BR128">
            <v>0</v>
          </cell>
          <cell r="BS128" t="str">
            <v>持平</v>
          </cell>
          <cell r="BT128">
            <v>0</v>
          </cell>
          <cell r="BU128" t="str">
            <v>持平</v>
          </cell>
          <cell r="BV128" t="str">
            <v/>
          </cell>
          <cell r="BW128" t="str">
            <v/>
          </cell>
          <cell r="BX128" t="str">
            <v/>
          </cell>
          <cell r="BY128" t="str">
            <v/>
          </cell>
          <cell r="BZ128">
            <v>0</v>
          </cell>
          <cell r="CA128">
            <v>0</v>
          </cell>
          <cell r="CB128" t="str">
            <v>持平</v>
          </cell>
          <cell r="CC128">
            <v>0</v>
          </cell>
          <cell r="CD128" t="str">
            <v>持平</v>
          </cell>
          <cell r="CE128" t="str">
            <v/>
          </cell>
          <cell r="CF128" t="str">
            <v/>
          </cell>
          <cell r="CG128">
            <v>0</v>
          </cell>
          <cell r="CH128">
            <v>0</v>
          </cell>
          <cell r="CI128" t="str">
            <v>持平</v>
          </cell>
          <cell r="CJ128">
            <v>0</v>
          </cell>
          <cell r="CK128" t="str">
            <v>持平</v>
          </cell>
          <cell r="CL128" t="str">
            <v/>
          </cell>
          <cell r="CM128" t="str">
            <v/>
          </cell>
          <cell r="CN128" t="str">
            <v/>
          </cell>
          <cell r="CO128">
            <v>0</v>
          </cell>
          <cell r="CP128">
            <v>0</v>
          </cell>
          <cell r="CQ128" t="str">
            <v>持平</v>
          </cell>
          <cell r="CR128">
            <v>0</v>
          </cell>
          <cell r="CS128" t="str">
            <v>持平</v>
          </cell>
          <cell r="CT128" t="str">
            <v/>
          </cell>
          <cell r="CU128" t="str">
            <v/>
          </cell>
          <cell r="CV128" t="str">
            <v/>
          </cell>
          <cell r="CW128" t="str">
            <v/>
          </cell>
          <cell r="CX128" t="str">
            <v/>
          </cell>
          <cell r="CY128">
            <v>0</v>
          </cell>
          <cell r="CZ128">
            <v>0</v>
          </cell>
          <cell r="DA128" t="str">
            <v>持平</v>
          </cell>
          <cell r="DB128">
            <v>0</v>
          </cell>
          <cell r="DC128" t="str">
            <v>持平</v>
          </cell>
          <cell r="DD128" t="str">
            <v/>
          </cell>
          <cell r="DE128" t="str">
            <v/>
          </cell>
          <cell r="DF128" t="str">
            <v/>
          </cell>
          <cell r="DG128" t="str">
            <v/>
          </cell>
          <cell r="DH128" t="str">
            <v/>
          </cell>
          <cell r="DI128">
            <v>0</v>
          </cell>
          <cell r="DJ128">
            <v>0</v>
          </cell>
          <cell r="DK128" t="str">
            <v>持平</v>
          </cell>
          <cell r="DL128">
            <v>0</v>
          </cell>
          <cell r="DM128" t="str">
            <v>持平</v>
          </cell>
          <cell r="DN128">
            <v>0</v>
          </cell>
          <cell r="DO128">
            <v>0</v>
          </cell>
          <cell r="DP128" t="str">
            <v>持平</v>
          </cell>
          <cell r="DQ128">
            <v>0</v>
          </cell>
          <cell r="DR128" t="str">
            <v>持平</v>
          </cell>
          <cell r="DS128">
            <v>0</v>
          </cell>
          <cell r="DT128">
            <v>0</v>
          </cell>
          <cell r="DU128" t="str">
            <v>持平</v>
          </cell>
          <cell r="DV128">
            <v>0</v>
          </cell>
          <cell r="DW128" t="str">
            <v>持平</v>
          </cell>
          <cell r="DX128">
            <v>0</v>
          </cell>
          <cell r="DY128">
            <v>0</v>
          </cell>
          <cell r="DZ128" t="str">
            <v>持平</v>
          </cell>
          <cell r="EA128">
            <v>0</v>
          </cell>
          <cell r="EB128" t="str">
            <v>持平</v>
          </cell>
          <cell r="EC128">
            <v>0</v>
          </cell>
          <cell r="ED128">
            <v>0</v>
          </cell>
          <cell r="EE128" t="str">
            <v>持平</v>
          </cell>
          <cell r="EF128">
            <v>0</v>
          </cell>
          <cell r="EG128" t="str">
            <v>持平</v>
          </cell>
          <cell r="EH128" t="str">
            <v/>
          </cell>
          <cell r="EI128" t="str">
            <v/>
          </cell>
          <cell r="EJ128" t="str">
            <v/>
          </cell>
          <cell r="EK128" t="str">
            <v/>
          </cell>
          <cell r="EL128" t="str">
            <v/>
          </cell>
          <cell r="EM128">
            <v>0</v>
          </cell>
          <cell r="EN128">
            <v>0</v>
          </cell>
          <cell r="EO128" t="str">
            <v>持平</v>
          </cell>
          <cell r="EP128">
            <v>0</v>
          </cell>
          <cell r="EQ128" t="str">
            <v>持平</v>
          </cell>
          <cell r="ER128">
            <v>0</v>
          </cell>
          <cell r="ES128">
            <v>0</v>
          </cell>
          <cell r="ET128" t="str">
            <v>持平</v>
          </cell>
          <cell r="EU128">
            <v>0</v>
          </cell>
          <cell r="EV128" t="str">
            <v>持平</v>
          </cell>
          <cell r="EW128" t="str">
            <v/>
          </cell>
          <cell r="EX128" t="str">
            <v/>
          </cell>
          <cell r="EY128" t="str">
            <v/>
          </cell>
          <cell r="EZ128" t="str">
            <v/>
          </cell>
          <cell r="FA128" t="str">
            <v/>
          </cell>
        </row>
        <row r="129">
          <cell r="A129" t="str">
            <v>非法利用信息网络</v>
          </cell>
          <cell r="B129" t="str">
            <v>罗定市</v>
          </cell>
        </row>
        <row r="129">
          <cell r="AM129">
            <v>0</v>
          </cell>
          <cell r="AN129">
            <v>0</v>
          </cell>
          <cell r="AO129" t="str">
            <v>持平</v>
          </cell>
          <cell r="AP129">
            <v>0</v>
          </cell>
          <cell r="AQ129" t="str">
            <v>持平</v>
          </cell>
          <cell r="AR129" t="str">
            <v/>
          </cell>
          <cell r="AS129" t="str">
            <v/>
          </cell>
          <cell r="AT129">
            <v>0</v>
          </cell>
          <cell r="AU129">
            <v>0</v>
          </cell>
          <cell r="AV129" t="str">
            <v>持平</v>
          </cell>
          <cell r="AW129">
            <v>0</v>
          </cell>
          <cell r="AX129" t="str">
            <v>持平</v>
          </cell>
          <cell r="AY129">
            <v>0</v>
          </cell>
          <cell r="AZ129">
            <v>0</v>
          </cell>
          <cell r="BA129" t="str">
            <v>持平</v>
          </cell>
          <cell r="BB129">
            <v>0</v>
          </cell>
          <cell r="BC129" t="str">
            <v>持平</v>
          </cell>
          <cell r="BD129" t="str">
            <v/>
          </cell>
          <cell r="BE129" t="str">
            <v/>
          </cell>
          <cell r="BF129">
            <v>0</v>
          </cell>
          <cell r="BG129">
            <v>0</v>
          </cell>
          <cell r="BH129" t="str">
            <v>持平</v>
          </cell>
          <cell r="BI129">
            <v>0</v>
          </cell>
          <cell r="BJ129" t="str">
            <v>持平</v>
          </cell>
          <cell r="BK129" t="str">
            <v/>
          </cell>
          <cell r="BL129">
            <v>0</v>
          </cell>
          <cell r="BM129">
            <v>0</v>
          </cell>
          <cell r="BN129" t="str">
            <v>持平</v>
          </cell>
          <cell r="BO129">
            <v>0</v>
          </cell>
          <cell r="BP129" t="str">
            <v>持平</v>
          </cell>
          <cell r="BQ129">
            <v>0</v>
          </cell>
          <cell r="BR129">
            <v>0</v>
          </cell>
          <cell r="BS129" t="str">
            <v>持平</v>
          </cell>
          <cell r="BT129">
            <v>0</v>
          </cell>
          <cell r="BU129" t="str">
            <v>持平</v>
          </cell>
          <cell r="BV129" t="str">
            <v/>
          </cell>
          <cell r="BW129" t="str">
            <v/>
          </cell>
          <cell r="BX129" t="str">
            <v/>
          </cell>
          <cell r="BY129" t="str">
            <v/>
          </cell>
          <cell r="BZ129">
            <v>0</v>
          </cell>
          <cell r="CA129">
            <v>0</v>
          </cell>
          <cell r="CB129" t="str">
            <v>持平</v>
          </cell>
          <cell r="CC129">
            <v>0</v>
          </cell>
          <cell r="CD129" t="str">
            <v>持平</v>
          </cell>
          <cell r="CE129" t="str">
            <v/>
          </cell>
          <cell r="CF129" t="str">
            <v/>
          </cell>
          <cell r="CG129">
            <v>0</v>
          </cell>
          <cell r="CH129">
            <v>0</v>
          </cell>
          <cell r="CI129" t="str">
            <v>持平</v>
          </cell>
          <cell r="CJ129">
            <v>0</v>
          </cell>
          <cell r="CK129" t="str">
            <v>持平</v>
          </cell>
          <cell r="CL129" t="str">
            <v/>
          </cell>
          <cell r="CM129" t="str">
            <v/>
          </cell>
          <cell r="CN129" t="str">
            <v/>
          </cell>
          <cell r="CO129">
            <v>0</v>
          </cell>
          <cell r="CP129">
            <v>0</v>
          </cell>
          <cell r="CQ129" t="str">
            <v>持平</v>
          </cell>
          <cell r="CR129">
            <v>0</v>
          </cell>
          <cell r="CS129" t="str">
            <v>持平</v>
          </cell>
          <cell r="CT129" t="str">
            <v/>
          </cell>
          <cell r="CU129" t="str">
            <v/>
          </cell>
          <cell r="CV129" t="str">
            <v/>
          </cell>
          <cell r="CW129" t="str">
            <v/>
          </cell>
          <cell r="CX129" t="str">
            <v/>
          </cell>
          <cell r="CY129">
            <v>0</v>
          </cell>
          <cell r="CZ129">
            <v>0</v>
          </cell>
          <cell r="DA129" t="str">
            <v>持平</v>
          </cell>
          <cell r="DB129">
            <v>0</v>
          </cell>
          <cell r="DC129" t="str">
            <v>持平</v>
          </cell>
          <cell r="DD129" t="str">
            <v/>
          </cell>
          <cell r="DE129" t="str">
            <v/>
          </cell>
          <cell r="DF129" t="str">
            <v/>
          </cell>
          <cell r="DG129" t="str">
            <v/>
          </cell>
          <cell r="DH129" t="str">
            <v/>
          </cell>
          <cell r="DI129">
            <v>0</v>
          </cell>
          <cell r="DJ129">
            <v>0</v>
          </cell>
          <cell r="DK129" t="str">
            <v>持平</v>
          </cell>
          <cell r="DL129">
            <v>0</v>
          </cell>
          <cell r="DM129" t="str">
            <v>持平</v>
          </cell>
          <cell r="DN129">
            <v>0</v>
          </cell>
          <cell r="DO129">
            <v>0</v>
          </cell>
          <cell r="DP129" t="str">
            <v>持平</v>
          </cell>
          <cell r="DQ129">
            <v>0</v>
          </cell>
          <cell r="DR129" t="str">
            <v>持平</v>
          </cell>
          <cell r="DS129">
            <v>0</v>
          </cell>
          <cell r="DT129">
            <v>0</v>
          </cell>
          <cell r="DU129" t="str">
            <v>持平</v>
          </cell>
          <cell r="DV129">
            <v>0</v>
          </cell>
          <cell r="DW129" t="str">
            <v>持平</v>
          </cell>
          <cell r="DX129">
            <v>0</v>
          </cell>
          <cell r="DY129">
            <v>0</v>
          </cell>
          <cell r="DZ129" t="str">
            <v>持平</v>
          </cell>
          <cell r="EA129">
            <v>0</v>
          </cell>
          <cell r="EB129" t="str">
            <v>持平</v>
          </cell>
          <cell r="EC129">
            <v>0</v>
          </cell>
          <cell r="ED129">
            <v>0</v>
          </cell>
          <cell r="EE129" t="str">
            <v>持平</v>
          </cell>
          <cell r="EF129">
            <v>0</v>
          </cell>
          <cell r="EG129" t="str">
            <v>持平</v>
          </cell>
          <cell r="EH129" t="str">
            <v/>
          </cell>
          <cell r="EI129" t="str">
            <v/>
          </cell>
          <cell r="EJ129" t="str">
            <v/>
          </cell>
          <cell r="EK129" t="str">
            <v/>
          </cell>
          <cell r="EL129" t="str">
            <v/>
          </cell>
          <cell r="EM129">
            <v>0</v>
          </cell>
          <cell r="EN129">
            <v>0</v>
          </cell>
          <cell r="EO129" t="str">
            <v>持平</v>
          </cell>
          <cell r="EP129">
            <v>0</v>
          </cell>
          <cell r="EQ129" t="str">
            <v>持平</v>
          </cell>
          <cell r="ER129">
            <v>0</v>
          </cell>
          <cell r="ES129">
            <v>0</v>
          </cell>
          <cell r="ET129" t="str">
            <v>持平</v>
          </cell>
          <cell r="EU129">
            <v>0</v>
          </cell>
          <cell r="EV129" t="str">
            <v>持平</v>
          </cell>
          <cell r="EW129" t="str">
            <v/>
          </cell>
          <cell r="EX129" t="str">
            <v/>
          </cell>
          <cell r="EY129" t="str">
            <v/>
          </cell>
          <cell r="EZ129" t="str">
            <v/>
          </cell>
          <cell r="FA129" t="str">
            <v/>
          </cell>
        </row>
        <row r="130">
          <cell r="A130" t="str">
            <v>帮助信息网络犯罪活动</v>
          </cell>
          <cell r="B130" t="str">
            <v>全省</v>
          </cell>
        </row>
        <row r="130">
          <cell r="AM130">
            <v>641</v>
          </cell>
          <cell r="AN130">
            <v>659</v>
          </cell>
          <cell r="AO130">
            <v>-0.0273</v>
          </cell>
          <cell r="AP130">
            <v>1859</v>
          </cell>
          <cell r="AQ130">
            <v>-0.6552</v>
          </cell>
          <cell r="AR130">
            <v>0.5886</v>
          </cell>
          <cell r="AS130">
            <v>0.3925</v>
          </cell>
          <cell r="AT130">
            <v>623</v>
          </cell>
          <cell r="AU130">
            <v>1261</v>
          </cell>
          <cell r="AV130">
            <v>-0.5059</v>
          </cell>
          <cell r="AW130">
            <v>3231</v>
          </cell>
          <cell r="AX130">
            <v>-0.8072</v>
          </cell>
          <cell r="AY130">
            <v>96</v>
          </cell>
          <cell r="AZ130">
            <v>221</v>
          </cell>
          <cell r="BA130">
            <v>-0.5656</v>
          </cell>
          <cell r="BB130">
            <v>1101</v>
          </cell>
          <cell r="BC130">
            <v>-0.9128</v>
          </cell>
          <cell r="BD130">
            <v>0.1541</v>
          </cell>
          <cell r="BE130">
            <v>-0.0212</v>
          </cell>
          <cell r="BF130">
            <v>466</v>
          </cell>
          <cell r="BG130">
            <v>2099</v>
          </cell>
          <cell r="BH130">
            <v>-0.778</v>
          </cell>
          <cell r="BI130">
            <v>44</v>
          </cell>
          <cell r="BJ130">
            <v>9.5909</v>
          </cell>
          <cell r="BK130">
            <v>0.4279</v>
          </cell>
          <cell r="BL130">
            <v>545</v>
          </cell>
          <cell r="BM130">
            <v>438</v>
          </cell>
          <cell r="BN130">
            <v>0.2443</v>
          </cell>
          <cell r="BO130">
            <v>758</v>
          </cell>
          <cell r="BP130">
            <v>-0.281</v>
          </cell>
          <cell r="BQ130">
            <v>118</v>
          </cell>
          <cell r="BR130">
            <v>78</v>
          </cell>
          <cell r="BS130">
            <v>0.5128</v>
          </cell>
          <cell r="BT130">
            <v>254</v>
          </cell>
          <cell r="BU130">
            <v>-0.5354</v>
          </cell>
          <cell r="BV130">
            <v>0.1084</v>
          </cell>
          <cell r="BW130">
            <v>0.0851</v>
          </cell>
          <cell r="BX130">
            <v>0.1894</v>
          </cell>
          <cell r="BY130">
            <v>0.1276</v>
          </cell>
          <cell r="BZ130">
            <v>2</v>
          </cell>
          <cell r="CA130">
            <v>2</v>
          </cell>
          <cell r="CB130">
            <v>0</v>
          </cell>
          <cell r="CC130">
            <v>46</v>
          </cell>
          <cell r="CD130">
            <v>-0.9565</v>
          </cell>
          <cell r="CE130" t="str">
            <v/>
          </cell>
          <cell r="CF130" t="str">
            <v/>
          </cell>
          <cell r="CG130">
            <v>837</v>
          </cell>
          <cell r="CH130">
            <v>715</v>
          </cell>
          <cell r="CI130">
            <v>0.1706</v>
          </cell>
          <cell r="CJ130">
            <v>1028</v>
          </cell>
          <cell r="CK130">
            <v>-0.1858</v>
          </cell>
          <cell r="CL130">
            <v>77</v>
          </cell>
          <cell r="CM130">
            <v>56</v>
          </cell>
          <cell r="CN130">
            <v>2.6119</v>
          </cell>
          <cell r="CO130">
            <v>901</v>
          </cell>
          <cell r="CP130">
            <v>482</v>
          </cell>
          <cell r="CQ130">
            <v>0.8693</v>
          </cell>
          <cell r="CR130">
            <v>691</v>
          </cell>
          <cell r="CS130">
            <v>0.3039</v>
          </cell>
          <cell r="CT130">
            <v>1.0765</v>
          </cell>
          <cell r="CU130">
            <v>0.4023</v>
          </cell>
          <cell r="CV130">
            <v>83</v>
          </cell>
          <cell r="CW130">
            <v>68</v>
          </cell>
          <cell r="CX130">
            <v>4.7675</v>
          </cell>
          <cell r="CY130">
            <v>935</v>
          </cell>
          <cell r="CZ130">
            <v>552</v>
          </cell>
          <cell r="DA130">
            <v>0.6938</v>
          </cell>
          <cell r="DB130">
            <v>778</v>
          </cell>
          <cell r="DC130">
            <v>0.2018</v>
          </cell>
          <cell r="DD130">
            <v>1.1171</v>
          </cell>
          <cell r="DE130">
            <v>0.3451</v>
          </cell>
          <cell r="DF130">
            <v>86</v>
          </cell>
          <cell r="DG130">
            <v>69</v>
          </cell>
          <cell r="DH130">
            <v>4.2262</v>
          </cell>
          <cell r="DI130">
            <v>691</v>
          </cell>
          <cell r="DJ130">
            <v>460</v>
          </cell>
          <cell r="DK130">
            <v>0.5022</v>
          </cell>
          <cell r="DL130">
            <v>476</v>
          </cell>
          <cell r="DM130">
            <v>0.4517</v>
          </cell>
          <cell r="DN130">
            <v>446</v>
          </cell>
          <cell r="DO130">
            <v>310</v>
          </cell>
          <cell r="DP130">
            <v>0.4387</v>
          </cell>
          <cell r="DQ130">
            <v>515</v>
          </cell>
          <cell r="DR130">
            <v>-0.134</v>
          </cell>
          <cell r="DS130">
            <v>447</v>
          </cell>
          <cell r="DT130">
            <v>310</v>
          </cell>
          <cell r="DU130">
            <v>0.4419</v>
          </cell>
          <cell r="DV130">
            <v>515</v>
          </cell>
          <cell r="DW130">
            <v>-0.132</v>
          </cell>
          <cell r="DX130">
            <v>254</v>
          </cell>
          <cell r="DY130">
            <v>226</v>
          </cell>
          <cell r="DZ130">
            <v>0.1239</v>
          </cell>
          <cell r="EA130">
            <v>203</v>
          </cell>
          <cell r="EB130">
            <v>0.2512</v>
          </cell>
          <cell r="EC130">
            <v>72</v>
          </cell>
          <cell r="ED130">
            <v>140</v>
          </cell>
          <cell r="EE130">
            <v>-0.4857</v>
          </cell>
          <cell r="EF130">
            <v>97</v>
          </cell>
          <cell r="EG130">
            <v>-0.2577</v>
          </cell>
          <cell r="EH130">
            <v>0.0799</v>
          </cell>
          <cell r="EI130">
            <v>-0.2105</v>
          </cell>
          <cell r="EJ130">
            <v>7</v>
          </cell>
          <cell r="EK130">
            <v>2</v>
          </cell>
          <cell r="EL130">
            <v>0.5868</v>
          </cell>
          <cell r="EM130">
            <v>85</v>
          </cell>
          <cell r="EN130">
            <v>135</v>
          </cell>
          <cell r="EO130">
            <v>-0.3704</v>
          </cell>
          <cell r="EP130">
            <v>102</v>
          </cell>
          <cell r="EQ130">
            <v>-0.1667</v>
          </cell>
          <cell r="ER130">
            <v>177</v>
          </cell>
          <cell r="ES130">
            <v>134</v>
          </cell>
          <cell r="ET130">
            <v>0.3209</v>
          </cell>
          <cell r="EU130">
            <v>349</v>
          </cell>
          <cell r="EV130">
            <v>-0.4928</v>
          </cell>
          <cell r="EW130">
            <v>0.1964</v>
          </cell>
          <cell r="EX130">
            <v>-0.0816</v>
          </cell>
          <cell r="EY130">
            <v>16</v>
          </cell>
          <cell r="EZ130">
            <v>12</v>
          </cell>
          <cell r="FA130">
            <v>3.0755</v>
          </cell>
        </row>
        <row r="131">
          <cell r="A131" t="str">
            <v>帮助信息网络犯罪活动</v>
          </cell>
          <cell r="B131" t="str">
            <v>云浮</v>
          </cell>
        </row>
        <row r="131">
          <cell r="AM131">
            <v>1</v>
          </cell>
          <cell r="AN131">
            <v>1</v>
          </cell>
          <cell r="AO131">
            <v>0</v>
          </cell>
          <cell r="AP131">
            <v>3</v>
          </cell>
          <cell r="AQ131">
            <v>-0.6667</v>
          </cell>
          <cell r="AR131">
            <v>1</v>
          </cell>
          <cell r="AS131">
            <v>0</v>
          </cell>
          <cell r="AT131">
            <v>1</v>
          </cell>
          <cell r="AU131">
            <v>1</v>
          </cell>
          <cell r="AV131">
            <v>0</v>
          </cell>
          <cell r="AW131">
            <v>0</v>
          </cell>
          <cell r="AX131" t="str">
            <v>多1起</v>
          </cell>
          <cell r="AY131">
            <v>1</v>
          </cell>
          <cell r="AZ131">
            <v>1</v>
          </cell>
          <cell r="BA131">
            <v>0</v>
          </cell>
          <cell r="BB131">
            <v>1</v>
          </cell>
          <cell r="BC131">
            <v>0</v>
          </cell>
          <cell r="BD131">
            <v>1</v>
          </cell>
          <cell r="BE131">
            <v>0</v>
          </cell>
          <cell r="BF131">
            <v>0</v>
          </cell>
          <cell r="BG131">
            <v>0</v>
          </cell>
          <cell r="BH131" t="str">
            <v>持平</v>
          </cell>
          <cell r="BI131">
            <v>0</v>
          </cell>
          <cell r="BJ131" t="str">
            <v>持平</v>
          </cell>
          <cell r="BK131">
            <v>0</v>
          </cell>
          <cell r="BL131">
            <v>0</v>
          </cell>
          <cell r="BM131">
            <v>0</v>
          </cell>
          <cell r="BN131" t="str">
            <v>持平</v>
          </cell>
          <cell r="BO131">
            <v>2</v>
          </cell>
          <cell r="BP131" t="str">
            <v>少2起</v>
          </cell>
          <cell r="BQ131">
            <v>0</v>
          </cell>
          <cell r="BR131">
            <v>0</v>
          </cell>
          <cell r="BS131" t="str">
            <v>持平</v>
          </cell>
          <cell r="BT131">
            <v>0</v>
          </cell>
          <cell r="BU131" t="str">
            <v>持平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 t="str">
            <v>持平</v>
          </cell>
          <cell r="CC131">
            <v>0</v>
          </cell>
          <cell r="CD131" t="str">
            <v>持平</v>
          </cell>
          <cell r="CE131" t="str">
            <v/>
          </cell>
          <cell r="CF131" t="str">
            <v/>
          </cell>
          <cell r="CG131">
            <v>9</v>
          </cell>
          <cell r="CH131">
            <v>10</v>
          </cell>
          <cell r="CI131">
            <v>-0.1</v>
          </cell>
          <cell r="CJ131">
            <v>3</v>
          </cell>
          <cell r="CK131">
            <v>2</v>
          </cell>
          <cell r="CL131">
            <v>900</v>
          </cell>
          <cell r="CM131">
            <v>-100</v>
          </cell>
          <cell r="CN131">
            <v>-0.1</v>
          </cell>
          <cell r="CO131">
            <v>11</v>
          </cell>
          <cell r="CP131">
            <v>10</v>
          </cell>
          <cell r="CQ131">
            <v>0.1</v>
          </cell>
          <cell r="CR131">
            <v>3</v>
          </cell>
          <cell r="CS131">
            <v>2.6667</v>
          </cell>
          <cell r="CT131">
            <v>1.2222</v>
          </cell>
          <cell r="CU131">
            <v>0.2222</v>
          </cell>
          <cell r="CV131">
            <v>1100</v>
          </cell>
          <cell r="CW131">
            <v>100</v>
          </cell>
          <cell r="CX131">
            <v>0.1</v>
          </cell>
          <cell r="CY131">
            <v>11</v>
          </cell>
          <cell r="CZ131">
            <v>10</v>
          </cell>
          <cell r="DA131">
            <v>0.1</v>
          </cell>
          <cell r="DB131">
            <v>3</v>
          </cell>
          <cell r="DC131">
            <v>2.6667</v>
          </cell>
          <cell r="DD131">
            <v>1.2222</v>
          </cell>
          <cell r="DE131">
            <v>0.2222</v>
          </cell>
          <cell r="DF131">
            <v>1100</v>
          </cell>
          <cell r="DG131">
            <v>100</v>
          </cell>
          <cell r="DH131">
            <v>0.1</v>
          </cell>
          <cell r="DI131">
            <v>11</v>
          </cell>
          <cell r="DJ131">
            <v>4</v>
          </cell>
          <cell r="DK131">
            <v>1.75</v>
          </cell>
          <cell r="DL131">
            <v>3</v>
          </cell>
          <cell r="DM131">
            <v>2.6667</v>
          </cell>
          <cell r="DN131">
            <v>1</v>
          </cell>
          <cell r="DO131">
            <v>2</v>
          </cell>
          <cell r="DP131">
            <v>-0.5</v>
          </cell>
          <cell r="DQ131">
            <v>0</v>
          </cell>
          <cell r="DR131" t="str">
            <v>多1人</v>
          </cell>
          <cell r="DS131">
            <v>1</v>
          </cell>
          <cell r="DT131">
            <v>2</v>
          </cell>
          <cell r="DU131">
            <v>-0.5</v>
          </cell>
          <cell r="DV131">
            <v>0</v>
          </cell>
          <cell r="DW131" t="str">
            <v>多1人</v>
          </cell>
          <cell r="DX131">
            <v>3</v>
          </cell>
          <cell r="DY131">
            <v>1</v>
          </cell>
          <cell r="DZ131">
            <v>2</v>
          </cell>
          <cell r="EA131">
            <v>0</v>
          </cell>
          <cell r="EB131" t="str">
            <v>多3人</v>
          </cell>
          <cell r="EC131">
            <v>0</v>
          </cell>
          <cell r="ED131">
            <v>0</v>
          </cell>
          <cell r="EE131" t="str">
            <v>持平</v>
          </cell>
          <cell r="EF131">
            <v>0</v>
          </cell>
          <cell r="EG131" t="str">
            <v>持平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 t="str">
            <v/>
          </cell>
          <cell r="EM131">
            <v>0</v>
          </cell>
          <cell r="EN131">
            <v>0</v>
          </cell>
          <cell r="EO131" t="str">
            <v>持平</v>
          </cell>
          <cell r="EP131">
            <v>0</v>
          </cell>
          <cell r="EQ131" t="str">
            <v>持平</v>
          </cell>
          <cell r="ER131">
            <v>0</v>
          </cell>
          <cell r="ES131">
            <v>0</v>
          </cell>
          <cell r="ET131" t="str">
            <v>持平</v>
          </cell>
          <cell r="EU131">
            <v>2</v>
          </cell>
          <cell r="EV131" t="str">
            <v>少2人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 t="str">
            <v/>
          </cell>
        </row>
        <row r="132">
          <cell r="A132" t="str">
            <v>帮助信息网络犯罪活动</v>
          </cell>
          <cell r="B132" t="str">
            <v>云城区</v>
          </cell>
        </row>
        <row r="132">
          <cell r="AM132">
            <v>0</v>
          </cell>
          <cell r="AN132">
            <v>0</v>
          </cell>
          <cell r="AO132" t="str">
            <v>持平</v>
          </cell>
          <cell r="AP132">
            <v>0</v>
          </cell>
          <cell r="AQ132" t="str">
            <v>持平</v>
          </cell>
          <cell r="AR132" t="str">
            <v/>
          </cell>
          <cell r="AS132" t="str">
            <v/>
          </cell>
          <cell r="AT132">
            <v>0</v>
          </cell>
          <cell r="AU132">
            <v>0</v>
          </cell>
          <cell r="AV132" t="str">
            <v>持平</v>
          </cell>
          <cell r="AW132">
            <v>0</v>
          </cell>
          <cell r="AX132" t="str">
            <v>持平</v>
          </cell>
          <cell r="AY132">
            <v>0</v>
          </cell>
          <cell r="AZ132">
            <v>0</v>
          </cell>
          <cell r="BA132" t="str">
            <v>持平</v>
          </cell>
          <cell r="BB132">
            <v>0</v>
          </cell>
          <cell r="BC132" t="str">
            <v>持平</v>
          </cell>
          <cell r="BD132" t="str">
            <v/>
          </cell>
          <cell r="BE132" t="str">
            <v/>
          </cell>
          <cell r="BF132">
            <v>0</v>
          </cell>
          <cell r="BG132">
            <v>0</v>
          </cell>
          <cell r="BH132" t="str">
            <v>持平</v>
          </cell>
          <cell r="BI132">
            <v>0</v>
          </cell>
          <cell r="BJ132" t="str">
            <v>持平</v>
          </cell>
          <cell r="BK132" t="str">
            <v/>
          </cell>
          <cell r="BL132">
            <v>0</v>
          </cell>
          <cell r="BM132">
            <v>0</v>
          </cell>
          <cell r="BN132" t="str">
            <v>持平</v>
          </cell>
          <cell r="BO132">
            <v>0</v>
          </cell>
          <cell r="BP132" t="str">
            <v>持平</v>
          </cell>
          <cell r="BQ132">
            <v>0</v>
          </cell>
          <cell r="BR132">
            <v>0</v>
          </cell>
          <cell r="BS132" t="str">
            <v>持平</v>
          </cell>
          <cell r="BT132">
            <v>0</v>
          </cell>
          <cell r="BU132" t="str">
            <v>持平</v>
          </cell>
          <cell r="BV132" t="str">
            <v/>
          </cell>
          <cell r="BW132" t="str">
            <v/>
          </cell>
          <cell r="BX132" t="str">
            <v/>
          </cell>
          <cell r="BY132" t="str">
            <v/>
          </cell>
          <cell r="BZ132">
            <v>0</v>
          </cell>
          <cell r="CA132">
            <v>0</v>
          </cell>
          <cell r="CB132" t="str">
            <v>持平</v>
          </cell>
          <cell r="CC132">
            <v>0</v>
          </cell>
          <cell r="CD132" t="str">
            <v>持平</v>
          </cell>
          <cell r="CE132" t="str">
            <v/>
          </cell>
          <cell r="CF132" t="str">
            <v/>
          </cell>
          <cell r="CG132">
            <v>0</v>
          </cell>
          <cell r="CH132">
            <v>0</v>
          </cell>
          <cell r="CI132" t="str">
            <v>持平</v>
          </cell>
          <cell r="CJ132">
            <v>0</v>
          </cell>
          <cell r="CK132" t="str">
            <v>持平</v>
          </cell>
          <cell r="CL132" t="str">
            <v/>
          </cell>
          <cell r="CM132" t="str">
            <v/>
          </cell>
          <cell r="CN132" t="str">
            <v/>
          </cell>
          <cell r="CO132">
            <v>0</v>
          </cell>
          <cell r="CP132">
            <v>0</v>
          </cell>
          <cell r="CQ132" t="str">
            <v>持平</v>
          </cell>
          <cell r="CR132">
            <v>0</v>
          </cell>
          <cell r="CS132" t="str">
            <v>持平</v>
          </cell>
          <cell r="CT132" t="str">
            <v/>
          </cell>
          <cell r="CU132" t="str">
            <v/>
          </cell>
          <cell r="CV132" t="str">
            <v/>
          </cell>
          <cell r="CW132" t="str">
            <v/>
          </cell>
          <cell r="CX132" t="str">
            <v/>
          </cell>
          <cell r="CY132">
            <v>0</v>
          </cell>
          <cell r="CZ132">
            <v>0</v>
          </cell>
          <cell r="DA132" t="str">
            <v>持平</v>
          </cell>
          <cell r="DB132">
            <v>0</v>
          </cell>
          <cell r="DC132" t="str">
            <v>持平</v>
          </cell>
          <cell r="DD132" t="str">
            <v/>
          </cell>
          <cell r="DE132" t="str">
            <v/>
          </cell>
          <cell r="DF132" t="str">
            <v/>
          </cell>
          <cell r="DG132" t="str">
            <v/>
          </cell>
          <cell r="DH132" t="str">
            <v/>
          </cell>
          <cell r="DI132">
            <v>0</v>
          </cell>
          <cell r="DJ132">
            <v>0</v>
          </cell>
          <cell r="DK132" t="str">
            <v>持平</v>
          </cell>
          <cell r="DL132">
            <v>0</v>
          </cell>
          <cell r="DM132" t="str">
            <v>持平</v>
          </cell>
          <cell r="DN132">
            <v>0</v>
          </cell>
          <cell r="DO132">
            <v>0</v>
          </cell>
          <cell r="DP132" t="str">
            <v>持平</v>
          </cell>
          <cell r="DQ132">
            <v>0</v>
          </cell>
          <cell r="DR132" t="str">
            <v>持平</v>
          </cell>
          <cell r="DS132">
            <v>0</v>
          </cell>
          <cell r="DT132">
            <v>0</v>
          </cell>
          <cell r="DU132" t="str">
            <v>持平</v>
          </cell>
          <cell r="DV132">
            <v>0</v>
          </cell>
          <cell r="DW132" t="str">
            <v>持平</v>
          </cell>
          <cell r="DX132">
            <v>0</v>
          </cell>
          <cell r="DY132">
            <v>0</v>
          </cell>
          <cell r="DZ132" t="str">
            <v>持平</v>
          </cell>
          <cell r="EA132">
            <v>0</v>
          </cell>
          <cell r="EB132" t="str">
            <v>持平</v>
          </cell>
          <cell r="EC132">
            <v>0</v>
          </cell>
          <cell r="ED132">
            <v>0</v>
          </cell>
          <cell r="EE132" t="str">
            <v>持平</v>
          </cell>
          <cell r="EF132">
            <v>0</v>
          </cell>
          <cell r="EG132" t="str">
            <v>持平</v>
          </cell>
          <cell r="EH132" t="str">
            <v/>
          </cell>
          <cell r="EI132" t="str">
            <v/>
          </cell>
          <cell r="EJ132" t="str">
            <v/>
          </cell>
          <cell r="EK132" t="str">
            <v/>
          </cell>
          <cell r="EL132" t="str">
            <v/>
          </cell>
          <cell r="EM132">
            <v>0</v>
          </cell>
          <cell r="EN132">
            <v>0</v>
          </cell>
          <cell r="EO132" t="str">
            <v>持平</v>
          </cell>
          <cell r="EP132">
            <v>0</v>
          </cell>
          <cell r="EQ132" t="str">
            <v>持平</v>
          </cell>
          <cell r="ER132">
            <v>0</v>
          </cell>
          <cell r="ES132">
            <v>0</v>
          </cell>
          <cell r="ET132" t="str">
            <v>持平</v>
          </cell>
          <cell r="EU132">
            <v>0</v>
          </cell>
          <cell r="EV132" t="str">
            <v>持平</v>
          </cell>
          <cell r="EW132" t="str">
            <v/>
          </cell>
          <cell r="EX132" t="str">
            <v/>
          </cell>
          <cell r="EY132" t="str">
            <v/>
          </cell>
          <cell r="EZ132" t="str">
            <v/>
          </cell>
          <cell r="FA132" t="str">
            <v/>
          </cell>
        </row>
        <row r="133">
          <cell r="A133" t="str">
            <v>帮助信息网络犯罪活动</v>
          </cell>
          <cell r="B133" t="str">
            <v>云安区</v>
          </cell>
        </row>
        <row r="133">
          <cell r="AM133">
            <v>0</v>
          </cell>
          <cell r="AN133">
            <v>1</v>
          </cell>
          <cell r="AO133" t="str">
            <v>少1起</v>
          </cell>
          <cell r="AP133">
            <v>1</v>
          </cell>
          <cell r="AQ133" t="str">
            <v>少1起</v>
          </cell>
          <cell r="AR133" t="str">
            <v/>
          </cell>
          <cell r="AS133" t="str">
            <v/>
          </cell>
          <cell r="AT133">
            <v>0</v>
          </cell>
          <cell r="AU133">
            <v>1</v>
          </cell>
          <cell r="AV133" t="str">
            <v>少1起</v>
          </cell>
          <cell r="AW133">
            <v>0</v>
          </cell>
          <cell r="AX133" t="str">
            <v>持平</v>
          </cell>
          <cell r="AY133">
            <v>0</v>
          </cell>
          <cell r="AZ133">
            <v>1</v>
          </cell>
          <cell r="BA133" t="str">
            <v>少1起</v>
          </cell>
          <cell r="BB133">
            <v>0</v>
          </cell>
          <cell r="BC133" t="str">
            <v>持平</v>
          </cell>
          <cell r="BD133" t="str">
            <v/>
          </cell>
          <cell r="BE133" t="str">
            <v/>
          </cell>
          <cell r="BF133">
            <v>0</v>
          </cell>
          <cell r="BG133">
            <v>0</v>
          </cell>
          <cell r="BH133" t="str">
            <v>持平</v>
          </cell>
          <cell r="BI133">
            <v>0</v>
          </cell>
          <cell r="BJ133" t="str">
            <v>持平</v>
          </cell>
          <cell r="BK133" t="str">
            <v/>
          </cell>
          <cell r="BL133">
            <v>0</v>
          </cell>
          <cell r="BM133">
            <v>0</v>
          </cell>
          <cell r="BN133" t="str">
            <v>持平</v>
          </cell>
          <cell r="BO133">
            <v>1</v>
          </cell>
          <cell r="BP133" t="str">
            <v>少1起</v>
          </cell>
          <cell r="BQ133">
            <v>0</v>
          </cell>
          <cell r="BR133">
            <v>0</v>
          </cell>
          <cell r="BS133" t="str">
            <v>持平</v>
          </cell>
          <cell r="BT133">
            <v>0</v>
          </cell>
          <cell r="BU133" t="str">
            <v>持平</v>
          </cell>
          <cell r="BV133" t="str">
            <v/>
          </cell>
          <cell r="BW133" t="str">
            <v/>
          </cell>
          <cell r="BX133" t="str">
            <v/>
          </cell>
          <cell r="BY133" t="str">
            <v/>
          </cell>
          <cell r="BZ133">
            <v>0</v>
          </cell>
          <cell r="CA133">
            <v>0</v>
          </cell>
          <cell r="CB133" t="str">
            <v>持平</v>
          </cell>
          <cell r="CC133">
            <v>0</v>
          </cell>
          <cell r="CD133" t="str">
            <v>持平</v>
          </cell>
          <cell r="CE133" t="str">
            <v/>
          </cell>
          <cell r="CF133" t="str">
            <v/>
          </cell>
          <cell r="CG133">
            <v>0</v>
          </cell>
          <cell r="CH133">
            <v>9</v>
          </cell>
          <cell r="CI133" t="str">
            <v>少9人</v>
          </cell>
          <cell r="CJ133">
            <v>2</v>
          </cell>
          <cell r="CK133" t="str">
            <v>少2人</v>
          </cell>
          <cell r="CL133" t="str">
            <v/>
          </cell>
          <cell r="CM133" t="str">
            <v/>
          </cell>
          <cell r="CN133" t="str">
            <v/>
          </cell>
          <cell r="CO133">
            <v>0</v>
          </cell>
          <cell r="CP133">
            <v>9</v>
          </cell>
          <cell r="CQ133" t="str">
            <v>少9人</v>
          </cell>
          <cell r="CR133">
            <v>3</v>
          </cell>
          <cell r="CS133" t="str">
            <v>少3人</v>
          </cell>
          <cell r="CT133" t="str">
            <v/>
          </cell>
          <cell r="CU133" t="str">
            <v/>
          </cell>
          <cell r="CV133" t="str">
            <v/>
          </cell>
          <cell r="CW133" t="str">
            <v/>
          </cell>
          <cell r="CX133" t="str">
            <v/>
          </cell>
          <cell r="CY133">
            <v>0</v>
          </cell>
          <cell r="CZ133">
            <v>9</v>
          </cell>
          <cell r="DA133" t="str">
            <v>少9人</v>
          </cell>
          <cell r="DB133">
            <v>3</v>
          </cell>
          <cell r="DC133" t="str">
            <v>少3人</v>
          </cell>
          <cell r="DD133" t="str">
            <v/>
          </cell>
          <cell r="DE133" t="str">
            <v/>
          </cell>
          <cell r="DF133" t="str">
            <v/>
          </cell>
          <cell r="DG133" t="str">
            <v/>
          </cell>
          <cell r="DH133" t="str">
            <v/>
          </cell>
          <cell r="DI133">
            <v>0</v>
          </cell>
          <cell r="DJ133">
            <v>0</v>
          </cell>
          <cell r="DK133" t="str">
            <v>持平</v>
          </cell>
          <cell r="DL133">
            <v>0</v>
          </cell>
          <cell r="DM133" t="str">
            <v>持平</v>
          </cell>
          <cell r="DN133">
            <v>1</v>
          </cell>
          <cell r="DO133">
            <v>0</v>
          </cell>
          <cell r="DP133" t="str">
            <v>多1人</v>
          </cell>
          <cell r="DQ133">
            <v>0</v>
          </cell>
          <cell r="DR133" t="str">
            <v>多1人</v>
          </cell>
          <cell r="DS133">
            <v>1</v>
          </cell>
          <cell r="DT133">
            <v>0</v>
          </cell>
          <cell r="DU133" t="str">
            <v>多1人</v>
          </cell>
          <cell r="DV133">
            <v>0</v>
          </cell>
          <cell r="DW133" t="str">
            <v>多1人</v>
          </cell>
          <cell r="DX133">
            <v>3</v>
          </cell>
          <cell r="DY133">
            <v>0</v>
          </cell>
          <cell r="DZ133" t="str">
            <v>多3人</v>
          </cell>
          <cell r="EA133">
            <v>0</v>
          </cell>
          <cell r="EB133" t="str">
            <v>多3人</v>
          </cell>
          <cell r="EC133">
            <v>0</v>
          </cell>
          <cell r="ED133">
            <v>0</v>
          </cell>
          <cell r="EE133" t="str">
            <v>持平</v>
          </cell>
          <cell r="EF133">
            <v>0</v>
          </cell>
          <cell r="EG133" t="str">
            <v>持平</v>
          </cell>
          <cell r="EH133" t="str">
            <v/>
          </cell>
          <cell r="EI133" t="str">
            <v/>
          </cell>
          <cell r="EJ133" t="str">
            <v/>
          </cell>
          <cell r="EK133" t="str">
            <v/>
          </cell>
          <cell r="EL133" t="str">
            <v/>
          </cell>
          <cell r="EM133">
            <v>0</v>
          </cell>
          <cell r="EN133">
            <v>0</v>
          </cell>
          <cell r="EO133" t="str">
            <v>持平</v>
          </cell>
          <cell r="EP133">
            <v>0</v>
          </cell>
          <cell r="EQ133" t="str">
            <v>持平</v>
          </cell>
          <cell r="ER133">
            <v>0</v>
          </cell>
          <cell r="ES133">
            <v>0</v>
          </cell>
          <cell r="ET133" t="str">
            <v>持平</v>
          </cell>
          <cell r="EU133">
            <v>1</v>
          </cell>
          <cell r="EV133" t="str">
            <v>少1人</v>
          </cell>
          <cell r="EW133" t="str">
            <v/>
          </cell>
          <cell r="EX133" t="str">
            <v/>
          </cell>
          <cell r="EY133" t="str">
            <v/>
          </cell>
          <cell r="EZ133" t="str">
            <v/>
          </cell>
          <cell r="FA133" t="str">
            <v/>
          </cell>
        </row>
        <row r="134">
          <cell r="A134" t="str">
            <v>帮助信息网络犯罪活动</v>
          </cell>
          <cell r="B134" t="str">
            <v>新兴县</v>
          </cell>
        </row>
        <row r="134">
          <cell r="AM134">
            <v>0</v>
          </cell>
          <cell r="AN134">
            <v>0</v>
          </cell>
          <cell r="AO134" t="str">
            <v>持平</v>
          </cell>
          <cell r="AP134">
            <v>0</v>
          </cell>
          <cell r="AQ134" t="str">
            <v>持平</v>
          </cell>
          <cell r="AR134" t="str">
            <v/>
          </cell>
          <cell r="AS134" t="str">
            <v/>
          </cell>
          <cell r="AT134">
            <v>0</v>
          </cell>
          <cell r="AU134">
            <v>0</v>
          </cell>
          <cell r="AV134" t="str">
            <v>持平</v>
          </cell>
          <cell r="AW134">
            <v>0</v>
          </cell>
          <cell r="AX134" t="str">
            <v>持平</v>
          </cell>
          <cell r="AY134">
            <v>0</v>
          </cell>
          <cell r="AZ134">
            <v>0</v>
          </cell>
          <cell r="BA134" t="str">
            <v>持平</v>
          </cell>
          <cell r="BB134">
            <v>0</v>
          </cell>
          <cell r="BC134" t="str">
            <v>持平</v>
          </cell>
          <cell r="BD134" t="str">
            <v/>
          </cell>
          <cell r="BE134" t="str">
            <v/>
          </cell>
          <cell r="BF134">
            <v>0</v>
          </cell>
          <cell r="BG134">
            <v>0</v>
          </cell>
          <cell r="BH134" t="str">
            <v>持平</v>
          </cell>
          <cell r="BI134">
            <v>0</v>
          </cell>
          <cell r="BJ134" t="str">
            <v>持平</v>
          </cell>
          <cell r="BK134" t="str">
            <v/>
          </cell>
          <cell r="BL134">
            <v>0</v>
          </cell>
          <cell r="BM134">
            <v>0</v>
          </cell>
          <cell r="BN134" t="str">
            <v>持平</v>
          </cell>
          <cell r="BO134">
            <v>0</v>
          </cell>
          <cell r="BP134" t="str">
            <v>持平</v>
          </cell>
          <cell r="BQ134">
            <v>0</v>
          </cell>
          <cell r="BR134">
            <v>0</v>
          </cell>
          <cell r="BS134" t="str">
            <v>持平</v>
          </cell>
          <cell r="BT134">
            <v>0</v>
          </cell>
          <cell r="BU134" t="str">
            <v>持平</v>
          </cell>
          <cell r="BV134" t="str">
            <v/>
          </cell>
          <cell r="BW134" t="str">
            <v/>
          </cell>
          <cell r="BX134" t="str">
            <v/>
          </cell>
          <cell r="BY134" t="str">
            <v/>
          </cell>
          <cell r="BZ134">
            <v>0</v>
          </cell>
          <cell r="CA134">
            <v>0</v>
          </cell>
          <cell r="CB134" t="str">
            <v>持平</v>
          </cell>
          <cell r="CC134">
            <v>0</v>
          </cell>
          <cell r="CD134" t="str">
            <v>持平</v>
          </cell>
          <cell r="CE134" t="str">
            <v/>
          </cell>
          <cell r="CF134" t="str">
            <v/>
          </cell>
          <cell r="CG134">
            <v>0</v>
          </cell>
          <cell r="CH134">
            <v>1</v>
          </cell>
          <cell r="CI134" t="str">
            <v>少1人</v>
          </cell>
          <cell r="CJ134">
            <v>0</v>
          </cell>
          <cell r="CK134" t="str">
            <v>持平</v>
          </cell>
          <cell r="CL134" t="str">
            <v/>
          </cell>
          <cell r="CM134" t="str">
            <v/>
          </cell>
          <cell r="CN134" t="str">
            <v/>
          </cell>
          <cell r="CO134">
            <v>0</v>
          </cell>
          <cell r="CP134">
            <v>1</v>
          </cell>
          <cell r="CQ134" t="str">
            <v>少1人</v>
          </cell>
          <cell r="CR134">
            <v>0</v>
          </cell>
          <cell r="CS134" t="str">
            <v>持平</v>
          </cell>
          <cell r="CT134" t="str">
            <v/>
          </cell>
          <cell r="CU134" t="str">
            <v/>
          </cell>
          <cell r="CV134" t="str">
            <v/>
          </cell>
          <cell r="CW134" t="str">
            <v/>
          </cell>
          <cell r="CX134" t="str">
            <v/>
          </cell>
          <cell r="CY134">
            <v>0</v>
          </cell>
          <cell r="CZ134">
            <v>1</v>
          </cell>
          <cell r="DA134" t="str">
            <v>少1人</v>
          </cell>
          <cell r="DB134">
            <v>0</v>
          </cell>
          <cell r="DC134" t="str">
            <v>持平</v>
          </cell>
          <cell r="DD134" t="str">
            <v/>
          </cell>
          <cell r="DE134" t="str">
            <v/>
          </cell>
          <cell r="DF134" t="str">
            <v/>
          </cell>
          <cell r="DG134" t="str">
            <v/>
          </cell>
          <cell r="DH134" t="str">
            <v/>
          </cell>
          <cell r="DI134">
            <v>8</v>
          </cell>
          <cell r="DJ134">
            <v>1</v>
          </cell>
          <cell r="DK134">
            <v>7</v>
          </cell>
          <cell r="DL134">
            <v>1</v>
          </cell>
          <cell r="DM134">
            <v>7</v>
          </cell>
          <cell r="DN134">
            <v>0</v>
          </cell>
          <cell r="DO134">
            <v>2</v>
          </cell>
          <cell r="DP134" t="str">
            <v>少2人</v>
          </cell>
          <cell r="DQ134">
            <v>0</v>
          </cell>
          <cell r="DR134" t="str">
            <v>持平</v>
          </cell>
          <cell r="DS134">
            <v>0</v>
          </cell>
          <cell r="DT134">
            <v>2</v>
          </cell>
          <cell r="DU134" t="str">
            <v>少2人</v>
          </cell>
          <cell r="DV134">
            <v>0</v>
          </cell>
          <cell r="DW134" t="str">
            <v>持平</v>
          </cell>
          <cell r="DX134">
            <v>0</v>
          </cell>
          <cell r="DY134">
            <v>1</v>
          </cell>
          <cell r="DZ134" t="str">
            <v>少1人</v>
          </cell>
          <cell r="EA134">
            <v>0</v>
          </cell>
          <cell r="EB134" t="str">
            <v>持平</v>
          </cell>
          <cell r="EC134">
            <v>0</v>
          </cell>
          <cell r="ED134">
            <v>0</v>
          </cell>
          <cell r="EE134" t="str">
            <v>持平</v>
          </cell>
          <cell r="EF134">
            <v>0</v>
          </cell>
          <cell r="EG134" t="str">
            <v>持平</v>
          </cell>
          <cell r="EH134" t="str">
            <v/>
          </cell>
          <cell r="EI134" t="str">
            <v/>
          </cell>
          <cell r="EJ134" t="str">
            <v/>
          </cell>
          <cell r="EK134" t="str">
            <v/>
          </cell>
          <cell r="EL134" t="str">
            <v/>
          </cell>
          <cell r="EM134">
            <v>0</v>
          </cell>
          <cell r="EN134">
            <v>0</v>
          </cell>
          <cell r="EO134" t="str">
            <v>持平</v>
          </cell>
          <cell r="EP134">
            <v>0</v>
          </cell>
          <cell r="EQ134" t="str">
            <v>持平</v>
          </cell>
          <cell r="ER134">
            <v>0</v>
          </cell>
          <cell r="ES134">
            <v>0</v>
          </cell>
          <cell r="ET134" t="str">
            <v>持平</v>
          </cell>
          <cell r="EU134">
            <v>1</v>
          </cell>
          <cell r="EV134" t="str">
            <v>少1人</v>
          </cell>
          <cell r="EW134" t="str">
            <v/>
          </cell>
          <cell r="EX134" t="str">
            <v/>
          </cell>
          <cell r="EY134" t="str">
            <v/>
          </cell>
          <cell r="EZ134" t="str">
            <v/>
          </cell>
          <cell r="FA134" t="str">
            <v/>
          </cell>
        </row>
        <row r="135">
          <cell r="A135" t="str">
            <v>帮助信息网络犯罪活动</v>
          </cell>
          <cell r="B135" t="str">
            <v>郁南县</v>
          </cell>
        </row>
        <row r="135">
          <cell r="AM135">
            <v>1</v>
          </cell>
          <cell r="AN135">
            <v>0</v>
          </cell>
          <cell r="AO135" t="str">
            <v>多1起</v>
          </cell>
          <cell r="AP135">
            <v>0</v>
          </cell>
          <cell r="AQ135" t="str">
            <v>多1起</v>
          </cell>
          <cell r="AR135">
            <v>1</v>
          </cell>
          <cell r="AS135" t="str">
            <v/>
          </cell>
          <cell r="AT135">
            <v>1</v>
          </cell>
          <cell r="AU135">
            <v>0</v>
          </cell>
          <cell r="AV135" t="str">
            <v>多1起</v>
          </cell>
          <cell r="AW135">
            <v>0</v>
          </cell>
          <cell r="AX135" t="str">
            <v>多1起</v>
          </cell>
          <cell r="AY135">
            <v>1</v>
          </cell>
          <cell r="AZ135">
            <v>0</v>
          </cell>
          <cell r="BA135" t="str">
            <v>多1起</v>
          </cell>
          <cell r="BB135">
            <v>0</v>
          </cell>
          <cell r="BC135" t="str">
            <v>多1起</v>
          </cell>
          <cell r="BD135">
            <v>1</v>
          </cell>
          <cell r="BE135" t="str">
            <v/>
          </cell>
          <cell r="BF135">
            <v>0</v>
          </cell>
          <cell r="BG135">
            <v>0</v>
          </cell>
          <cell r="BH135" t="str">
            <v>持平</v>
          </cell>
          <cell r="BI135">
            <v>0</v>
          </cell>
          <cell r="BJ135" t="str">
            <v>持平</v>
          </cell>
          <cell r="BK135">
            <v>0</v>
          </cell>
          <cell r="BL135">
            <v>0</v>
          </cell>
          <cell r="BM135">
            <v>0</v>
          </cell>
          <cell r="BN135" t="str">
            <v>持平</v>
          </cell>
          <cell r="BO135">
            <v>0</v>
          </cell>
          <cell r="BP135" t="str">
            <v>持平</v>
          </cell>
          <cell r="BQ135">
            <v>0</v>
          </cell>
          <cell r="BR135">
            <v>0</v>
          </cell>
          <cell r="BS135" t="str">
            <v>持平</v>
          </cell>
          <cell r="BT135">
            <v>0</v>
          </cell>
          <cell r="BU135" t="str">
            <v>持平</v>
          </cell>
          <cell r="BV135">
            <v>0</v>
          </cell>
          <cell r="BW135" t="str">
            <v/>
          </cell>
          <cell r="BX135">
            <v>0</v>
          </cell>
          <cell r="BY135" t="str">
            <v/>
          </cell>
          <cell r="BZ135">
            <v>0</v>
          </cell>
          <cell r="CA135">
            <v>0</v>
          </cell>
          <cell r="CB135" t="str">
            <v>持平</v>
          </cell>
          <cell r="CC135">
            <v>0</v>
          </cell>
          <cell r="CD135" t="str">
            <v>持平</v>
          </cell>
          <cell r="CE135" t="str">
            <v/>
          </cell>
          <cell r="CF135" t="str">
            <v/>
          </cell>
          <cell r="CG135">
            <v>9</v>
          </cell>
          <cell r="CH135">
            <v>0</v>
          </cell>
          <cell r="CI135" t="str">
            <v>多9人</v>
          </cell>
          <cell r="CJ135">
            <v>0</v>
          </cell>
          <cell r="CK135" t="str">
            <v>多9人</v>
          </cell>
          <cell r="CL135">
            <v>900</v>
          </cell>
          <cell r="CM135" t="str">
            <v/>
          </cell>
          <cell r="CN135" t="str">
            <v/>
          </cell>
          <cell r="CO135">
            <v>11</v>
          </cell>
          <cell r="CP135">
            <v>0</v>
          </cell>
          <cell r="CQ135" t="str">
            <v>多11人</v>
          </cell>
          <cell r="CR135">
            <v>0</v>
          </cell>
          <cell r="CS135" t="str">
            <v>多11人</v>
          </cell>
          <cell r="CT135">
            <v>1.2222</v>
          </cell>
          <cell r="CU135" t="str">
            <v/>
          </cell>
          <cell r="CV135">
            <v>1100</v>
          </cell>
          <cell r="CW135" t="str">
            <v/>
          </cell>
          <cell r="CX135" t="str">
            <v/>
          </cell>
          <cell r="CY135">
            <v>11</v>
          </cell>
          <cell r="CZ135">
            <v>0</v>
          </cell>
          <cell r="DA135" t="str">
            <v>多11人</v>
          </cell>
          <cell r="DB135">
            <v>0</v>
          </cell>
          <cell r="DC135" t="str">
            <v>多11人</v>
          </cell>
          <cell r="DD135">
            <v>1.2222</v>
          </cell>
          <cell r="DE135" t="str">
            <v/>
          </cell>
          <cell r="DF135">
            <v>1100</v>
          </cell>
          <cell r="DG135" t="str">
            <v/>
          </cell>
          <cell r="DH135" t="str">
            <v/>
          </cell>
          <cell r="DI135">
            <v>0</v>
          </cell>
          <cell r="DJ135">
            <v>0</v>
          </cell>
          <cell r="DK135" t="str">
            <v>持平</v>
          </cell>
          <cell r="DL135">
            <v>0</v>
          </cell>
          <cell r="DM135" t="str">
            <v>持平</v>
          </cell>
          <cell r="DN135">
            <v>0</v>
          </cell>
          <cell r="DO135">
            <v>0</v>
          </cell>
          <cell r="DP135" t="str">
            <v>持平</v>
          </cell>
          <cell r="DQ135">
            <v>0</v>
          </cell>
          <cell r="DR135" t="str">
            <v>持平</v>
          </cell>
          <cell r="DS135">
            <v>0</v>
          </cell>
          <cell r="DT135">
            <v>0</v>
          </cell>
          <cell r="DU135" t="str">
            <v>持平</v>
          </cell>
          <cell r="DV135">
            <v>0</v>
          </cell>
          <cell r="DW135" t="str">
            <v>持平</v>
          </cell>
          <cell r="DX135">
            <v>0</v>
          </cell>
          <cell r="DY135">
            <v>0</v>
          </cell>
          <cell r="DZ135" t="str">
            <v>持平</v>
          </cell>
          <cell r="EA135">
            <v>0</v>
          </cell>
          <cell r="EB135" t="str">
            <v>持平</v>
          </cell>
          <cell r="EC135">
            <v>0</v>
          </cell>
          <cell r="ED135">
            <v>0</v>
          </cell>
          <cell r="EE135" t="str">
            <v>持平</v>
          </cell>
          <cell r="EF135">
            <v>0</v>
          </cell>
          <cell r="EG135" t="str">
            <v>持平</v>
          </cell>
          <cell r="EH135">
            <v>0</v>
          </cell>
          <cell r="EI135" t="str">
            <v/>
          </cell>
          <cell r="EJ135">
            <v>0</v>
          </cell>
          <cell r="EK135" t="str">
            <v/>
          </cell>
          <cell r="EL135" t="str">
            <v/>
          </cell>
          <cell r="EM135">
            <v>0</v>
          </cell>
          <cell r="EN135">
            <v>0</v>
          </cell>
          <cell r="EO135" t="str">
            <v>持平</v>
          </cell>
          <cell r="EP135">
            <v>0</v>
          </cell>
          <cell r="EQ135" t="str">
            <v>持平</v>
          </cell>
          <cell r="ER135">
            <v>0</v>
          </cell>
          <cell r="ES135">
            <v>0</v>
          </cell>
          <cell r="ET135" t="str">
            <v>持平</v>
          </cell>
          <cell r="EU135">
            <v>0</v>
          </cell>
          <cell r="EV135" t="str">
            <v>持平</v>
          </cell>
          <cell r="EW135">
            <v>0</v>
          </cell>
          <cell r="EX135" t="str">
            <v/>
          </cell>
          <cell r="EY135">
            <v>0</v>
          </cell>
          <cell r="EZ135" t="str">
            <v/>
          </cell>
          <cell r="FA135" t="str">
            <v/>
          </cell>
        </row>
        <row r="136">
          <cell r="A136" t="str">
            <v>帮助信息网络犯罪活动</v>
          </cell>
          <cell r="B136" t="str">
            <v>罗定市</v>
          </cell>
        </row>
        <row r="136">
          <cell r="AM136">
            <v>0</v>
          </cell>
          <cell r="AN136">
            <v>0</v>
          </cell>
          <cell r="AO136" t="str">
            <v>持平</v>
          </cell>
          <cell r="AP136">
            <v>2</v>
          </cell>
          <cell r="AQ136" t="str">
            <v>少2起</v>
          </cell>
          <cell r="AR136" t="str">
            <v/>
          </cell>
          <cell r="AS136" t="str">
            <v/>
          </cell>
          <cell r="AT136">
            <v>0</v>
          </cell>
          <cell r="AU136">
            <v>0</v>
          </cell>
          <cell r="AV136" t="str">
            <v>持平</v>
          </cell>
          <cell r="AW136">
            <v>0</v>
          </cell>
          <cell r="AX136" t="str">
            <v>持平</v>
          </cell>
          <cell r="AY136">
            <v>0</v>
          </cell>
          <cell r="AZ136">
            <v>0</v>
          </cell>
          <cell r="BA136" t="str">
            <v>持平</v>
          </cell>
          <cell r="BB136">
            <v>1</v>
          </cell>
          <cell r="BC136" t="str">
            <v>少1起</v>
          </cell>
          <cell r="BD136" t="str">
            <v/>
          </cell>
          <cell r="BE136" t="str">
            <v/>
          </cell>
          <cell r="BF136">
            <v>0</v>
          </cell>
          <cell r="BG136">
            <v>0</v>
          </cell>
          <cell r="BH136" t="str">
            <v>持平</v>
          </cell>
          <cell r="BI136">
            <v>0</v>
          </cell>
          <cell r="BJ136" t="str">
            <v>持平</v>
          </cell>
          <cell r="BK136" t="str">
            <v/>
          </cell>
          <cell r="BL136">
            <v>0</v>
          </cell>
          <cell r="BM136">
            <v>0</v>
          </cell>
          <cell r="BN136" t="str">
            <v>持平</v>
          </cell>
          <cell r="BO136">
            <v>1</v>
          </cell>
          <cell r="BP136" t="str">
            <v>少1起</v>
          </cell>
          <cell r="BQ136">
            <v>0</v>
          </cell>
          <cell r="BR136">
            <v>0</v>
          </cell>
          <cell r="BS136" t="str">
            <v>持平</v>
          </cell>
          <cell r="BT136">
            <v>0</v>
          </cell>
          <cell r="BU136" t="str">
            <v>持平</v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>
            <v>0</v>
          </cell>
          <cell r="CA136">
            <v>0</v>
          </cell>
          <cell r="CB136" t="str">
            <v>持平</v>
          </cell>
          <cell r="CC136">
            <v>0</v>
          </cell>
          <cell r="CD136" t="str">
            <v>持平</v>
          </cell>
          <cell r="CE136" t="str">
            <v/>
          </cell>
          <cell r="CF136" t="str">
            <v/>
          </cell>
          <cell r="CG136">
            <v>0</v>
          </cell>
          <cell r="CH136">
            <v>0</v>
          </cell>
          <cell r="CI136" t="str">
            <v>持平</v>
          </cell>
          <cell r="CJ136">
            <v>1</v>
          </cell>
          <cell r="CK136" t="str">
            <v>少1人</v>
          </cell>
          <cell r="CL136" t="str">
            <v/>
          </cell>
          <cell r="CM136" t="str">
            <v/>
          </cell>
          <cell r="CN136" t="str">
            <v/>
          </cell>
          <cell r="CO136">
            <v>0</v>
          </cell>
          <cell r="CP136">
            <v>0</v>
          </cell>
          <cell r="CQ136" t="str">
            <v>持平</v>
          </cell>
          <cell r="CR136">
            <v>0</v>
          </cell>
          <cell r="CS136" t="str">
            <v>持平</v>
          </cell>
          <cell r="CT136" t="str">
            <v/>
          </cell>
          <cell r="CU136" t="str">
            <v/>
          </cell>
          <cell r="CV136" t="str">
            <v/>
          </cell>
          <cell r="CW136" t="str">
            <v/>
          </cell>
          <cell r="CX136" t="str">
            <v/>
          </cell>
          <cell r="CY136">
            <v>0</v>
          </cell>
          <cell r="CZ136">
            <v>0</v>
          </cell>
          <cell r="DA136" t="str">
            <v>持平</v>
          </cell>
          <cell r="DB136">
            <v>0</v>
          </cell>
          <cell r="DC136" t="str">
            <v>持平</v>
          </cell>
          <cell r="DD136" t="str">
            <v/>
          </cell>
          <cell r="DE136" t="str">
            <v/>
          </cell>
          <cell r="DF136" t="str">
            <v/>
          </cell>
          <cell r="DG136" t="str">
            <v/>
          </cell>
          <cell r="DH136" t="str">
            <v/>
          </cell>
          <cell r="DI136">
            <v>0</v>
          </cell>
          <cell r="DJ136">
            <v>0</v>
          </cell>
          <cell r="DK136" t="str">
            <v>持平</v>
          </cell>
          <cell r="DL136">
            <v>2</v>
          </cell>
          <cell r="DM136" t="str">
            <v>少2人</v>
          </cell>
          <cell r="DN136">
            <v>0</v>
          </cell>
          <cell r="DO136">
            <v>0</v>
          </cell>
          <cell r="DP136" t="str">
            <v>持平</v>
          </cell>
          <cell r="DQ136">
            <v>0</v>
          </cell>
          <cell r="DR136" t="str">
            <v>持平</v>
          </cell>
          <cell r="DS136">
            <v>0</v>
          </cell>
          <cell r="DT136">
            <v>0</v>
          </cell>
          <cell r="DU136" t="str">
            <v>持平</v>
          </cell>
          <cell r="DV136">
            <v>0</v>
          </cell>
          <cell r="DW136" t="str">
            <v>持平</v>
          </cell>
          <cell r="DX136">
            <v>0</v>
          </cell>
          <cell r="DY136">
            <v>0</v>
          </cell>
          <cell r="DZ136" t="str">
            <v>持平</v>
          </cell>
          <cell r="EA136">
            <v>0</v>
          </cell>
          <cell r="EB136" t="str">
            <v>持平</v>
          </cell>
          <cell r="EC136">
            <v>0</v>
          </cell>
          <cell r="ED136">
            <v>0</v>
          </cell>
          <cell r="EE136" t="str">
            <v>持平</v>
          </cell>
          <cell r="EF136">
            <v>0</v>
          </cell>
          <cell r="EG136" t="str">
            <v>持平</v>
          </cell>
          <cell r="EH136" t="str">
            <v/>
          </cell>
          <cell r="EI136" t="str">
            <v/>
          </cell>
          <cell r="EJ136" t="str">
            <v/>
          </cell>
          <cell r="EK136" t="str">
            <v/>
          </cell>
          <cell r="EL136" t="str">
            <v/>
          </cell>
          <cell r="EM136">
            <v>0</v>
          </cell>
          <cell r="EN136">
            <v>0</v>
          </cell>
          <cell r="EO136" t="str">
            <v>持平</v>
          </cell>
          <cell r="EP136">
            <v>0</v>
          </cell>
          <cell r="EQ136" t="str">
            <v>持平</v>
          </cell>
          <cell r="ER136">
            <v>0</v>
          </cell>
          <cell r="ES136">
            <v>0</v>
          </cell>
          <cell r="ET136" t="str">
            <v>持平</v>
          </cell>
          <cell r="EU136">
            <v>0</v>
          </cell>
          <cell r="EV136" t="str">
            <v>持平</v>
          </cell>
          <cell r="EW136" t="str">
            <v/>
          </cell>
          <cell r="EX136" t="str">
            <v/>
          </cell>
          <cell r="EY136" t="str">
            <v/>
          </cell>
          <cell r="EZ136" t="str">
            <v/>
          </cell>
          <cell r="FA136" t="str">
            <v/>
          </cell>
        </row>
        <row r="137">
          <cell r="A137" t="str">
            <v>掩饰隐瞒犯罪所得及所得收益</v>
          </cell>
          <cell r="B137" t="str">
            <v>全省</v>
          </cell>
        </row>
        <row r="137">
          <cell r="AM137">
            <v>377</v>
          </cell>
          <cell r="AN137">
            <v>423</v>
          </cell>
          <cell r="AO137">
            <v>-0.1087</v>
          </cell>
          <cell r="AP137">
            <v>566</v>
          </cell>
          <cell r="AQ137">
            <v>-0.3339</v>
          </cell>
          <cell r="AR137">
            <v>0.8913</v>
          </cell>
          <cell r="AS137">
            <v>0.2209</v>
          </cell>
          <cell r="AT137">
            <v>259</v>
          </cell>
          <cell r="AU137">
            <v>354</v>
          </cell>
          <cell r="AV137">
            <v>-0.2684</v>
          </cell>
          <cell r="AW137">
            <v>660</v>
          </cell>
          <cell r="AX137">
            <v>-0.6076</v>
          </cell>
          <cell r="AY137">
            <v>167</v>
          </cell>
          <cell r="AZ137">
            <v>199</v>
          </cell>
          <cell r="BA137">
            <v>-0.1608</v>
          </cell>
          <cell r="BB137">
            <v>391</v>
          </cell>
          <cell r="BC137">
            <v>-0.5729</v>
          </cell>
          <cell r="BD137">
            <v>0.6448</v>
          </cell>
          <cell r="BE137">
            <v>0.0826</v>
          </cell>
          <cell r="BF137">
            <v>164</v>
          </cell>
          <cell r="BG137">
            <v>277</v>
          </cell>
          <cell r="BH137">
            <v>-0.4079</v>
          </cell>
          <cell r="BI137">
            <v>31</v>
          </cell>
          <cell r="BJ137">
            <v>4.2903</v>
          </cell>
          <cell r="BK137">
            <v>0.3877</v>
          </cell>
          <cell r="BL137">
            <v>210</v>
          </cell>
          <cell r="BM137">
            <v>224</v>
          </cell>
          <cell r="BN137">
            <v>-0.0625</v>
          </cell>
          <cell r="BO137">
            <v>175</v>
          </cell>
          <cell r="BP137">
            <v>0.2</v>
          </cell>
          <cell r="BQ137">
            <v>151</v>
          </cell>
          <cell r="BR137">
            <v>225</v>
          </cell>
          <cell r="BS137">
            <v>-0.3289</v>
          </cell>
          <cell r="BT137">
            <v>288</v>
          </cell>
          <cell r="BU137">
            <v>-0.4757</v>
          </cell>
          <cell r="BV137">
            <v>0.357</v>
          </cell>
          <cell r="BW137">
            <v>0.0004</v>
          </cell>
          <cell r="BX137">
            <v>0.583</v>
          </cell>
          <cell r="BY137">
            <v>-0.0526</v>
          </cell>
          <cell r="BZ137">
            <v>0</v>
          </cell>
          <cell r="CA137">
            <v>1</v>
          </cell>
          <cell r="CB137" t="str">
            <v>少1起</v>
          </cell>
          <cell r="CC137">
            <v>19</v>
          </cell>
          <cell r="CD137" t="str">
            <v>少19起</v>
          </cell>
          <cell r="CE137" t="str">
            <v/>
          </cell>
          <cell r="CF137" t="str">
            <v/>
          </cell>
          <cell r="CG137">
            <v>741</v>
          </cell>
          <cell r="CH137">
            <v>758</v>
          </cell>
          <cell r="CI137">
            <v>-0.0224</v>
          </cell>
          <cell r="CJ137">
            <v>628</v>
          </cell>
          <cell r="CK137">
            <v>0.1799</v>
          </cell>
          <cell r="CL137">
            <v>175</v>
          </cell>
          <cell r="CM137">
            <v>55</v>
          </cell>
          <cell r="CN137">
            <v>0.4583</v>
          </cell>
          <cell r="CO137">
            <v>798</v>
          </cell>
          <cell r="CP137">
            <v>616</v>
          </cell>
          <cell r="CQ137">
            <v>0.2955</v>
          </cell>
          <cell r="CR137">
            <v>571</v>
          </cell>
          <cell r="CS137">
            <v>0.3975</v>
          </cell>
          <cell r="CT137">
            <v>1.0769</v>
          </cell>
          <cell r="CU137">
            <v>0.2643</v>
          </cell>
          <cell r="CV137">
            <v>189</v>
          </cell>
          <cell r="CW137">
            <v>91</v>
          </cell>
          <cell r="CX137">
            <v>0.9325</v>
          </cell>
          <cell r="CY137">
            <v>851</v>
          </cell>
          <cell r="CZ137">
            <v>716</v>
          </cell>
          <cell r="DA137">
            <v>0.1885</v>
          </cell>
          <cell r="DB137">
            <v>639</v>
          </cell>
          <cell r="DC137">
            <v>0.3318</v>
          </cell>
          <cell r="DD137">
            <v>1.1484</v>
          </cell>
          <cell r="DE137">
            <v>0.2039</v>
          </cell>
          <cell r="DF137">
            <v>201</v>
          </cell>
          <cell r="DG137">
            <v>88</v>
          </cell>
          <cell r="DH137">
            <v>0.773</v>
          </cell>
          <cell r="DI137">
            <v>2153</v>
          </cell>
          <cell r="DJ137">
            <v>1285</v>
          </cell>
          <cell r="DK137">
            <v>0.6755</v>
          </cell>
          <cell r="DL137">
            <v>1675</v>
          </cell>
          <cell r="DM137">
            <v>0.2854</v>
          </cell>
          <cell r="DN137">
            <v>471</v>
          </cell>
          <cell r="DO137">
            <v>673</v>
          </cell>
          <cell r="DP137">
            <v>-0.3001</v>
          </cell>
          <cell r="DQ137">
            <v>493</v>
          </cell>
          <cell r="DR137">
            <v>-0.0446</v>
          </cell>
          <cell r="DS137">
            <v>472</v>
          </cell>
          <cell r="DT137">
            <v>674</v>
          </cell>
          <cell r="DU137">
            <v>-0.2997</v>
          </cell>
          <cell r="DV137">
            <v>493</v>
          </cell>
          <cell r="DW137">
            <v>-0.0426</v>
          </cell>
          <cell r="DX137">
            <v>340</v>
          </cell>
          <cell r="DY137">
            <v>681</v>
          </cell>
          <cell r="DZ137">
            <v>-0.5007</v>
          </cell>
          <cell r="EA137">
            <v>334</v>
          </cell>
          <cell r="EB137">
            <v>0.018</v>
          </cell>
          <cell r="EC137">
            <v>151</v>
          </cell>
          <cell r="ED137">
            <v>424</v>
          </cell>
          <cell r="EE137">
            <v>-0.6439</v>
          </cell>
          <cell r="EF137">
            <v>156</v>
          </cell>
          <cell r="EG137">
            <v>-0.0321</v>
          </cell>
          <cell r="EH137">
            <v>0.1892</v>
          </cell>
          <cell r="EI137">
            <v>-0.4991</v>
          </cell>
          <cell r="EJ137">
            <v>36</v>
          </cell>
          <cell r="EK137">
            <v>-31</v>
          </cell>
          <cell r="EL137">
            <v>-0.4687</v>
          </cell>
          <cell r="EM137">
            <v>155</v>
          </cell>
          <cell r="EN137">
            <v>426</v>
          </cell>
          <cell r="EO137">
            <v>-0.6362</v>
          </cell>
          <cell r="EP137">
            <v>156</v>
          </cell>
          <cell r="EQ137">
            <v>-0.0064</v>
          </cell>
          <cell r="ER137">
            <v>312</v>
          </cell>
          <cell r="ES137">
            <v>374</v>
          </cell>
          <cell r="ET137">
            <v>-0.1658</v>
          </cell>
          <cell r="EU137">
            <v>515</v>
          </cell>
          <cell r="EV137">
            <v>-0.3942</v>
          </cell>
          <cell r="EW137">
            <v>0.391</v>
          </cell>
          <cell r="EX137">
            <v>-0.2162</v>
          </cell>
          <cell r="EY137">
            <v>74</v>
          </cell>
          <cell r="EZ137">
            <v>14</v>
          </cell>
          <cell r="FA137">
            <v>0.2444</v>
          </cell>
        </row>
        <row r="138">
          <cell r="A138" t="str">
            <v>掩饰隐瞒犯罪所得及所得收益</v>
          </cell>
          <cell r="B138" t="str">
            <v>云浮</v>
          </cell>
        </row>
        <row r="138">
          <cell r="AM138">
            <v>4</v>
          </cell>
          <cell r="AN138">
            <v>9</v>
          </cell>
          <cell r="AO138">
            <v>-0.5556</v>
          </cell>
          <cell r="AP138">
            <v>2</v>
          </cell>
          <cell r="AQ138">
            <v>1</v>
          </cell>
          <cell r="AR138">
            <v>1</v>
          </cell>
          <cell r="AS138">
            <v>0.1</v>
          </cell>
          <cell r="AT138">
            <v>2</v>
          </cell>
          <cell r="AU138">
            <v>6</v>
          </cell>
          <cell r="AV138">
            <v>-0.6667</v>
          </cell>
          <cell r="AW138">
            <v>1</v>
          </cell>
          <cell r="AX138">
            <v>1</v>
          </cell>
          <cell r="AY138">
            <v>2</v>
          </cell>
          <cell r="AZ138">
            <v>5</v>
          </cell>
          <cell r="BA138">
            <v>-0.6</v>
          </cell>
          <cell r="BB138">
            <v>2</v>
          </cell>
          <cell r="BC138">
            <v>0</v>
          </cell>
          <cell r="BD138">
            <v>1</v>
          </cell>
          <cell r="BE138">
            <v>0.1667</v>
          </cell>
          <cell r="BF138">
            <v>2</v>
          </cell>
          <cell r="BG138">
            <v>4</v>
          </cell>
          <cell r="BH138">
            <v>-0.5</v>
          </cell>
          <cell r="BI138">
            <v>0</v>
          </cell>
          <cell r="BJ138" t="str">
            <v>多2起</v>
          </cell>
          <cell r="BK138">
            <v>0.5</v>
          </cell>
          <cell r="BL138">
            <v>2</v>
          </cell>
          <cell r="BM138">
            <v>4</v>
          </cell>
          <cell r="BN138">
            <v>-0.5</v>
          </cell>
          <cell r="BO138">
            <v>0</v>
          </cell>
          <cell r="BP138" t="str">
            <v>多2起</v>
          </cell>
          <cell r="BQ138">
            <v>0</v>
          </cell>
          <cell r="BR138">
            <v>0</v>
          </cell>
          <cell r="BS138" t="str">
            <v>持平</v>
          </cell>
          <cell r="BT138">
            <v>1</v>
          </cell>
          <cell r="BU138" t="str">
            <v>少1起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 t="str">
            <v>持平</v>
          </cell>
          <cell r="CC138">
            <v>0</v>
          </cell>
          <cell r="CD138" t="str">
            <v>持平</v>
          </cell>
          <cell r="CE138" t="str">
            <v/>
          </cell>
          <cell r="CF138" t="str">
            <v/>
          </cell>
          <cell r="CG138">
            <v>34</v>
          </cell>
          <cell r="CH138">
            <v>47</v>
          </cell>
          <cell r="CI138">
            <v>-0.2766</v>
          </cell>
          <cell r="CJ138">
            <v>3</v>
          </cell>
          <cell r="CK138">
            <v>10.3333</v>
          </cell>
          <cell r="CL138">
            <v>850</v>
          </cell>
          <cell r="CM138">
            <v>380</v>
          </cell>
          <cell r="CN138">
            <v>0.8085</v>
          </cell>
          <cell r="CO138">
            <v>43</v>
          </cell>
          <cell r="CP138">
            <v>68</v>
          </cell>
          <cell r="CQ138">
            <v>-0.3676</v>
          </cell>
          <cell r="CR138">
            <v>8</v>
          </cell>
          <cell r="CS138">
            <v>4.375</v>
          </cell>
          <cell r="CT138">
            <v>1.2647</v>
          </cell>
          <cell r="CU138">
            <v>-0.1821</v>
          </cell>
          <cell r="CV138">
            <v>1075</v>
          </cell>
          <cell r="CW138">
            <v>395</v>
          </cell>
          <cell r="CX138">
            <v>0.5809</v>
          </cell>
          <cell r="CY138">
            <v>44</v>
          </cell>
          <cell r="CZ138">
            <v>72</v>
          </cell>
          <cell r="DA138">
            <v>-0.3889</v>
          </cell>
          <cell r="DB138">
            <v>8</v>
          </cell>
          <cell r="DC138">
            <v>4.5</v>
          </cell>
          <cell r="DD138">
            <v>1.2941</v>
          </cell>
          <cell r="DE138">
            <v>-0.2378</v>
          </cell>
          <cell r="DF138">
            <v>1100</v>
          </cell>
          <cell r="DG138">
            <v>380</v>
          </cell>
          <cell r="DH138">
            <v>0.5278</v>
          </cell>
          <cell r="DI138">
            <v>52</v>
          </cell>
          <cell r="DJ138">
            <v>78</v>
          </cell>
          <cell r="DK138">
            <v>-0.3333</v>
          </cell>
          <cell r="DL138">
            <v>13</v>
          </cell>
          <cell r="DM138">
            <v>3</v>
          </cell>
          <cell r="DN138">
            <v>5</v>
          </cell>
          <cell r="DO138">
            <v>9</v>
          </cell>
          <cell r="DP138">
            <v>-0.4444</v>
          </cell>
          <cell r="DQ138">
            <v>2</v>
          </cell>
          <cell r="DR138">
            <v>1.5</v>
          </cell>
          <cell r="DS138">
            <v>5</v>
          </cell>
          <cell r="DT138">
            <v>9</v>
          </cell>
          <cell r="DU138">
            <v>-0.4444</v>
          </cell>
          <cell r="DV138">
            <v>2</v>
          </cell>
          <cell r="DW138">
            <v>1.5</v>
          </cell>
          <cell r="DX138">
            <v>8</v>
          </cell>
          <cell r="DY138">
            <v>13</v>
          </cell>
          <cell r="DZ138">
            <v>-0.3846</v>
          </cell>
          <cell r="EA138">
            <v>7</v>
          </cell>
          <cell r="EB138">
            <v>0.1429</v>
          </cell>
          <cell r="EC138">
            <v>9</v>
          </cell>
          <cell r="ED138">
            <v>8</v>
          </cell>
          <cell r="EE138">
            <v>0.125</v>
          </cell>
          <cell r="EF138">
            <v>2</v>
          </cell>
          <cell r="EG138">
            <v>3.5</v>
          </cell>
          <cell r="EH138">
            <v>0.2093</v>
          </cell>
          <cell r="EI138">
            <v>0.0917</v>
          </cell>
          <cell r="EJ138">
            <v>225</v>
          </cell>
          <cell r="EK138">
            <v>145</v>
          </cell>
          <cell r="EL138">
            <v>1.8125</v>
          </cell>
          <cell r="EM138">
            <v>9</v>
          </cell>
          <cell r="EN138">
            <v>8</v>
          </cell>
          <cell r="EO138">
            <v>0.125</v>
          </cell>
          <cell r="EP138">
            <v>2</v>
          </cell>
          <cell r="EQ138">
            <v>3.5</v>
          </cell>
          <cell r="ER138">
            <v>12</v>
          </cell>
          <cell r="ES138">
            <v>0</v>
          </cell>
          <cell r="ET138" t="str">
            <v>多12人</v>
          </cell>
          <cell r="EU138">
            <v>9</v>
          </cell>
          <cell r="EV138">
            <v>0.3333</v>
          </cell>
          <cell r="EW138">
            <v>0.2791</v>
          </cell>
          <cell r="EX138">
            <v>0.2791</v>
          </cell>
          <cell r="EY138">
            <v>300</v>
          </cell>
          <cell r="EZ138">
            <v>300</v>
          </cell>
          <cell r="FA138" t="str">
            <v/>
          </cell>
        </row>
        <row r="139">
          <cell r="A139" t="str">
            <v>掩饰隐瞒犯罪所得及所得收益</v>
          </cell>
          <cell r="B139" t="str">
            <v>云城区</v>
          </cell>
        </row>
        <row r="139">
          <cell r="AM139">
            <v>0</v>
          </cell>
          <cell r="AN139">
            <v>5</v>
          </cell>
          <cell r="AO139" t="str">
            <v>少5起</v>
          </cell>
          <cell r="AP139">
            <v>1</v>
          </cell>
          <cell r="AQ139" t="str">
            <v>少1起</v>
          </cell>
          <cell r="AR139" t="str">
            <v/>
          </cell>
          <cell r="AS139" t="str">
            <v/>
          </cell>
          <cell r="AT139">
            <v>0</v>
          </cell>
          <cell r="AU139">
            <v>3</v>
          </cell>
          <cell r="AV139" t="str">
            <v>少3起</v>
          </cell>
          <cell r="AW139">
            <v>0</v>
          </cell>
          <cell r="AX139" t="str">
            <v>持平</v>
          </cell>
          <cell r="AY139">
            <v>0</v>
          </cell>
          <cell r="AZ139">
            <v>2</v>
          </cell>
          <cell r="BA139" t="str">
            <v>少2起</v>
          </cell>
          <cell r="BB139">
            <v>1</v>
          </cell>
          <cell r="BC139" t="str">
            <v>少1起</v>
          </cell>
          <cell r="BD139" t="str">
            <v/>
          </cell>
          <cell r="BE139" t="str">
            <v/>
          </cell>
          <cell r="BF139">
            <v>0</v>
          </cell>
          <cell r="BG139">
            <v>3</v>
          </cell>
          <cell r="BH139" t="str">
            <v>少3起</v>
          </cell>
          <cell r="BI139">
            <v>0</v>
          </cell>
          <cell r="BJ139" t="str">
            <v>持平</v>
          </cell>
          <cell r="BK139" t="str">
            <v/>
          </cell>
          <cell r="BL139">
            <v>0</v>
          </cell>
          <cell r="BM139">
            <v>3</v>
          </cell>
          <cell r="BN139" t="str">
            <v>少3起</v>
          </cell>
          <cell r="BO139">
            <v>0</v>
          </cell>
          <cell r="BP139" t="str">
            <v>持平</v>
          </cell>
          <cell r="BQ139">
            <v>0</v>
          </cell>
          <cell r="BR139">
            <v>0</v>
          </cell>
          <cell r="BS139" t="str">
            <v>持平</v>
          </cell>
          <cell r="BT139">
            <v>0</v>
          </cell>
          <cell r="BU139" t="str">
            <v>持平</v>
          </cell>
          <cell r="BV139" t="str">
            <v/>
          </cell>
          <cell r="BW139" t="str">
            <v/>
          </cell>
          <cell r="BX139" t="str">
            <v/>
          </cell>
          <cell r="BY139" t="str">
            <v/>
          </cell>
          <cell r="BZ139">
            <v>0</v>
          </cell>
          <cell r="CA139">
            <v>0</v>
          </cell>
          <cell r="CB139" t="str">
            <v>持平</v>
          </cell>
          <cell r="CC139">
            <v>0</v>
          </cell>
          <cell r="CD139" t="str">
            <v>持平</v>
          </cell>
          <cell r="CE139" t="str">
            <v/>
          </cell>
          <cell r="CF139" t="str">
            <v/>
          </cell>
          <cell r="CG139">
            <v>0</v>
          </cell>
          <cell r="CH139">
            <v>21</v>
          </cell>
          <cell r="CI139" t="str">
            <v>少21人</v>
          </cell>
          <cell r="CJ139">
            <v>0</v>
          </cell>
          <cell r="CK139" t="str">
            <v>持平</v>
          </cell>
          <cell r="CL139" t="str">
            <v/>
          </cell>
          <cell r="CM139" t="str">
            <v/>
          </cell>
          <cell r="CN139" t="str">
            <v/>
          </cell>
          <cell r="CO139">
            <v>0</v>
          </cell>
          <cell r="CP139">
            <v>26</v>
          </cell>
          <cell r="CQ139" t="str">
            <v>少26人</v>
          </cell>
          <cell r="CR139">
            <v>0</v>
          </cell>
          <cell r="CS139" t="str">
            <v>持平</v>
          </cell>
          <cell r="CT139" t="str">
            <v/>
          </cell>
          <cell r="CU139" t="str">
            <v/>
          </cell>
          <cell r="CV139" t="str">
            <v/>
          </cell>
          <cell r="CW139" t="str">
            <v/>
          </cell>
          <cell r="CX139" t="str">
            <v/>
          </cell>
          <cell r="CY139">
            <v>0</v>
          </cell>
          <cell r="CZ139">
            <v>26</v>
          </cell>
          <cell r="DA139" t="str">
            <v>少26人</v>
          </cell>
          <cell r="DB139">
            <v>0</v>
          </cell>
          <cell r="DC139" t="str">
            <v>持平</v>
          </cell>
          <cell r="DD139" t="str">
            <v/>
          </cell>
          <cell r="DE139" t="str">
            <v/>
          </cell>
          <cell r="DF139" t="str">
            <v/>
          </cell>
          <cell r="DG139" t="str">
            <v/>
          </cell>
          <cell r="DH139" t="str">
            <v/>
          </cell>
          <cell r="DI139">
            <v>0</v>
          </cell>
          <cell r="DJ139">
            <v>0</v>
          </cell>
          <cell r="DK139" t="str">
            <v>持平</v>
          </cell>
          <cell r="DL139">
            <v>0</v>
          </cell>
          <cell r="DM139" t="str">
            <v>持平</v>
          </cell>
          <cell r="DN139">
            <v>0</v>
          </cell>
          <cell r="DO139">
            <v>0</v>
          </cell>
          <cell r="DP139" t="str">
            <v>持平</v>
          </cell>
          <cell r="DQ139">
            <v>1</v>
          </cell>
          <cell r="DR139" t="str">
            <v>少1人</v>
          </cell>
          <cell r="DS139">
            <v>0</v>
          </cell>
          <cell r="DT139">
            <v>0</v>
          </cell>
          <cell r="DU139" t="str">
            <v>持平</v>
          </cell>
          <cell r="DV139">
            <v>1</v>
          </cell>
          <cell r="DW139" t="str">
            <v>少1人</v>
          </cell>
          <cell r="DX139">
            <v>0</v>
          </cell>
          <cell r="DY139">
            <v>0</v>
          </cell>
          <cell r="DZ139" t="str">
            <v>持平</v>
          </cell>
          <cell r="EA139">
            <v>0</v>
          </cell>
          <cell r="EB139" t="str">
            <v>持平</v>
          </cell>
          <cell r="EC139">
            <v>0</v>
          </cell>
          <cell r="ED139">
            <v>0</v>
          </cell>
          <cell r="EE139" t="str">
            <v>持平</v>
          </cell>
          <cell r="EF139">
            <v>0</v>
          </cell>
          <cell r="EG139" t="str">
            <v>持平</v>
          </cell>
          <cell r="EH139" t="str">
            <v/>
          </cell>
          <cell r="EI139" t="str">
            <v/>
          </cell>
          <cell r="EJ139" t="str">
            <v/>
          </cell>
          <cell r="EK139" t="str">
            <v/>
          </cell>
          <cell r="EL139" t="str">
            <v/>
          </cell>
          <cell r="EM139">
            <v>0</v>
          </cell>
          <cell r="EN139">
            <v>0</v>
          </cell>
          <cell r="EO139" t="str">
            <v>持平</v>
          </cell>
          <cell r="EP139">
            <v>0</v>
          </cell>
          <cell r="EQ139" t="str">
            <v>持平</v>
          </cell>
          <cell r="ER139">
            <v>0</v>
          </cell>
          <cell r="ES139">
            <v>0</v>
          </cell>
          <cell r="ET139" t="str">
            <v>持平</v>
          </cell>
          <cell r="EU139">
            <v>0</v>
          </cell>
          <cell r="EV139" t="str">
            <v>持平</v>
          </cell>
          <cell r="EW139" t="str">
            <v/>
          </cell>
          <cell r="EX139" t="str">
            <v/>
          </cell>
          <cell r="EY139" t="str">
            <v/>
          </cell>
          <cell r="EZ139" t="str">
            <v/>
          </cell>
          <cell r="FA139" t="str">
            <v/>
          </cell>
        </row>
        <row r="140">
          <cell r="A140" t="str">
            <v>掩饰隐瞒犯罪所得及所得收益</v>
          </cell>
          <cell r="B140" t="str">
            <v>云安区</v>
          </cell>
        </row>
        <row r="140">
          <cell r="AM140">
            <v>1</v>
          </cell>
          <cell r="AN140">
            <v>1</v>
          </cell>
          <cell r="AO140">
            <v>0</v>
          </cell>
          <cell r="AP140">
            <v>0</v>
          </cell>
          <cell r="AQ140" t="str">
            <v>多1起</v>
          </cell>
          <cell r="AR140">
            <v>1</v>
          </cell>
          <cell r="AS140">
            <v>0</v>
          </cell>
          <cell r="AT140">
            <v>0</v>
          </cell>
          <cell r="AU140">
            <v>1</v>
          </cell>
          <cell r="AV140" t="str">
            <v>少1起</v>
          </cell>
          <cell r="AW140">
            <v>0</v>
          </cell>
          <cell r="AX140" t="str">
            <v>持平</v>
          </cell>
          <cell r="AY140">
            <v>0</v>
          </cell>
          <cell r="AZ140">
            <v>1</v>
          </cell>
          <cell r="BA140" t="str">
            <v>少1起</v>
          </cell>
          <cell r="BB140">
            <v>0</v>
          </cell>
          <cell r="BC140" t="str">
            <v>持平</v>
          </cell>
          <cell r="BD140" t="str">
            <v/>
          </cell>
          <cell r="BE140" t="str">
            <v/>
          </cell>
          <cell r="BF140">
            <v>1</v>
          </cell>
          <cell r="BG140">
            <v>0</v>
          </cell>
          <cell r="BH140" t="str">
            <v>多1起</v>
          </cell>
          <cell r="BI140">
            <v>0</v>
          </cell>
          <cell r="BJ140" t="str">
            <v>多1起</v>
          </cell>
          <cell r="BK140">
            <v>1</v>
          </cell>
          <cell r="BL140">
            <v>1</v>
          </cell>
          <cell r="BM140">
            <v>0</v>
          </cell>
          <cell r="BN140" t="str">
            <v>多1起</v>
          </cell>
          <cell r="BO140">
            <v>0</v>
          </cell>
          <cell r="BP140" t="str">
            <v>多1起</v>
          </cell>
          <cell r="BQ140">
            <v>0</v>
          </cell>
          <cell r="BR140">
            <v>0</v>
          </cell>
          <cell r="BS140" t="str">
            <v>持平</v>
          </cell>
          <cell r="BT140">
            <v>0</v>
          </cell>
          <cell r="BU140" t="str">
            <v>持平</v>
          </cell>
          <cell r="BV140">
            <v>0</v>
          </cell>
          <cell r="BW140">
            <v>0</v>
          </cell>
          <cell r="BX140" t="str">
            <v/>
          </cell>
          <cell r="BY140" t="str">
            <v/>
          </cell>
          <cell r="BZ140">
            <v>0</v>
          </cell>
          <cell r="CA140">
            <v>0</v>
          </cell>
          <cell r="CB140" t="str">
            <v>持平</v>
          </cell>
          <cell r="CC140">
            <v>0</v>
          </cell>
          <cell r="CD140" t="str">
            <v>持平</v>
          </cell>
          <cell r="CE140" t="str">
            <v/>
          </cell>
          <cell r="CF140" t="str">
            <v/>
          </cell>
          <cell r="CG140">
            <v>10</v>
          </cell>
          <cell r="CH140">
            <v>17</v>
          </cell>
          <cell r="CI140">
            <v>-0.4118</v>
          </cell>
          <cell r="CJ140">
            <v>0</v>
          </cell>
          <cell r="CK140" t="str">
            <v>多10人</v>
          </cell>
          <cell r="CL140">
            <v>1000</v>
          </cell>
          <cell r="CM140">
            <v>-700</v>
          </cell>
          <cell r="CN140">
            <v>-0.4118</v>
          </cell>
          <cell r="CO140">
            <v>12</v>
          </cell>
          <cell r="CP140">
            <v>26</v>
          </cell>
          <cell r="CQ140">
            <v>-0.5385</v>
          </cell>
          <cell r="CR140">
            <v>0</v>
          </cell>
          <cell r="CS140" t="str">
            <v>多12人</v>
          </cell>
          <cell r="CT140">
            <v>1.2</v>
          </cell>
          <cell r="CU140">
            <v>-0.3294</v>
          </cell>
          <cell r="CV140">
            <v>1200</v>
          </cell>
          <cell r="CW140">
            <v>-1400</v>
          </cell>
          <cell r="CX140">
            <v>-0.5385</v>
          </cell>
          <cell r="CY140">
            <v>12</v>
          </cell>
          <cell r="CZ140">
            <v>26</v>
          </cell>
          <cell r="DA140">
            <v>-0.5385</v>
          </cell>
          <cell r="DB140">
            <v>0</v>
          </cell>
          <cell r="DC140" t="str">
            <v>多12人</v>
          </cell>
          <cell r="DD140">
            <v>1.2</v>
          </cell>
          <cell r="DE140">
            <v>-0.3294</v>
          </cell>
          <cell r="DF140">
            <v>1200</v>
          </cell>
          <cell r="DG140">
            <v>-1400</v>
          </cell>
          <cell r="DH140">
            <v>-0.5385</v>
          </cell>
          <cell r="DI140">
            <v>0</v>
          </cell>
          <cell r="DJ140">
            <v>0</v>
          </cell>
          <cell r="DK140" t="str">
            <v>持平</v>
          </cell>
          <cell r="DL140">
            <v>0</v>
          </cell>
          <cell r="DM140" t="str">
            <v>持平</v>
          </cell>
          <cell r="DN140">
            <v>0</v>
          </cell>
          <cell r="DO140">
            <v>2</v>
          </cell>
          <cell r="DP140" t="str">
            <v>少2人</v>
          </cell>
          <cell r="DQ140">
            <v>0</v>
          </cell>
          <cell r="DR140" t="str">
            <v>持平</v>
          </cell>
          <cell r="DS140">
            <v>0</v>
          </cell>
          <cell r="DT140">
            <v>2</v>
          </cell>
          <cell r="DU140" t="str">
            <v>少2人</v>
          </cell>
          <cell r="DV140">
            <v>0</v>
          </cell>
          <cell r="DW140" t="str">
            <v>持平</v>
          </cell>
          <cell r="DX140">
            <v>0</v>
          </cell>
          <cell r="DY140">
            <v>6</v>
          </cell>
          <cell r="DZ140" t="str">
            <v>少6人</v>
          </cell>
          <cell r="EA140">
            <v>0</v>
          </cell>
          <cell r="EB140" t="str">
            <v>持平</v>
          </cell>
          <cell r="EC140">
            <v>0</v>
          </cell>
          <cell r="ED140">
            <v>6</v>
          </cell>
          <cell r="EE140" t="str">
            <v>少6人</v>
          </cell>
          <cell r="EF140">
            <v>0</v>
          </cell>
          <cell r="EG140" t="str">
            <v>持平</v>
          </cell>
          <cell r="EH140">
            <v>0</v>
          </cell>
          <cell r="EI140">
            <v>-0.2308</v>
          </cell>
          <cell r="EJ140">
            <v>0</v>
          </cell>
          <cell r="EK140">
            <v>-600</v>
          </cell>
          <cell r="EL140">
            <v>-1</v>
          </cell>
          <cell r="EM140">
            <v>0</v>
          </cell>
          <cell r="EN140">
            <v>6</v>
          </cell>
          <cell r="EO140" t="str">
            <v>少6人</v>
          </cell>
          <cell r="EP140">
            <v>0</v>
          </cell>
          <cell r="EQ140" t="str">
            <v>持平</v>
          </cell>
          <cell r="ER140">
            <v>1</v>
          </cell>
          <cell r="ES140">
            <v>0</v>
          </cell>
          <cell r="ET140" t="str">
            <v>多1人</v>
          </cell>
          <cell r="EU140">
            <v>2</v>
          </cell>
          <cell r="EV140">
            <v>-0.5</v>
          </cell>
          <cell r="EW140">
            <v>0.0833</v>
          </cell>
          <cell r="EX140">
            <v>0.0833</v>
          </cell>
          <cell r="EY140">
            <v>100</v>
          </cell>
          <cell r="EZ140">
            <v>100</v>
          </cell>
          <cell r="FA140" t="str">
            <v/>
          </cell>
        </row>
        <row r="141">
          <cell r="A141" t="str">
            <v>掩饰隐瞒犯罪所得及所得收益</v>
          </cell>
          <cell r="B141" t="str">
            <v>新兴县</v>
          </cell>
        </row>
        <row r="141">
          <cell r="AM141">
            <v>1</v>
          </cell>
          <cell r="AN141">
            <v>0</v>
          </cell>
          <cell r="AO141" t="str">
            <v>多1起</v>
          </cell>
          <cell r="AP141">
            <v>0</v>
          </cell>
          <cell r="AQ141" t="str">
            <v>多1起</v>
          </cell>
          <cell r="AR141">
            <v>1</v>
          </cell>
          <cell r="AS141" t="str">
            <v/>
          </cell>
          <cell r="AT141">
            <v>0</v>
          </cell>
          <cell r="AU141">
            <v>0</v>
          </cell>
          <cell r="AV141" t="str">
            <v>持平</v>
          </cell>
          <cell r="AW141">
            <v>0</v>
          </cell>
          <cell r="AX141" t="str">
            <v>持平</v>
          </cell>
          <cell r="AY141">
            <v>0</v>
          </cell>
          <cell r="AZ141">
            <v>0</v>
          </cell>
          <cell r="BA141" t="str">
            <v>持平</v>
          </cell>
          <cell r="BB141">
            <v>0</v>
          </cell>
          <cell r="BC141" t="str">
            <v>持平</v>
          </cell>
          <cell r="BD141" t="str">
            <v/>
          </cell>
          <cell r="BE141" t="str">
            <v/>
          </cell>
          <cell r="BF141">
            <v>1</v>
          </cell>
          <cell r="BG141">
            <v>0</v>
          </cell>
          <cell r="BH141" t="str">
            <v>多1起</v>
          </cell>
          <cell r="BI141">
            <v>0</v>
          </cell>
          <cell r="BJ141" t="str">
            <v>多1起</v>
          </cell>
          <cell r="BK141">
            <v>1</v>
          </cell>
          <cell r="BL141">
            <v>1</v>
          </cell>
          <cell r="BM141">
            <v>0</v>
          </cell>
          <cell r="BN141" t="str">
            <v>多1起</v>
          </cell>
          <cell r="BO141">
            <v>0</v>
          </cell>
          <cell r="BP141" t="str">
            <v>多1起</v>
          </cell>
          <cell r="BQ141">
            <v>0</v>
          </cell>
          <cell r="BR141">
            <v>0</v>
          </cell>
          <cell r="BS141" t="str">
            <v>持平</v>
          </cell>
          <cell r="BT141">
            <v>0</v>
          </cell>
          <cell r="BU141" t="str">
            <v>持平</v>
          </cell>
          <cell r="BV141">
            <v>0</v>
          </cell>
          <cell r="BW141" t="str">
            <v/>
          </cell>
          <cell r="BX141" t="str">
            <v/>
          </cell>
          <cell r="BY141" t="str">
            <v/>
          </cell>
          <cell r="BZ141">
            <v>0</v>
          </cell>
          <cell r="CA141">
            <v>0</v>
          </cell>
          <cell r="CB141" t="str">
            <v>持平</v>
          </cell>
          <cell r="CC141">
            <v>0</v>
          </cell>
          <cell r="CD141" t="str">
            <v>持平</v>
          </cell>
          <cell r="CE141" t="str">
            <v/>
          </cell>
          <cell r="CF141" t="str">
            <v/>
          </cell>
          <cell r="CG141">
            <v>0</v>
          </cell>
          <cell r="CH141">
            <v>0</v>
          </cell>
          <cell r="CI141" t="str">
            <v>持平</v>
          </cell>
          <cell r="CJ141">
            <v>0</v>
          </cell>
          <cell r="CK141" t="str">
            <v>持平</v>
          </cell>
          <cell r="CL141">
            <v>0</v>
          </cell>
          <cell r="CM141" t="str">
            <v/>
          </cell>
          <cell r="CN141" t="str">
            <v/>
          </cell>
          <cell r="CO141">
            <v>0</v>
          </cell>
          <cell r="CP141">
            <v>0</v>
          </cell>
          <cell r="CQ141" t="str">
            <v>持平</v>
          </cell>
          <cell r="CR141">
            <v>0</v>
          </cell>
          <cell r="CS141" t="str">
            <v>持平</v>
          </cell>
          <cell r="CT141" t="str">
            <v/>
          </cell>
          <cell r="CU141" t="str">
            <v/>
          </cell>
          <cell r="CV141">
            <v>0</v>
          </cell>
          <cell r="CW141" t="str">
            <v/>
          </cell>
          <cell r="CX141" t="str">
            <v/>
          </cell>
          <cell r="CY141">
            <v>0</v>
          </cell>
          <cell r="CZ141">
            <v>0</v>
          </cell>
          <cell r="DA141" t="str">
            <v>持平</v>
          </cell>
          <cell r="DB141">
            <v>0</v>
          </cell>
          <cell r="DC141" t="str">
            <v>持平</v>
          </cell>
          <cell r="DD141" t="str">
            <v/>
          </cell>
          <cell r="DE141" t="str">
            <v/>
          </cell>
          <cell r="DF141">
            <v>0</v>
          </cell>
          <cell r="DG141" t="str">
            <v/>
          </cell>
          <cell r="DH141" t="str">
            <v/>
          </cell>
          <cell r="DI141">
            <v>2</v>
          </cell>
          <cell r="DJ141">
            <v>8</v>
          </cell>
          <cell r="DK141">
            <v>-0.75</v>
          </cell>
          <cell r="DL141">
            <v>0</v>
          </cell>
          <cell r="DM141" t="str">
            <v>多2人</v>
          </cell>
          <cell r="DN141">
            <v>0</v>
          </cell>
          <cell r="DO141">
            <v>0</v>
          </cell>
          <cell r="DP141" t="str">
            <v>持平</v>
          </cell>
          <cell r="DQ141">
            <v>0</v>
          </cell>
          <cell r="DR141" t="str">
            <v>持平</v>
          </cell>
          <cell r="DS141">
            <v>0</v>
          </cell>
          <cell r="DT141">
            <v>0</v>
          </cell>
          <cell r="DU141" t="str">
            <v>持平</v>
          </cell>
          <cell r="DV141">
            <v>0</v>
          </cell>
          <cell r="DW141" t="str">
            <v>持平</v>
          </cell>
          <cell r="DX141">
            <v>1</v>
          </cell>
          <cell r="DY141">
            <v>0</v>
          </cell>
          <cell r="DZ141" t="str">
            <v>多1人</v>
          </cell>
          <cell r="EA141">
            <v>0</v>
          </cell>
          <cell r="EB141" t="str">
            <v>多1人</v>
          </cell>
          <cell r="EC141">
            <v>0</v>
          </cell>
          <cell r="ED141">
            <v>0</v>
          </cell>
          <cell r="EE141" t="str">
            <v>持平</v>
          </cell>
          <cell r="EF141">
            <v>0</v>
          </cell>
          <cell r="EG141" t="str">
            <v>持平</v>
          </cell>
          <cell r="EH141" t="str">
            <v/>
          </cell>
          <cell r="EI141" t="str">
            <v/>
          </cell>
          <cell r="EJ141">
            <v>0</v>
          </cell>
          <cell r="EK141" t="str">
            <v/>
          </cell>
          <cell r="EL141" t="str">
            <v/>
          </cell>
          <cell r="EM141">
            <v>0</v>
          </cell>
          <cell r="EN141">
            <v>0</v>
          </cell>
          <cell r="EO141" t="str">
            <v>持平</v>
          </cell>
          <cell r="EP141">
            <v>0</v>
          </cell>
          <cell r="EQ141" t="str">
            <v>持平</v>
          </cell>
          <cell r="ER141">
            <v>1</v>
          </cell>
          <cell r="ES141">
            <v>0</v>
          </cell>
          <cell r="ET141" t="str">
            <v>多1人</v>
          </cell>
          <cell r="EU141">
            <v>0</v>
          </cell>
          <cell r="EV141" t="str">
            <v>多1人</v>
          </cell>
          <cell r="EW141" t="str">
            <v/>
          </cell>
          <cell r="EX141" t="str">
            <v/>
          </cell>
          <cell r="EY141">
            <v>100</v>
          </cell>
          <cell r="EZ141" t="str">
            <v/>
          </cell>
          <cell r="FA141" t="str">
            <v/>
          </cell>
        </row>
        <row r="142">
          <cell r="A142" t="str">
            <v>掩饰隐瞒犯罪所得及所得收益</v>
          </cell>
          <cell r="B142" t="str">
            <v>郁南县</v>
          </cell>
        </row>
        <row r="142">
          <cell r="AM142">
            <v>0</v>
          </cell>
          <cell r="AN142">
            <v>1</v>
          </cell>
          <cell r="AO142" t="str">
            <v>少1起</v>
          </cell>
          <cell r="AP142">
            <v>1</v>
          </cell>
          <cell r="AQ142" t="str">
            <v>少1起</v>
          </cell>
          <cell r="AR142" t="str">
            <v/>
          </cell>
          <cell r="AS142" t="str">
            <v/>
          </cell>
          <cell r="AT142">
            <v>0</v>
          </cell>
          <cell r="AU142">
            <v>1</v>
          </cell>
          <cell r="AV142" t="str">
            <v>少1起</v>
          </cell>
          <cell r="AW142">
            <v>1</v>
          </cell>
          <cell r="AX142" t="str">
            <v>少1起</v>
          </cell>
          <cell r="AY142">
            <v>0</v>
          </cell>
          <cell r="AZ142">
            <v>1</v>
          </cell>
          <cell r="BA142" t="str">
            <v>少1起</v>
          </cell>
          <cell r="BB142">
            <v>1</v>
          </cell>
          <cell r="BC142" t="str">
            <v>少1起</v>
          </cell>
          <cell r="BD142" t="str">
            <v/>
          </cell>
          <cell r="BE142" t="str">
            <v/>
          </cell>
          <cell r="BF142">
            <v>0</v>
          </cell>
          <cell r="BG142">
            <v>0</v>
          </cell>
          <cell r="BH142" t="str">
            <v>持平</v>
          </cell>
          <cell r="BI142">
            <v>0</v>
          </cell>
          <cell r="BJ142" t="str">
            <v>持平</v>
          </cell>
          <cell r="BK142" t="str">
            <v/>
          </cell>
          <cell r="BL142">
            <v>0</v>
          </cell>
          <cell r="BM142">
            <v>0</v>
          </cell>
          <cell r="BN142" t="str">
            <v>持平</v>
          </cell>
          <cell r="BO142">
            <v>0</v>
          </cell>
          <cell r="BP142" t="str">
            <v>持平</v>
          </cell>
          <cell r="BQ142">
            <v>0</v>
          </cell>
          <cell r="BR142">
            <v>0</v>
          </cell>
          <cell r="BS142" t="str">
            <v>持平</v>
          </cell>
          <cell r="BT142">
            <v>1</v>
          </cell>
          <cell r="BU142" t="str">
            <v>少1起</v>
          </cell>
          <cell r="BV142" t="str">
            <v/>
          </cell>
          <cell r="BW142" t="str">
            <v/>
          </cell>
          <cell r="BX142" t="str">
            <v/>
          </cell>
          <cell r="BY142" t="str">
            <v/>
          </cell>
          <cell r="BZ142">
            <v>0</v>
          </cell>
          <cell r="CA142">
            <v>0</v>
          </cell>
          <cell r="CB142" t="str">
            <v>持平</v>
          </cell>
          <cell r="CC142">
            <v>0</v>
          </cell>
          <cell r="CD142" t="str">
            <v>持平</v>
          </cell>
          <cell r="CE142" t="str">
            <v/>
          </cell>
          <cell r="CF142" t="str">
            <v/>
          </cell>
          <cell r="CG142">
            <v>0</v>
          </cell>
          <cell r="CH142">
            <v>8</v>
          </cell>
          <cell r="CI142" t="str">
            <v>少8人</v>
          </cell>
          <cell r="CJ142">
            <v>2</v>
          </cell>
          <cell r="CK142" t="str">
            <v>少2人</v>
          </cell>
          <cell r="CL142" t="str">
            <v/>
          </cell>
          <cell r="CM142" t="str">
            <v/>
          </cell>
          <cell r="CN142" t="str">
            <v/>
          </cell>
          <cell r="CO142">
            <v>5</v>
          </cell>
          <cell r="CP142">
            <v>16</v>
          </cell>
          <cell r="CQ142">
            <v>-0.6875</v>
          </cell>
          <cell r="CR142">
            <v>6</v>
          </cell>
          <cell r="CS142">
            <v>-0.1667</v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>
            <v>5</v>
          </cell>
          <cell r="CZ142">
            <v>17</v>
          </cell>
          <cell r="DA142">
            <v>-0.7059</v>
          </cell>
          <cell r="DB142">
            <v>6</v>
          </cell>
          <cell r="DC142">
            <v>-0.1667</v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>
            <v>13</v>
          </cell>
          <cell r="DJ142">
            <v>17</v>
          </cell>
          <cell r="DK142">
            <v>-0.2353</v>
          </cell>
          <cell r="DL142">
            <v>9</v>
          </cell>
          <cell r="DM142">
            <v>0.4444</v>
          </cell>
          <cell r="DN142">
            <v>4</v>
          </cell>
          <cell r="DO142">
            <v>4</v>
          </cell>
          <cell r="DP142">
            <v>0</v>
          </cell>
          <cell r="DQ142">
            <v>1</v>
          </cell>
          <cell r="DR142">
            <v>3</v>
          </cell>
          <cell r="DS142">
            <v>4</v>
          </cell>
          <cell r="DT142">
            <v>4</v>
          </cell>
          <cell r="DU142">
            <v>0</v>
          </cell>
          <cell r="DV142">
            <v>1</v>
          </cell>
          <cell r="DW142">
            <v>3</v>
          </cell>
          <cell r="DX142">
            <v>5</v>
          </cell>
          <cell r="DY142">
            <v>4</v>
          </cell>
          <cell r="DZ142">
            <v>0.25</v>
          </cell>
          <cell r="EA142">
            <v>6</v>
          </cell>
          <cell r="EB142">
            <v>-0.1667</v>
          </cell>
          <cell r="EC142">
            <v>7</v>
          </cell>
          <cell r="ED142">
            <v>2</v>
          </cell>
          <cell r="EE142">
            <v>2.5</v>
          </cell>
          <cell r="EF142">
            <v>0</v>
          </cell>
          <cell r="EG142" t="str">
            <v>多7人</v>
          </cell>
          <cell r="EH142">
            <v>1.4</v>
          </cell>
          <cell r="EI142">
            <v>1.275</v>
          </cell>
          <cell r="EJ142" t="str">
            <v/>
          </cell>
          <cell r="EK142" t="str">
            <v/>
          </cell>
          <cell r="EL142" t="str">
            <v/>
          </cell>
          <cell r="EM142">
            <v>7</v>
          </cell>
          <cell r="EN142">
            <v>2</v>
          </cell>
          <cell r="EO142">
            <v>2.5</v>
          </cell>
          <cell r="EP142">
            <v>0</v>
          </cell>
          <cell r="EQ142" t="str">
            <v>多7人</v>
          </cell>
          <cell r="ER142">
            <v>0</v>
          </cell>
          <cell r="ES142">
            <v>0</v>
          </cell>
          <cell r="ET142" t="str">
            <v>持平</v>
          </cell>
          <cell r="EU142">
            <v>1</v>
          </cell>
          <cell r="EV142" t="str">
            <v>少1人</v>
          </cell>
          <cell r="EW142">
            <v>0</v>
          </cell>
          <cell r="EX142">
            <v>0</v>
          </cell>
          <cell r="EY142" t="str">
            <v/>
          </cell>
          <cell r="EZ142" t="str">
            <v/>
          </cell>
          <cell r="FA142" t="str">
            <v/>
          </cell>
        </row>
        <row r="143">
          <cell r="A143" t="str">
            <v>掩饰隐瞒犯罪所得及所得收益</v>
          </cell>
          <cell r="B143" t="str">
            <v>罗定市</v>
          </cell>
        </row>
        <row r="143">
          <cell r="AM143">
            <v>2</v>
          </cell>
          <cell r="AN143">
            <v>2</v>
          </cell>
          <cell r="AO143">
            <v>0</v>
          </cell>
          <cell r="AP143">
            <v>0</v>
          </cell>
          <cell r="AQ143" t="str">
            <v>多2起</v>
          </cell>
          <cell r="AR143">
            <v>1</v>
          </cell>
          <cell r="AS143">
            <v>0</v>
          </cell>
          <cell r="AT143">
            <v>2</v>
          </cell>
          <cell r="AU143">
            <v>1</v>
          </cell>
          <cell r="AV143">
            <v>1</v>
          </cell>
          <cell r="AW143">
            <v>0</v>
          </cell>
          <cell r="AX143" t="str">
            <v>多2起</v>
          </cell>
          <cell r="AY143">
            <v>2</v>
          </cell>
          <cell r="AZ143">
            <v>1</v>
          </cell>
          <cell r="BA143">
            <v>1</v>
          </cell>
          <cell r="BB143">
            <v>0</v>
          </cell>
          <cell r="BC143" t="str">
            <v>多2起</v>
          </cell>
          <cell r="BD143">
            <v>1</v>
          </cell>
          <cell r="BE143">
            <v>0</v>
          </cell>
          <cell r="BF143">
            <v>0</v>
          </cell>
          <cell r="BG143">
            <v>1</v>
          </cell>
          <cell r="BH143" t="str">
            <v>少1起</v>
          </cell>
          <cell r="BI143">
            <v>0</v>
          </cell>
          <cell r="BJ143" t="str">
            <v>持平</v>
          </cell>
          <cell r="BK143">
            <v>0</v>
          </cell>
          <cell r="BL143">
            <v>0</v>
          </cell>
          <cell r="BM143">
            <v>1</v>
          </cell>
          <cell r="BN143" t="str">
            <v>少1起</v>
          </cell>
          <cell r="BO143">
            <v>0</v>
          </cell>
          <cell r="BP143" t="str">
            <v>持平</v>
          </cell>
          <cell r="BQ143">
            <v>0</v>
          </cell>
          <cell r="BR143">
            <v>0</v>
          </cell>
          <cell r="BS143" t="str">
            <v>持平</v>
          </cell>
          <cell r="BT143">
            <v>0</v>
          </cell>
          <cell r="BU143" t="str">
            <v>持平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 t="str">
            <v>持平</v>
          </cell>
          <cell r="CC143">
            <v>0</v>
          </cell>
          <cell r="CD143" t="str">
            <v>持平</v>
          </cell>
          <cell r="CE143" t="str">
            <v/>
          </cell>
          <cell r="CF143" t="str">
            <v/>
          </cell>
          <cell r="CG143">
            <v>24</v>
          </cell>
          <cell r="CH143">
            <v>1</v>
          </cell>
          <cell r="CI143">
            <v>23</v>
          </cell>
          <cell r="CJ143">
            <v>1</v>
          </cell>
          <cell r="CK143">
            <v>23</v>
          </cell>
          <cell r="CL143">
            <v>1200</v>
          </cell>
          <cell r="CM143">
            <v>1150</v>
          </cell>
          <cell r="CN143">
            <v>23</v>
          </cell>
          <cell r="CO143">
            <v>26</v>
          </cell>
          <cell r="CP143">
            <v>0</v>
          </cell>
          <cell r="CQ143" t="str">
            <v>多26人</v>
          </cell>
          <cell r="CR143">
            <v>2</v>
          </cell>
          <cell r="CS143">
            <v>12</v>
          </cell>
          <cell r="CT143">
            <v>1.0833</v>
          </cell>
          <cell r="CU143">
            <v>1.0833</v>
          </cell>
          <cell r="CV143">
            <v>1300</v>
          </cell>
          <cell r="CW143">
            <v>1300</v>
          </cell>
          <cell r="CX143" t="str">
            <v/>
          </cell>
          <cell r="CY143">
            <v>27</v>
          </cell>
          <cell r="CZ143">
            <v>3</v>
          </cell>
          <cell r="DA143">
            <v>8</v>
          </cell>
          <cell r="DB143">
            <v>2</v>
          </cell>
          <cell r="DC143">
            <v>12.5</v>
          </cell>
          <cell r="DD143">
            <v>1.125</v>
          </cell>
          <cell r="DE143">
            <v>-1.875</v>
          </cell>
          <cell r="DF143">
            <v>1350</v>
          </cell>
          <cell r="DG143">
            <v>1200</v>
          </cell>
          <cell r="DH143">
            <v>8</v>
          </cell>
          <cell r="DI143">
            <v>11</v>
          </cell>
          <cell r="DJ143">
            <v>0</v>
          </cell>
          <cell r="DK143" t="str">
            <v>多11人</v>
          </cell>
          <cell r="DL143">
            <v>1</v>
          </cell>
          <cell r="DM143">
            <v>10</v>
          </cell>
          <cell r="DN143">
            <v>1</v>
          </cell>
          <cell r="DO143">
            <v>3</v>
          </cell>
          <cell r="DP143">
            <v>-0.6667</v>
          </cell>
          <cell r="DQ143">
            <v>0</v>
          </cell>
          <cell r="DR143" t="str">
            <v>多1人</v>
          </cell>
          <cell r="DS143">
            <v>1</v>
          </cell>
          <cell r="DT143">
            <v>3</v>
          </cell>
          <cell r="DU143">
            <v>-0.6667</v>
          </cell>
          <cell r="DV143">
            <v>0</v>
          </cell>
          <cell r="DW143" t="str">
            <v>多1人</v>
          </cell>
          <cell r="DX143">
            <v>2</v>
          </cell>
          <cell r="DY143">
            <v>3</v>
          </cell>
          <cell r="DZ143">
            <v>-0.3333</v>
          </cell>
          <cell r="EA143">
            <v>1</v>
          </cell>
          <cell r="EB143">
            <v>1</v>
          </cell>
          <cell r="EC143">
            <v>2</v>
          </cell>
          <cell r="ED143">
            <v>0</v>
          </cell>
          <cell r="EE143" t="str">
            <v>多2人</v>
          </cell>
          <cell r="EF143">
            <v>2</v>
          </cell>
          <cell r="EG143">
            <v>0</v>
          </cell>
          <cell r="EH143">
            <v>0.0769</v>
          </cell>
          <cell r="EI143" t="str">
            <v/>
          </cell>
          <cell r="EJ143">
            <v>100</v>
          </cell>
          <cell r="EK143">
            <v>100</v>
          </cell>
          <cell r="EL143" t="str">
            <v/>
          </cell>
          <cell r="EM143">
            <v>2</v>
          </cell>
          <cell r="EN143">
            <v>0</v>
          </cell>
          <cell r="EO143" t="str">
            <v>多2人</v>
          </cell>
          <cell r="EP143">
            <v>2</v>
          </cell>
          <cell r="EQ143">
            <v>0</v>
          </cell>
          <cell r="ER143">
            <v>10</v>
          </cell>
          <cell r="ES143">
            <v>0</v>
          </cell>
          <cell r="ET143" t="str">
            <v>多10人</v>
          </cell>
          <cell r="EU143">
            <v>6</v>
          </cell>
          <cell r="EV143">
            <v>0.6667</v>
          </cell>
          <cell r="EW143">
            <v>0.3846</v>
          </cell>
          <cell r="EX143" t="str">
            <v/>
          </cell>
          <cell r="EY143">
            <v>500</v>
          </cell>
          <cell r="EZ143">
            <v>500</v>
          </cell>
          <cell r="FA143" t="str">
            <v/>
          </cell>
        </row>
        <row r="144">
          <cell r="A144" t="str">
            <v>八类</v>
          </cell>
          <cell r="B144" t="str">
            <v>全省</v>
          </cell>
        </row>
        <row r="144">
          <cell r="AM144">
            <v>1483</v>
          </cell>
          <cell r="AN144">
            <v>1070</v>
          </cell>
          <cell r="AO144">
            <v>0.386</v>
          </cell>
          <cell r="AP144">
            <v>1842</v>
          </cell>
          <cell r="AQ144">
            <v>-0.1949</v>
          </cell>
          <cell r="AR144">
            <v>0.9562</v>
          </cell>
          <cell r="AS144">
            <v>0.1002</v>
          </cell>
          <cell r="AT144">
            <v>1038</v>
          </cell>
          <cell r="AU144">
            <v>838</v>
          </cell>
          <cell r="AV144">
            <v>0.2387</v>
          </cell>
          <cell r="AW144">
            <v>1519</v>
          </cell>
          <cell r="AX144">
            <v>-0.3167</v>
          </cell>
          <cell r="AY144">
            <v>957</v>
          </cell>
          <cell r="AZ144">
            <v>711</v>
          </cell>
          <cell r="BA144">
            <v>0.346</v>
          </cell>
          <cell r="BB144">
            <v>1652</v>
          </cell>
          <cell r="BC144">
            <v>-0.4207</v>
          </cell>
          <cell r="BD144">
            <v>0.922</v>
          </cell>
          <cell r="BE144">
            <v>0.0735</v>
          </cell>
          <cell r="BF144">
            <v>513</v>
          </cell>
          <cell r="BG144">
            <v>412</v>
          </cell>
          <cell r="BH144">
            <v>0.2451</v>
          </cell>
          <cell r="BI144">
            <v>53</v>
          </cell>
          <cell r="BJ144">
            <v>8.6792</v>
          </cell>
          <cell r="BK144">
            <v>0.3308</v>
          </cell>
          <cell r="BL144">
            <v>526</v>
          </cell>
          <cell r="BM144">
            <v>359</v>
          </cell>
          <cell r="BN144">
            <v>0.4652</v>
          </cell>
          <cell r="BO144">
            <v>190</v>
          </cell>
          <cell r="BP144">
            <v>1.7684</v>
          </cell>
          <cell r="BQ144">
            <v>898</v>
          </cell>
          <cell r="BR144">
            <v>719</v>
          </cell>
          <cell r="BS144">
            <v>0.249</v>
          </cell>
          <cell r="BT144">
            <v>1595</v>
          </cell>
          <cell r="BU144">
            <v>-0.437</v>
          </cell>
          <cell r="BV144">
            <v>0.579</v>
          </cell>
          <cell r="BW144">
            <v>0.0038</v>
          </cell>
          <cell r="BX144">
            <v>0.8651</v>
          </cell>
          <cell r="BY144">
            <v>0.0071</v>
          </cell>
          <cell r="BZ144">
            <v>2</v>
          </cell>
          <cell r="CA144">
            <v>3</v>
          </cell>
          <cell r="CB144">
            <v>-0.3333</v>
          </cell>
          <cell r="CC144">
            <v>23</v>
          </cell>
          <cell r="CD144">
            <v>-0.913</v>
          </cell>
          <cell r="CE144" t="str">
            <v/>
          </cell>
          <cell r="CF144" t="str">
            <v/>
          </cell>
          <cell r="CG144">
            <v>1874</v>
          </cell>
          <cell r="CH144">
            <v>1639</v>
          </cell>
          <cell r="CI144">
            <v>0.1434</v>
          </cell>
          <cell r="CJ144">
            <v>2160</v>
          </cell>
          <cell r="CK144">
            <v>-0.1324</v>
          </cell>
          <cell r="CL144">
            <v>121</v>
          </cell>
          <cell r="CM144">
            <v>-10</v>
          </cell>
          <cell r="CN144">
            <v>-0.0785</v>
          </cell>
          <cell r="CO144">
            <v>1350</v>
          </cell>
          <cell r="CP144">
            <v>861</v>
          </cell>
          <cell r="CQ144">
            <v>0.5679</v>
          </cell>
          <cell r="CR144">
            <v>1505</v>
          </cell>
          <cell r="CS144">
            <v>-0.103</v>
          </cell>
          <cell r="CT144">
            <v>0.7204</v>
          </cell>
          <cell r="CU144">
            <v>0.1951</v>
          </cell>
          <cell r="CV144">
            <v>87</v>
          </cell>
          <cell r="CW144">
            <v>18</v>
          </cell>
          <cell r="CX144">
            <v>0.2637</v>
          </cell>
          <cell r="CY144">
            <v>1723</v>
          </cell>
          <cell r="CZ144">
            <v>1263</v>
          </cell>
          <cell r="DA144">
            <v>0.3642</v>
          </cell>
          <cell r="DB144">
            <v>1968</v>
          </cell>
          <cell r="DC144">
            <v>-0.1245</v>
          </cell>
          <cell r="DD144">
            <v>0.9194</v>
          </cell>
          <cell r="DE144">
            <v>0.1488</v>
          </cell>
          <cell r="DF144">
            <v>111</v>
          </cell>
          <cell r="DG144">
            <v>10</v>
          </cell>
          <cell r="DH144">
            <v>0.0995</v>
          </cell>
          <cell r="DI144">
            <v>1704</v>
          </cell>
          <cell r="DJ144">
            <v>1291</v>
          </cell>
          <cell r="DK144">
            <v>0.3199</v>
          </cell>
          <cell r="DL144">
            <v>1949</v>
          </cell>
          <cell r="DM144">
            <v>-0.1257</v>
          </cell>
          <cell r="DN144">
            <v>1069</v>
          </cell>
          <cell r="DO144">
            <v>856</v>
          </cell>
          <cell r="DP144">
            <v>0.2488</v>
          </cell>
          <cell r="DQ144">
            <v>1285</v>
          </cell>
          <cell r="DR144">
            <v>-0.1681</v>
          </cell>
          <cell r="DS144">
            <v>1071</v>
          </cell>
          <cell r="DT144">
            <v>856</v>
          </cell>
          <cell r="DU144">
            <v>0.2512</v>
          </cell>
          <cell r="DV144">
            <v>1286</v>
          </cell>
          <cell r="DW144">
            <v>-0.1672</v>
          </cell>
          <cell r="DX144">
            <v>1439</v>
          </cell>
          <cell r="DY144">
            <v>1162</v>
          </cell>
          <cell r="DZ144">
            <v>0.2384</v>
          </cell>
          <cell r="EA144">
            <v>1659</v>
          </cell>
          <cell r="EB144">
            <v>-0.1326</v>
          </cell>
          <cell r="EC144">
            <v>758</v>
          </cell>
          <cell r="ED144">
            <v>754</v>
          </cell>
          <cell r="EE144">
            <v>0.0053</v>
          </cell>
          <cell r="EF144">
            <v>955</v>
          </cell>
          <cell r="EG144">
            <v>-0.2063</v>
          </cell>
          <cell r="EH144">
            <v>0.5615</v>
          </cell>
          <cell r="EI144">
            <v>-0.3142</v>
          </cell>
          <cell r="EJ144">
            <v>49</v>
          </cell>
          <cell r="EK144">
            <v>-11</v>
          </cell>
          <cell r="EL144">
            <v>-0.1898</v>
          </cell>
          <cell r="EM144">
            <v>783</v>
          </cell>
          <cell r="EN144">
            <v>757</v>
          </cell>
          <cell r="EO144">
            <v>0.0343</v>
          </cell>
          <cell r="EP144">
            <v>964</v>
          </cell>
          <cell r="EQ144">
            <v>-0.1878</v>
          </cell>
          <cell r="ER144">
            <v>1148</v>
          </cell>
          <cell r="ES144">
            <v>843</v>
          </cell>
          <cell r="ET144">
            <v>0.3618</v>
          </cell>
          <cell r="EU144">
            <v>1874</v>
          </cell>
          <cell r="EV144">
            <v>-0.3874</v>
          </cell>
          <cell r="EW144">
            <v>0.8504</v>
          </cell>
          <cell r="EX144">
            <v>-0.1287</v>
          </cell>
          <cell r="EY144">
            <v>74</v>
          </cell>
          <cell r="EZ144">
            <v>7</v>
          </cell>
          <cell r="FA144">
            <v>0.0975</v>
          </cell>
        </row>
        <row r="145">
          <cell r="A145" t="str">
            <v>八类</v>
          </cell>
          <cell r="B145" t="str">
            <v>云浮</v>
          </cell>
        </row>
        <row r="145">
          <cell r="AM145">
            <v>20</v>
          </cell>
          <cell r="AN145">
            <v>12</v>
          </cell>
          <cell r="AO145">
            <v>0.6667</v>
          </cell>
          <cell r="AP145">
            <v>19</v>
          </cell>
          <cell r="AQ145">
            <v>0.0526</v>
          </cell>
          <cell r="AR145">
            <v>0.8333</v>
          </cell>
          <cell r="AS145">
            <v>0.0833</v>
          </cell>
          <cell r="AT145">
            <v>15</v>
          </cell>
          <cell r="AU145">
            <v>9</v>
          </cell>
          <cell r="AV145">
            <v>0.6667</v>
          </cell>
          <cell r="AW145">
            <v>13</v>
          </cell>
          <cell r="AX145">
            <v>0.1538</v>
          </cell>
          <cell r="AY145">
            <v>13</v>
          </cell>
          <cell r="AZ145">
            <v>8</v>
          </cell>
          <cell r="BA145">
            <v>0.625</v>
          </cell>
          <cell r="BB145">
            <v>17</v>
          </cell>
          <cell r="BC145">
            <v>-0.2353</v>
          </cell>
          <cell r="BD145">
            <v>0.8667</v>
          </cell>
          <cell r="BE145">
            <v>-0.0222</v>
          </cell>
          <cell r="BF145">
            <v>9</v>
          </cell>
          <cell r="BG145">
            <v>7</v>
          </cell>
          <cell r="BH145">
            <v>0.2857</v>
          </cell>
          <cell r="BI145">
            <v>0</v>
          </cell>
          <cell r="BJ145" t="str">
            <v>多9起</v>
          </cell>
          <cell r="BK145">
            <v>0.375</v>
          </cell>
          <cell r="BL145">
            <v>7</v>
          </cell>
          <cell r="BM145">
            <v>4</v>
          </cell>
          <cell r="BN145">
            <v>0.75</v>
          </cell>
          <cell r="BO145">
            <v>2</v>
          </cell>
          <cell r="BP145">
            <v>2.5</v>
          </cell>
          <cell r="BQ145">
            <v>8</v>
          </cell>
          <cell r="BR145">
            <v>4</v>
          </cell>
          <cell r="BS145">
            <v>1</v>
          </cell>
          <cell r="BT145">
            <v>18</v>
          </cell>
          <cell r="BU145">
            <v>-0.5556</v>
          </cell>
          <cell r="BV145">
            <v>0.3333</v>
          </cell>
          <cell r="BW145">
            <v>0.0833</v>
          </cell>
          <cell r="BX145">
            <v>0.5333</v>
          </cell>
          <cell r="BY145">
            <v>0.0889</v>
          </cell>
          <cell r="BZ145">
            <v>0</v>
          </cell>
          <cell r="CA145">
            <v>0</v>
          </cell>
          <cell r="CB145" t="str">
            <v>持平</v>
          </cell>
          <cell r="CC145">
            <v>0</v>
          </cell>
          <cell r="CD145" t="str">
            <v>持平</v>
          </cell>
          <cell r="CE145" t="str">
            <v/>
          </cell>
          <cell r="CF145" t="str">
            <v/>
          </cell>
          <cell r="CG145">
            <v>29</v>
          </cell>
          <cell r="CH145">
            <v>25</v>
          </cell>
          <cell r="CI145">
            <v>0.16</v>
          </cell>
          <cell r="CJ145">
            <v>9</v>
          </cell>
          <cell r="CK145">
            <v>2.2222</v>
          </cell>
          <cell r="CL145">
            <v>121</v>
          </cell>
          <cell r="CM145">
            <v>-35</v>
          </cell>
          <cell r="CN145">
            <v>-0.2267</v>
          </cell>
          <cell r="CO145">
            <v>18</v>
          </cell>
          <cell r="CP145">
            <v>12</v>
          </cell>
          <cell r="CQ145">
            <v>0.5</v>
          </cell>
          <cell r="CR145">
            <v>12</v>
          </cell>
          <cell r="CS145">
            <v>0.5</v>
          </cell>
          <cell r="CT145">
            <v>0.6207</v>
          </cell>
          <cell r="CU145">
            <v>0.1407</v>
          </cell>
          <cell r="CV145">
            <v>75</v>
          </cell>
          <cell r="CW145">
            <v>0</v>
          </cell>
          <cell r="CX145">
            <v>0</v>
          </cell>
          <cell r="CY145">
            <v>21</v>
          </cell>
          <cell r="CZ145">
            <v>13</v>
          </cell>
          <cell r="DA145">
            <v>0.6154</v>
          </cell>
          <cell r="DB145">
            <v>15</v>
          </cell>
          <cell r="DC145">
            <v>0.4</v>
          </cell>
          <cell r="DD145">
            <v>0.7241</v>
          </cell>
          <cell r="DE145">
            <v>0.2041</v>
          </cell>
          <cell r="DF145">
            <v>88</v>
          </cell>
          <cell r="DG145">
            <v>6</v>
          </cell>
          <cell r="DH145">
            <v>0.0769</v>
          </cell>
          <cell r="DI145">
            <v>23</v>
          </cell>
          <cell r="DJ145">
            <v>12</v>
          </cell>
          <cell r="DK145">
            <v>0.9167</v>
          </cell>
          <cell r="DL145">
            <v>12</v>
          </cell>
          <cell r="DM145">
            <v>0.9167</v>
          </cell>
          <cell r="DN145">
            <v>5</v>
          </cell>
          <cell r="DO145">
            <v>2</v>
          </cell>
          <cell r="DP145">
            <v>1.5</v>
          </cell>
          <cell r="DQ145">
            <v>6</v>
          </cell>
          <cell r="DR145">
            <v>-0.1667</v>
          </cell>
          <cell r="DS145">
            <v>5</v>
          </cell>
          <cell r="DT145">
            <v>2</v>
          </cell>
          <cell r="DU145">
            <v>1.5</v>
          </cell>
          <cell r="DV145">
            <v>6</v>
          </cell>
          <cell r="DW145">
            <v>-0.1667</v>
          </cell>
          <cell r="DX145">
            <v>17</v>
          </cell>
          <cell r="DY145">
            <v>12</v>
          </cell>
          <cell r="DZ145">
            <v>0.4167</v>
          </cell>
          <cell r="EA145">
            <v>21</v>
          </cell>
          <cell r="EB145">
            <v>-0.1905</v>
          </cell>
          <cell r="EC145">
            <v>10</v>
          </cell>
          <cell r="ED145">
            <v>13</v>
          </cell>
          <cell r="EE145">
            <v>-0.2308</v>
          </cell>
          <cell r="EF145">
            <v>16</v>
          </cell>
          <cell r="EG145">
            <v>-0.375</v>
          </cell>
          <cell r="EH145">
            <v>0.5556</v>
          </cell>
          <cell r="EI145">
            <v>-0.5278</v>
          </cell>
          <cell r="EJ145">
            <v>42</v>
          </cell>
          <cell r="EK145">
            <v>-40</v>
          </cell>
          <cell r="EL145">
            <v>-0.4872</v>
          </cell>
          <cell r="EM145">
            <v>10</v>
          </cell>
          <cell r="EN145">
            <v>13</v>
          </cell>
          <cell r="EO145">
            <v>-0.2308</v>
          </cell>
          <cell r="EP145">
            <v>16</v>
          </cell>
          <cell r="EQ145">
            <v>-0.375</v>
          </cell>
          <cell r="ER145">
            <v>8</v>
          </cell>
          <cell r="ES145">
            <v>4</v>
          </cell>
          <cell r="ET145">
            <v>1</v>
          </cell>
          <cell r="EU145">
            <v>23</v>
          </cell>
          <cell r="EV145">
            <v>-0.6522</v>
          </cell>
          <cell r="EW145">
            <v>0.4444</v>
          </cell>
          <cell r="EX145">
            <v>0.1111</v>
          </cell>
          <cell r="EY145">
            <v>33</v>
          </cell>
          <cell r="EZ145">
            <v>8</v>
          </cell>
          <cell r="FA145">
            <v>0.3333</v>
          </cell>
        </row>
        <row r="146">
          <cell r="A146" t="str">
            <v>八类</v>
          </cell>
          <cell r="B146" t="str">
            <v>云城区</v>
          </cell>
        </row>
        <row r="146">
          <cell r="AM146">
            <v>4</v>
          </cell>
          <cell r="AN146">
            <v>5</v>
          </cell>
          <cell r="AO146">
            <v>-0.2</v>
          </cell>
          <cell r="AP146">
            <v>2</v>
          </cell>
          <cell r="AQ146">
            <v>1</v>
          </cell>
          <cell r="AR146">
            <v>1</v>
          </cell>
          <cell r="AS146">
            <v>0.1667</v>
          </cell>
          <cell r="AT146">
            <v>3</v>
          </cell>
          <cell r="AU146">
            <v>5</v>
          </cell>
          <cell r="AV146">
            <v>-0.4</v>
          </cell>
          <cell r="AW146">
            <v>2</v>
          </cell>
          <cell r="AX146">
            <v>0.5</v>
          </cell>
          <cell r="AY146">
            <v>3</v>
          </cell>
          <cell r="AZ146">
            <v>4</v>
          </cell>
          <cell r="BA146">
            <v>-0.25</v>
          </cell>
          <cell r="BB146">
            <v>2</v>
          </cell>
          <cell r="BC146">
            <v>0.5</v>
          </cell>
          <cell r="BD146">
            <v>1</v>
          </cell>
          <cell r="BE146">
            <v>0.2</v>
          </cell>
          <cell r="BF146">
            <v>1</v>
          </cell>
          <cell r="BG146">
            <v>1</v>
          </cell>
          <cell r="BH146">
            <v>0</v>
          </cell>
          <cell r="BI146">
            <v>0</v>
          </cell>
          <cell r="BJ146" t="str">
            <v>多1起</v>
          </cell>
          <cell r="BK146">
            <v>0.25</v>
          </cell>
          <cell r="BL146">
            <v>1</v>
          </cell>
          <cell r="BM146">
            <v>1</v>
          </cell>
          <cell r="BN146">
            <v>0</v>
          </cell>
          <cell r="BO146">
            <v>0</v>
          </cell>
          <cell r="BP146" t="str">
            <v>多1起</v>
          </cell>
          <cell r="BQ146">
            <v>1</v>
          </cell>
          <cell r="BR146">
            <v>1</v>
          </cell>
          <cell r="BS146">
            <v>0</v>
          </cell>
          <cell r="BT146">
            <v>4</v>
          </cell>
          <cell r="BU146">
            <v>-0.75</v>
          </cell>
          <cell r="BV146">
            <v>0.25</v>
          </cell>
          <cell r="BW146">
            <v>0.0833</v>
          </cell>
          <cell r="BX146">
            <v>0.3333</v>
          </cell>
          <cell r="BY146">
            <v>0.1333</v>
          </cell>
          <cell r="BZ146">
            <v>0</v>
          </cell>
          <cell r="CA146">
            <v>0</v>
          </cell>
          <cell r="CB146" t="str">
            <v>持平</v>
          </cell>
          <cell r="CC146">
            <v>0</v>
          </cell>
          <cell r="CD146" t="str">
            <v>持平</v>
          </cell>
          <cell r="CE146" t="str">
            <v/>
          </cell>
          <cell r="CF146" t="str">
            <v/>
          </cell>
          <cell r="CG146">
            <v>3</v>
          </cell>
          <cell r="CH146">
            <v>6</v>
          </cell>
          <cell r="CI146">
            <v>-0.5</v>
          </cell>
          <cell r="CJ146">
            <v>2</v>
          </cell>
          <cell r="CK146">
            <v>0.5</v>
          </cell>
          <cell r="CL146">
            <v>75</v>
          </cell>
          <cell r="CM146">
            <v>-25</v>
          </cell>
          <cell r="CN146">
            <v>-0.25</v>
          </cell>
          <cell r="CO146">
            <v>3</v>
          </cell>
          <cell r="CP146">
            <v>6</v>
          </cell>
          <cell r="CQ146">
            <v>-0.5</v>
          </cell>
          <cell r="CR146">
            <v>1</v>
          </cell>
          <cell r="CS146">
            <v>2</v>
          </cell>
          <cell r="CT146">
            <v>1</v>
          </cell>
          <cell r="CU146">
            <v>0</v>
          </cell>
          <cell r="CV146">
            <v>75</v>
          </cell>
          <cell r="CW146">
            <v>-25</v>
          </cell>
          <cell r="CX146">
            <v>-0.25</v>
          </cell>
          <cell r="CY146">
            <v>3</v>
          </cell>
          <cell r="CZ146">
            <v>6</v>
          </cell>
          <cell r="DA146">
            <v>-0.5</v>
          </cell>
          <cell r="DB146">
            <v>2</v>
          </cell>
          <cell r="DC146">
            <v>0.5</v>
          </cell>
          <cell r="DD146">
            <v>1</v>
          </cell>
          <cell r="DE146">
            <v>0</v>
          </cell>
          <cell r="DF146">
            <v>75</v>
          </cell>
          <cell r="DG146">
            <v>-25</v>
          </cell>
          <cell r="DH146">
            <v>-0.25</v>
          </cell>
          <cell r="DI146">
            <v>0</v>
          </cell>
          <cell r="DJ146">
            <v>0</v>
          </cell>
          <cell r="DK146" t="str">
            <v>持平</v>
          </cell>
          <cell r="DL146">
            <v>0</v>
          </cell>
          <cell r="DM146" t="str">
            <v>持平</v>
          </cell>
          <cell r="DN146">
            <v>0</v>
          </cell>
          <cell r="DO146">
            <v>1</v>
          </cell>
          <cell r="DP146" t="str">
            <v>少1人</v>
          </cell>
          <cell r="DQ146">
            <v>1</v>
          </cell>
          <cell r="DR146" t="str">
            <v>少1人</v>
          </cell>
          <cell r="DS146">
            <v>0</v>
          </cell>
          <cell r="DT146">
            <v>1</v>
          </cell>
          <cell r="DU146" t="str">
            <v>少1人</v>
          </cell>
          <cell r="DV146">
            <v>1</v>
          </cell>
          <cell r="DW146" t="str">
            <v>少1人</v>
          </cell>
          <cell r="DX146">
            <v>1</v>
          </cell>
          <cell r="DY146">
            <v>8</v>
          </cell>
          <cell r="DZ146">
            <v>-0.875</v>
          </cell>
          <cell r="EA146">
            <v>5</v>
          </cell>
          <cell r="EB146">
            <v>-0.8</v>
          </cell>
          <cell r="EC146">
            <v>0</v>
          </cell>
          <cell r="ED146">
            <v>8</v>
          </cell>
          <cell r="EE146" t="str">
            <v>少8人</v>
          </cell>
          <cell r="EF146">
            <v>4</v>
          </cell>
          <cell r="EG146" t="str">
            <v>少4人</v>
          </cell>
          <cell r="EH146">
            <v>0</v>
          </cell>
          <cell r="EI146">
            <v>-1.3333</v>
          </cell>
          <cell r="EJ146">
            <v>0</v>
          </cell>
          <cell r="EK146">
            <v>-133</v>
          </cell>
          <cell r="EL146">
            <v>-1</v>
          </cell>
          <cell r="EM146">
            <v>0</v>
          </cell>
          <cell r="EN146">
            <v>8</v>
          </cell>
          <cell r="EO146" t="str">
            <v>少8人</v>
          </cell>
          <cell r="EP146">
            <v>4</v>
          </cell>
          <cell r="EQ146" t="str">
            <v>少4人</v>
          </cell>
          <cell r="ER146">
            <v>1</v>
          </cell>
          <cell r="ES146">
            <v>1</v>
          </cell>
          <cell r="ET146">
            <v>0</v>
          </cell>
          <cell r="EU146">
            <v>7</v>
          </cell>
          <cell r="EV146">
            <v>-0.8571</v>
          </cell>
          <cell r="EW146">
            <v>0.3333</v>
          </cell>
          <cell r="EX146">
            <v>0.1667</v>
          </cell>
          <cell r="EY146">
            <v>25</v>
          </cell>
          <cell r="EZ146">
            <v>8</v>
          </cell>
          <cell r="FA146">
            <v>0.5</v>
          </cell>
        </row>
        <row r="147">
          <cell r="A147" t="str">
            <v>八类</v>
          </cell>
          <cell r="B147" t="str">
            <v>云安区</v>
          </cell>
        </row>
        <row r="147">
          <cell r="AM147">
            <v>2</v>
          </cell>
          <cell r="AN147">
            <v>1</v>
          </cell>
          <cell r="AO147">
            <v>1</v>
          </cell>
          <cell r="AP147">
            <v>0</v>
          </cell>
          <cell r="AQ147" t="str">
            <v>多2起</v>
          </cell>
          <cell r="AR147">
            <v>1</v>
          </cell>
          <cell r="AS147" t="str">
            <v/>
          </cell>
          <cell r="AT147">
            <v>2</v>
          </cell>
          <cell r="AU147">
            <v>0</v>
          </cell>
          <cell r="AV147" t="str">
            <v>多2起</v>
          </cell>
          <cell r="AW147">
            <v>0</v>
          </cell>
          <cell r="AX147" t="str">
            <v>多2起</v>
          </cell>
          <cell r="AY147">
            <v>2</v>
          </cell>
          <cell r="AZ147">
            <v>0</v>
          </cell>
          <cell r="BA147" t="str">
            <v>多2起</v>
          </cell>
          <cell r="BB147">
            <v>0</v>
          </cell>
          <cell r="BC147" t="str">
            <v>多2起</v>
          </cell>
          <cell r="BD147">
            <v>1</v>
          </cell>
          <cell r="BE147" t="str">
            <v/>
          </cell>
          <cell r="BF147">
            <v>0</v>
          </cell>
          <cell r="BG147">
            <v>0</v>
          </cell>
          <cell r="BH147" t="str">
            <v>持平</v>
          </cell>
          <cell r="BI147">
            <v>0</v>
          </cell>
          <cell r="BJ147" t="str">
            <v>持平</v>
          </cell>
          <cell r="BK147">
            <v>0</v>
          </cell>
          <cell r="BL147">
            <v>0</v>
          </cell>
          <cell r="BM147">
            <v>1</v>
          </cell>
          <cell r="BN147" t="str">
            <v>少1起</v>
          </cell>
          <cell r="BO147">
            <v>0</v>
          </cell>
          <cell r="BP147" t="str">
            <v>持平</v>
          </cell>
          <cell r="BQ147">
            <v>0</v>
          </cell>
          <cell r="BR147">
            <v>0</v>
          </cell>
          <cell r="BS147" t="str">
            <v>持平</v>
          </cell>
          <cell r="BT147">
            <v>1</v>
          </cell>
          <cell r="BU147" t="str">
            <v>少1起</v>
          </cell>
          <cell r="BV147">
            <v>0</v>
          </cell>
          <cell r="BW147" t="str">
            <v/>
          </cell>
          <cell r="BX147">
            <v>0</v>
          </cell>
          <cell r="BY147" t="str">
            <v/>
          </cell>
          <cell r="BZ147">
            <v>0</v>
          </cell>
          <cell r="CA147">
            <v>0</v>
          </cell>
          <cell r="CB147" t="str">
            <v>持平</v>
          </cell>
          <cell r="CC147">
            <v>0</v>
          </cell>
          <cell r="CD147" t="str">
            <v>持平</v>
          </cell>
          <cell r="CE147" t="str">
            <v/>
          </cell>
          <cell r="CF147" t="str">
            <v/>
          </cell>
          <cell r="CG147">
            <v>3</v>
          </cell>
          <cell r="CH147">
            <v>0</v>
          </cell>
          <cell r="CI147" t="str">
            <v>多3人</v>
          </cell>
          <cell r="CJ147">
            <v>0</v>
          </cell>
          <cell r="CK147" t="str">
            <v>多3人</v>
          </cell>
          <cell r="CL147">
            <v>150</v>
          </cell>
          <cell r="CM147" t="str">
            <v/>
          </cell>
          <cell r="CN147" t="str">
            <v/>
          </cell>
          <cell r="CO147">
            <v>2</v>
          </cell>
          <cell r="CP147">
            <v>0</v>
          </cell>
          <cell r="CQ147" t="str">
            <v>多2人</v>
          </cell>
          <cell r="CR147">
            <v>0</v>
          </cell>
          <cell r="CS147" t="str">
            <v>多2人</v>
          </cell>
          <cell r="CT147">
            <v>0.6667</v>
          </cell>
          <cell r="CU147" t="str">
            <v/>
          </cell>
          <cell r="CV147">
            <v>100</v>
          </cell>
          <cell r="CW147" t="str">
            <v/>
          </cell>
          <cell r="CX147" t="str">
            <v/>
          </cell>
          <cell r="CY147">
            <v>2</v>
          </cell>
          <cell r="CZ147">
            <v>0</v>
          </cell>
          <cell r="DA147" t="str">
            <v>多2人</v>
          </cell>
          <cell r="DB147">
            <v>0</v>
          </cell>
          <cell r="DC147" t="str">
            <v>多2人</v>
          </cell>
          <cell r="DD147">
            <v>0.6667</v>
          </cell>
          <cell r="DE147" t="str">
            <v/>
          </cell>
          <cell r="DF147">
            <v>100</v>
          </cell>
          <cell r="DG147" t="str">
            <v/>
          </cell>
          <cell r="DH147" t="str">
            <v/>
          </cell>
          <cell r="DI147">
            <v>0</v>
          </cell>
          <cell r="DJ147">
            <v>0</v>
          </cell>
          <cell r="DK147" t="str">
            <v>持平</v>
          </cell>
          <cell r="DL147">
            <v>0</v>
          </cell>
          <cell r="DM147" t="str">
            <v>持平</v>
          </cell>
          <cell r="DN147">
            <v>1</v>
          </cell>
          <cell r="DO147">
            <v>0</v>
          </cell>
          <cell r="DP147" t="str">
            <v>多1人</v>
          </cell>
          <cell r="DQ147">
            <v>0</v>
          </cell>
          <cell r="DR147" t="str">
            <v>多1人</v>
          </cell>
          <cell r="DS147">
            <v>1</v>
          </cell>
          <cell r="DT147">
            <v>0</v>
          </cell>
          <cell r="DU147" t="str">
            <v>多1人</v>
          </cell>
          <cell r="DV147">
            <v>0</v>
          </cell>
          <cell r="DW147" t="str">
            <v>多1人</v>
          </cell>
          <cell r="DX147">
            <v>2</v>
          </cell>
          <cell r="DY147">
            <v>0</v>
          </cell>
          <cell r="DZ147" t="str">
            <v>多2人</v>
          </cell>
          <cell r="EA147">
            <v>0</v>
          </cell>
          <cell r="EB147" t="str">
            <v>多2人</v>
          </cell>
          <cell r="EC147">
            <v>1</v>
          </cell>
          <cell r="ED147">
            <v>1</v>
          </cell>
          <cell r="EE147">
            <v>0</v>
          </cell>
          <cell r="EF147">
            <v>0</v>
          </cell>
          <cell r="EG147" t="str">
            <v>多1人</v>
          </cell>
          <cell r="EH147">
            <v>0.5</v>
          </cell>
          <cell r="EI147" t="str">
            <v/>
          </cell>
          <cell r="EJ147">
            <v>50</v>
          </cell>
          <cell r="EK147" t="str">
            <v/>
          </cell>
          <cell r="EL147" t="str">
            <v/>
          </cell>
          <cell r="EM147">
            <v>1</v>
          </cell>
          <cell r="EN147">
            <v>1</v>
          </cell>
          <cell r="EO147">
            <v>0</v>
          </cell>
          <cell r="EP147">
            <v>0</v>
          </cell>
          <cell r="EQ147" t="str">
            <v>多1人</v>
          </cell>
          <cell r="ER147">
            <v>0</v>
          </cell>
          <cell r="ES147">
            <v>0</v>
          </cell>
          <cell r="ET147" t="str">
            <v>持平</v>
          </cell>
          <cell r="EU147">
            <v>1</v>
          </cell>
          <cell r="EV147" t="str">
            <v>少1人</v>
          </cell>
          <cell r="EW147">
            <v>0</v>
          </cell>
          <cell r="EX147" t="str">
            <v/>
          </cell>
          <cell r="EY147">
            <v>0</v>
          </cell>
          <cell r="EZ147" t="str">
            <v/>
          </cell>
          <cell r="FA147" t="str">
            <v/>
          </cell>
        </row>
        <row r="148">
          <cell r="A148" t="str">
            <v>八类</v>
          </cell>
          <cell r="B148" t="str">
            <v>新兴县</v>
          </cell>
        </row>
        <row r="148">
          <cell r="AM148">
            <v>3</v>
          </cell>
          <cell r="AN148">
            <v>2</v>
          </cell>
          <cell r="AO148">
            <v>0.5</v>
          </cell>
          <cell r="AP148">
            <v>6</v>
          </cell>
          <cell r="AQ148">
            <v>-0.5</v>
          </cell>
          <cell r="AR148">
            <v>0.6</v>
          </cell>
          <cell r="AS148">
            <v>0.2</v>
          </cell>
          <cell r="AT148">
            <v>3</v>
          </cell>
          <cell r="AU148">
            <v>1</v>
          </cell>
          <cell r="AV148">
            <v>2</v>
          </cell>
          <cell r="AW148">
            <v>3</v>
          </cell>
          <cell r="AX148">
            <v>0</v>
          </cell>
          <cell r="AY148">
            <v>3</v>
          </cell>
          <cell r="AZ148">
            <v>1</v>
          </cell>
          <cell r="BA148">
            <v>2</v>
          </cell>
          <cell r="BB148">
            <v>6</v>
          </cell>
          <cell r="BC148">
            <v>-0.5</v>
          </cell>
          <cell r="BD148">
            <v>1</v>
          </cell>
          <cell r="BE148">
            <v>0</v>
          </cell>
          <cell r="BF148">
            <v>2</v>
          </cell>
          <cell r="BG148">
            <v>4</v>
          </cell>
          <cell r="BH148">
            <v>-0.5</v>
          </cell>
          <cell r="BI148">
            <v>0</v>
          </cell>
          <cell r="BJ148" t="str">
            <v>多2起</v>
          </cell>
          <cell r="BK148">
            <v>0.4</v>
          </cell>
          <cell r="BL148">
            <v>0</v>
          </cell>
          <cell r="BM148">
            <v>1</v>
          </cell>
          <cell r="BN148" t="str">
            <v>少1起</v>
          </cell>
          <cell r="BO148">
            <v>0</v>
          </cell>
          <cell r="BP148" t="str">
            <v>持平</v>
          </cell>
          <cell r="BQ148">
            <v>2</v>
          </cell>
          <cell r="BR148">
            <v>1</v>
          </cell>
          <cell r="BS148">
            <v>1</v>
          </cell>
          <cell r="BT148">
            <v>4</v>
          </cell>
          <cell r="BU148">
            <v>-0.5</v>
          </cell>
          <cell r="BV148">
            <v>0.4</v>
          </cell>
          <cell r="BW148">
            <v>0.2</v>
          </cell>
          <cell r="BX148">
            <v>0.6667</v>
          </cell>
          <cell r="BY148">
            <v>-0.3333</v>
          </cell>
          <cell r="BZ148">
            <v>0</v>
          </cell>
          <cell r="CA148">
            <v>0</v>
          </cell>
          <cell r="CB148" t="str">
            <v>持平</v>
          </cell>
          <cell r="CC148">
            <v>0</v>
          </cell>
          <cell r="CD148" t="str">
            <v>持平</v>
          </cell>
          <cell r="CE148" t="str">
            <v/>
          </cell>
          <cell r="CF148" t="str">
            <v/>
          </cell>
          <cell r="CG148">
            <v>6</v>
          </cell>
          <cell r="CH148">
            <v>3</v>
          </cell>
          <cell r="CI148">
            <v>1</v>
          </cell>
          <cell r="CJ148">
            <v>3</v>
          </cell>
          <cell r="CK148">
            <v>1</v>
          </cell>
          <cell r="CL148">
            <v>120</v>
          </cell>
          <cell r="CM148">
            <v>60</v>
          </cell>
          <cell r="CN148">
            <v>1</v>
          </cell>
          <cell r="CO148">
            <v>1</v>
          </cell>
          <cell r="CP148">
            <v>2</v>
          </cell>
          <cell r="CQ148">
            <v>-0.5</v>
          </cell>
          <cell r="CR148">
            <v>1</v>
          </cell>
          <cell r="CS148">
            <v>0</v>
          </cell>
          <cell r="CT148">
            <v>0.1667</v>
          </cell>
          <cell r="CU148">
            <v>-0.5</v>
          </cell>
          <cell r="CV148">
            <v>20</v>
          </cell>
          <cell r="CW148">
            <v>-20</v>
          </cell>
          <cell r="CX148">
            <v>-0.5</v>
          </cell>
          <cell r="CY148">
            <v>3</v>
          </cell>
          <cell r="CZ148">
            <v>2</v>
          </cell>
          <cell r="DA148">
            <v>0.5</v>
          </cell>
          <cell r="DB148">
            <v>3</v>
          </cell>
          <cell r="DC148">
            <v>0</v>
          </cell>
          <cell r="DD148">
            <v>0.5</v>
          </cell>
          <cell r="DE148">
            <v>-0.1667</v>
          </cell>
          <cell r="DF148">
            <v>60</v>
          </cell>
          <cell r="DG148">
            <v>20</v>
          </cell>
          <cell r="DH148">
            <v>0.5</v>
          </cell>
          <cell r="DI148">
            <v>3</v>
          </cell>
          <cell r="DJ148">
            <v>3</v>
          </cell>
          <cell r="DK148">
            <v>0</v>
          </cell>
          <cell r="DL148">
            <v>2</v>
          </cell>
          <cell r="DM148">
            <v>0.5</v>
          </cell>
          <cell r="DN148">
            <v>2</v>
          </cell>
          <cell r="DO148">
            <v>0</v>
          </cell>
          <cell r="DP148" t="str">
            <v>多2人</v>
          </cell>
          <cell r="DQ148">
            <v>2</v>
          </cell>
          <cell r="DR148">
            <v>0</v>
          </cell>
          <cell r="DS148">
            <v>2</v>
          </cell>
          <cell r="DT148">
            <v>0</v>
          </cell>
          <cell r="DU148" t="str">
            <v>多2人</v>
          </cell>
          <cell r="DV148">
            <v>2</v>
          </cell>
          <cell r="DW148">
            <v>0</v>
          </cell>
          <cell r="DX148">
            <v>2</v>
          </cell>
          <cell r="DY148">
            <v>1</v>
          </cell>
          <cell r="DZ148">
            <v>1</v>
          </cell>
          <cell r="EA148">
            <v>2</v>
          </cell>
          <cell r="EB148">
            <v>0</v>
          </cell>
          <cell r="EC148">
            <v>1</v>
          </cell>
          <cell r="ED148">
            <v>1</v>
          </cell>
          <cell r="EE148">
            <v>0</v>
          </cell>
          <cell r="EF148">
            <v>1</v>
          </cell>
          <cell r="EG148">
            <v>0</v>
          </cell>
          <cell r="EH148">
            <v>1</v>
          </cell>
          <cell r="EI148">
            <v>0.5</v>
          </cell>
          <cell r="EJ148">
            <v>20</v>
          </cell>
          <cell r="EK148">
            <v>0</v>
          </cell>
          <cell r="EL148">
            <v>0</v>
          </cell>
          <cell r="EM148">
            <v>1</v>
          </cell>
          <cell r="EN148">
            <v>1</v>
          </cell>
          <cell r="EO148">
            <v>0</v>
          </cell>
          <cell r="EP148">
            <v>1</v>
          </cell>
          <cell r="EQ148">
            <v>0</v>
          </cell>
          <cell r="ER148">
            <v>2</v>
          </cell>
          <cell r="ES148">
            <v>1</v>
          </cell>
          <cell r="ET148">
            <v>1</v>
          </cell>
          <cell r="EU148">
            <v>5</v>
          </cell>
          <cell r="EV148">
            <v>-0.6</v>
          </cell>
          <cell r="EW148">
            <v>2</v>
          </cell>
          <cell r="EX148">
            <v>1.5</v>
          </cell>
          <cell r="EY148">
            <v>40</v>
          </cell>
          <cell r="EZ148">
            <v>20</v>
          </cell>
          <cell r="FA148">
            <v>1</v>
          </cell>
        </row>
        <row r="149">
          <cell r="A149" t="str">
            <v>八类</v>
          </cell>
          <cell r="B149" t="str">
            <v>郁南县</v>
          </cell>
        </row>
        <row r="149">
          <cell r="AM149">
            <v>5</v>
          </cell>
          <cell r="AN149">
            <v>0</v>
          </cell>
          <cell r="AO149" t="str">
            <v>多5起</v>
          </cell>
          <cell r="AP149">
            <v>1</v>
          </cell>
          <cell r="AQ149">
            <v>4</v>
          </cell>
          <cell r="AR149">
            <v>1</v>
          </cell>
          <cell r="AS149" t="str">
            <v/>
          </cell>
          <cell r="AT149">
            <v>3</v>
          </cell>
          <cell r="AU149">
            <v>0</v>
          </cell>
          <cell r="AV149" t="str">
            <v>多3起</v>
          </cell>
          <cell r="AW149">
            <v>1</v>
          </cell>
          <cell r="AX149">
            <v>2</v>
          </cell>
          <cell r="AY149">
            <v>3</v>
          </cell>
          <cell r="AZ149">
            <v>0</v>
          </cell>
          <cell r="BA149" t="str">
            <v>多3起</v>
          </cell>
          <cell r="BB149">
            <v>1</v>
          </cell>
          <cell r="BC149">
            <v>2</v>
          </cell>
          <cell r="BD149">
            <v>1</v>
          </cell>
          <cell r="BE149" t="str">
            <v/>
          </cell>
          <cell r="BF149">
            <v>2</v>
          </cell>
          <cell r="BG149">
            <v>0</v>
          </cell>
          <cell r="BH149" t="str">
            <v>多2起</v>
          </cell>
          <cell r="BI149">
            <v>0</v>
          </cell>
          <cell r="BJ149" t="str">
            <v>多2起</v>
          </cell>
          <cell r="BK149">
            <v>0.4</v>
          </cell>
          <cell r="BL149">
            <v>2</v>
          </cell>
          <cell r="BM149">
            <v>0</v>
          </cell>
          <cell r="BN149" t="str">
            <v>多2起</v>
          </cell>
          <cell r="BO149">
            <v>0</v>
          </cell>
          <cell r="BP149" t="str">
            <v>多2起</v>
          </cell>
          <cell r="BQ149">
            <v>0</v>
          </cell>
          <cell r="BR149">
            <v>0</v>
          </cell>
          <cell r="BS149" t="str">
            <v>持平</v>
          </cell>
          <cell r="BT149">
            <v>1</v>
          </cell>
          <cell r="BU149" t="str">
            <v>少1起</v>
          </cell>
          <cell r="BV149">
            <v>0</v>
          </cell>
          <cell r="BW149" t="str">
            <v/>
          </cell>
          <cell r="BX149">
            <v>0</v>
          </cell>
          <cell r="BY149" t="str">
            <v/>
          </cell>
          <cell r="BZ149">
            <v>0</v>
          </cell>
          <cell r="CA149">
            <v>0</v>
          </cell>
          <cell r="CB149" t="str">
            <v>持平</v>
          </cell>
          <cell r="CC149">
            <v>0</v>
          </cell>
          <cell r="CD149" t="str">
            <v>持平</v>
          </cell>
          <cell r="CE149" t="str">
            <v/>
          </cell>
          <cell r="CF149" t="str">
            <v/>
          </cell>
          <cell r="CG149">
            <v>7</v>
          </cell>
          <cell r="CH149">
            <v>0</v>
          </cell>
          <cell r="CI149" t="str">
            <v>多7人</v>
          </cell>
          <cell r="CJ149">
            <v>0</v>
          </cell>
          <cell r="CK149" t="str">
            <v>多7人</v>
          </cell>
          <cell r="CL149">
            <v>140</v>
          </cell>
          <cell r="CM149" t="str">
            <v/>
          </cell>
          <cell r="CN149" t="str">
            <v/>
          </cell>
          <cell r="CO149">
            <v>5</v>
          </cell>
          <cell r="CP149">
            <v>0</v>
          </cell>
          <cell r="CQ149" t="str">
            <v>多5人</v>
          </cell>
          <cell r="CR149">
            <v>3</v>
          </cell>
          <cell r="CS149">
            <v>0.6667</v>
          </cell>
          <cell r="CT149">
            <v>0.7143</v>
          </cell>
          <cell r="CU149" t="str">
            <v/>
          </cell>
          <cell r="CV149">
            <v>100</v>
          </cell>
          <cell r="CW149" t="str">
            <v/>
          </cell>
          <cell r="CX149" t="str">
            <v/>
          </cell>
          <cell r="CY149">
            <v>6</v>
          </cell>
          <cell r="CZ149">
            <v>0</v>
          </cell>
          <cell r="DA149" t="str">
            <v>多6人</v>
          </cell>
          <cell r="DB149">
            <v>3</v>
          </cell>
          <cell r="DC149">
            <v>1</v>
          </cell>
          <cell r="DD149">
            <v>0.8571</v>
          </cell>
          <cell r="DE149" t="str">
            <v/>
          </cell>
          <cell r="DF149">
            <v>120</v>
          </cell>
          <cell r="DG149" t="str">
            <v/>
          </cell>
          <cell r="DH149" t="str">
            <v/>
          </cell>
          <cell r="DI149">
            <v>8</v>
          </cell>
          <cell r="DJ149">
            <v>0</v>
          </cell>
          <cell r="DK149" t="str">
            <v>多8人</v>
          </cell>
          <cell r="DL149">
            <v>1</v>
          </cell>
          <cell r="DM149">
            <v>7</v>
          </cell>
          <cell r="DN149">
            <v>1</v>
          </cell>
          <cell r="DO149">
            <v>0</v>
          </cell>
          <cell r="DP149" t="str">
            <v>多1人</v>
          </cell>
          <cell r="DQ149">
            <v>0</v>
          </cell>
          <cell r="DR149" t="str">
            <v>多1人</v>
          </cell>
          <cell r="DS149">
            <v>1</v>
          </cell>
          <cell r="DT149">
            <v>0</v>
          </cell>
          <cell r="DU149" t="str">
            <v>多1人</v>
          </cell>
          <cell r="DV149">
            <v>0</v>
          </cell>
          <cell r="DW149" t="str">
            <v>多1人</v>
          </cell>
          <cell r="DX149">
            <v>5</v>
          </cell>
          <cell r="DY149">
            <v>0</v>
          </cell>
          <cell r="DZ149" t="str">
            <v>多5人</v>
          </cell>
          <cell r="EA149">
            <v>5</v>
          </cell>
          <cell r="EB149">
            <v>0</v>
          </cell>
          <cell r="EC149">
            <v>1</v>
          </cell>
          <cell r="ED149">
            <v>0</v>
          </cell>
          <cell r="EE149" t="str">
            <v>多1人</v>
          </cell>
          <cell r="EF149">
            <v>5</v>
          </cell>
          <cell r="EG149">
            <v>-0.8</v>
          </cell>
          <cell r="EH149">
            <v>0.2</v>
          </cell>
          <cell r="EI149" t="str">
            <v/>
          </cell>
          <cell r="EJ149">
            <v>20</v>
          </cell>
          <cell r="EK149" t="str">
            <v/>
          </cell>
          <cell r="EL149" t="str">
            <v/>
          </cell>
          <cell r="EM149">
            <v>1</v>
          </cell>
          <cell r="EN149">
            <v>0</v>
          </cell>
          <cell r="EO149" t="str">
            <v>多1人</v>
          </cell>
          <cell r="EP149">
            <v>5</v>
          </cell>
          <cell r="EQ149">
            <v>-0.8</v>
          </cell>
          <cell r="ER149">
            <v>0</v>
          </cell>
          <cell r="ES149">
            <v>0</v>
          </cell>
          <cell r="ET149" t="str">
            <v>持平</v>
          </cell>
          <cell r="EU149">
            <v>1</v>
          </cell>
          <cell r="EV149" t="str">
            <v>少1人</v>
          </cell>
          <cell r="EW149">
            <v>0</v>
          </cell>
          <cell r="EX149" t="str">
            <v/>
          </cell>
          <cell r="EY149">
            <v>0</v>
          </cell>
          <cell r="EZ149" t="str">
            <v/>
          </cell>
          <cell r="FA149" t="str">
            <v/>
          </cell>
        </row>
        <row r="150">
          <cell r="A150" t="str">
            <v>八类</v>
          </cell>
          <cell r="B150" t="str">
            <v>罗定市</v>
          </cell>
        </row>
        <row r="150">
          <cell r="AM150">
            <v>6</v>
          </cell>
          <cell r="AN150">
            <v>4</v>
          </cell>
          <cell r="AO150">
            <v>0.5</v>
          </cell>
          <cell r="AP150">
            <v>10</v>
          </cell>
          <cell r="AQ150">
            <v>-0.4</v>
          </cell>
          <cell r="AR150">
            <v>0.75</v>
          </cell>
          <cell r="AS150">
            <v>-0.05</v>
          </cell>
          <cell r="AT150">
            <v>4</v>
          </cell>
          <cell r="AU150">
            <v>3</v>
          </cell>
          <cell r="AV150">
            <v>0.3333</v>
          </cell>
          <cell r="AW150">
            <v>7</v>
          </cell>
          <cell r="AX150">
            <v>-0.4286</v>
          </cell>
          <cell r="AY150">
            <v>2</v>
          </cell>
          <cell r="AZ150">
            <v>3</v>
          </cell>
          <cell r="BA150">
            <v>-0.3333</v>
          </cell>
          <cell r="BB150">
            <v>8</v>
          </cell>
          <cell r="BC150">
            <v>-0.75</v>
          </cell>
          <cell r="BD150">
            <v>0.5</v>
          </cell>
          <cell r="BE150">
            <v>-0.5</v>
          </cell>
          <cell r="BF150">
            <v>4</v>
          </cell>
          <cell r="BG150">
            <v>2</v>
          </cell>
          <cell r="BH150">
            <v>1</v>
          </cell>
          <cell r="BI150">
            <v>0</v>
          </cell>
          <cell r="BJ150" t="str">
            <v>多4起</v>
          </cell>
          <cell r="BK150">
            <v>0.5</v>
          </cell>
          <cell r="BL150">
            <v>4</v>
          </cell>
          <cell r="BM150">
            <v>1</v>
          </cell>
          <cell r="BN150">
            <v>3</v>
          </cell>
          <cell r="BO150">
            <v>2</v>
          </cell>
          <cell r="BP150">
            <v>1</v>
          </cell>
          <cell r="BQ150">
            <v>5</v>
          </cell>
          <cell r="BR150">
            <v>2</v>
          </cell>
          <cell r="BS150">
            <v>1.5</v>
          </cell>
          <cell r="BT150">
            <v>8</v>
          </cell>
          <cell r="BU150">
            <v>-0.375</v>
          </cell>
          <cell r="BV150">
            <v>0.625</v>
          </cell>
          <cell r="BW150">
            <v>0.225</v>
          </cell>
          <cell r="BX150">
            <v>1.25</v>
          </cell>
          <cell r="BY150">
            <v>0.5833</v>
          </cell>
          <cell r="BZ150">
            <v>0</v>
          </cell>
          <cell r="CA150">
            <v>0</v>
          </cell>
          <cell r="CB150" t="str">
            <v>持平</v>
          </cell>
          <cell r="CC150">
            <v>0</v>
          </cell>
          <cell r="CD150" t="str">
            <v>持平</v>
          </cell>
          <cell r="CE150" t="str">
            <v/>
          </cell>
          <cell r="CF150" t="str">
            <v/>
          </cell>
          <cell r="CG150">
            <v>10</v>
          </cell>
          <cell r="CH150">
            <v>16</v>
          </cell>
          <cell r="CI150">
            <v>-0.375</v>
          </cell>
          <cell r="CJ150">
            <v>4</v>
          </cell>
          <cell r="CK150">
            <v>1.5</v>
          </cell>
          <cell r="CL150">
            <v>125</v>
          </cell>
          <cell r="CM150">
            <v>-195</v>
          </cell>
          <cell r="CN150">
            <v>-0.6094</v>
          </cell>
          <cell r="CO150">
            <v>7</v>
          </cell>
          <cell r="CP150">
            <v>4</v>
          </cell>
          <cell r="CQ150">
            <v>0.75</v>
          </cell>
          <cell r="CR150">
            <v>7</v>
          </cell>
          <cell r="CS150">
            <v>0</v>
          </cell>
          <cell r="CT150">
            <v>0.7</v>
          </cell>
          <cell r="CU150">
            <v>0.45</v>
          </cell>
          <cell r="CV150">
            <v>88</v>
          </cell>
          <cell r="CW150">
            <v>8</v>
          </cell>
          <cell r="CX150">
            <v>0.0937</v>
          </cell>
          <cell r="CY150">
            <v>7</v>
          </cell>
          <cell r="CZ150">
            <v>5</v>
          </cell>
          <cell r="DA150">
            <v>0.4</v>
          </cell>
          <cell r="DB150">
            <v>7</v>
          </cell>
          <cell r="DC150">
            <v>0</v>
          </cell>
          <cell r="DD150">
            <v>0.7</v>
          </cell>
          <cell r="DE150">
            <v>0.3875</v>
          </cell>
          <cell r="DF150">
            <v>88</v>
          </cell>
          <cell r="DG150">
            <v>-13</v>
          </cell>
          <cell r="DH150">
            <v>-0.125</v>
          </cell>
          <cell r="DI150">
            <v>6</v>
          </cell>
          <cell r="DJ150">
            <v>0</v>
          </cell>
          <cell r="DK150" t="str">
            <v>多6人</v>
          </cell>
          <cell r="DL150">
            <v>7</v>
          </cell>
          <cell r="DM150">
            <v>-0.1429</v>
          </cell>
          <cell r="DN150">
            <v>1</v>
          </cell>
          <cell r="DO150">
            <v>1</v>
          </cell>
          <cell r="DP150">
            <v>0</v>
          </cell>
          <cell r="DQ150">
            <v>3</v>
          </cell>
          <cell r="DR150">
            <v>-0.6667</v>
          </cell>
          <cell r="DS150">
            <v>1</v>
          </cell>
          <cell r="DT150">
            <v>1</v>
          </cell>
          <cell r="DU150">
            <v>0</v>
          </cell>
          <cell r="DV150">
            <v>3</v>
          </cell>
          <cell r="DW150">
            <v>-0.6667</v>
          </cell>
          <cell r="DX150">
            <v>7</v>
          </cell>
          <cell r="DY150">
            <v>3</v>
          </cell>
          <cell r="DZ150">
            <v>1.3333</v>
          </cell>
          <cell r="EA150">
            <v>9</v>
          </cell>
          <cell r="EB150">
            <v>-0.2222</v>
          </cell>
          <cell r="EC150">
            <v>7</v>
          </cell>
          <cell r="ED150">
            <v>3</v>
          </cell>
          <cell r="EE150">
            <v>1.3333</v>
          </cell>
          <cell r="EF150">
            <v>6</v>
          </cell>
          <cell r="EG150">
            <v>0.1667</v>
          </cell>
          <cell r="EH150">
            <v>1</v>
          </cell>
          <cell r="EI150">
            <v>0.25</v>
          </cell>
          <cell r="EJ150">
            <v>88</v>
          </cell>
          <cell r="EK150">
            <v>28</v>
          </cell>
          <cell r="EL150">
            <v>0.4583</v>
          </cell>
          <cell r="EM150">
            <v>7</v>
          </cell>
          <cell r="EN150">
            <v>3</v>
          </cell>
          <cell r="EO150">
            <v>1.3333</v>
          </cell>
          <cell r="EP150">
            <v>6</v>
          </cell>
          <cell r="EQ150">
            <v>0.1667</v>
          </cell>
          <cell r="ER150">
            <v>5</v>
          </cell>
          <cell r="ES150">
            <v>2</v>
          </cell>
          <cell r="ET150">
            <v>1.5</v>
          </cell>
          <cell r="EU150">
            <v>9</v>
          </cell>
          <cell r="EV150">
            <v>-0.4444</v>
          </cell>
          <cell r="EW150">
            <v>0.7143</v>
          </cell>
          <cell r="EX150">
            <v>0.2143</v>
          </cell>
          <cell r="EY150">
            <v>63</v>
          </cell>
          <cell r="EZ150">
            <v>23</v>
          </cell>
          <cell r="FA150">
            <v>0.5625</v>
          </cell>
        </row>
        <row r="151">
          <cell r="A151" t="str">
            <v>故意伤害</v>
          </cell>
          <cell r="B151" t="str">
            <v>全省</v>
          </cell>
        </row>
        <row r="151">
          <cell r="AM151">
            <v>905</v>
          </cell>
          <cell r="AN151">
            <v>632</v>
          </cell>
          <cell r="AO151">
            <v>0.432</v>
          </cell>
          <cell r="AP151">
            <v>1145</v>
          </cell>
          <cell r="AQ151">
            <v>-0.2096</v>
          </cell>
          <cell r="AR151">
            <v>0.9628</v>
          </cell>
          <cell r="AS151">
            <v>0.1473</v>
          </cell>
          <cell r="AT151">
            <v>597</v>
          </cell>
          <cell r="AU151">
            <v>483</v>
          </cell>
          <cell r="AV151">
            <v>0.236</v>
          </cell>
          <cell r="AW151">
            <v>952</v>
          </cell>
          <cell r="AX151">
            <v>-0.3729</v>
          </cell>
          <cell r="AY151">
            <v>548</v>
          </cell>
          <cell r="AZ151">
            <v>401</v>
          </cell>
          <cell r="BA151">
            <v>0.3666</v>
          </cell>
          <cell r="BB151">
            <v>1037</v>
          </cell>
          <cell r="BC151">
            <v>-0.4716</v>
          </cell>
          <cell r="BD151">
            <v>0.9179</v>
          </cell>
          <cell r="BE151">
            <v>0.0877</v>
          </cell>
          <cell r="BF151">
            <v>343</v>
          </cell>
          <cell r="BG151">
            <v>292</v>
          </cell>
          <cell r="BH151">
            <v>0.1747</v>
          </cell>
          <cell r="BI151">
            <v>16</v>
          </cell>
          <cell r="BJ151">
            <v>20.4375</v>
          </cell>
          <cell r="BK151">
            <v>0.3649</v>
          </cell>
          <cell r="BL151">
            <v>357</v>
          </cell>
          <cell r="BM151">
            <v>231</v>
          </cell>
          <cell r="BN151">
            <v>0.5455</v>
          </cell>
          <cell r="BO151">
            <v>108</v>
          </cell>
          <cell r="BP151">
            <v>2.3056</v>
          </cell>
          <cell r="BQ151">
            <v>578</v>
          </cell>
          <cell r="BR151">
            <v>434</v>
          </cell>
          <cell r="BS151">
            <v>0.3318</v>
          </cell>
          <cell r="BT151">
            <v>1006</v>
          </cell>
          <cell r="BU151">
            <v>-0.4254</v>
          </cell>
          <cell r="BV151">
            <v>0.6149</v>
          </cell>
          <cell r="BW151">
            <v>0.0549</v>
          </cell>
          <cell r="BX151">
            <v>0.9682</v>
          </cell>
          <cell r="BY151">
            <v>0.0696</v>
          </cell>
          <cell r="BZ151">
            <v>1</v>
          </cell>
          <cell r="CA151">
            <v>2</v>
          </cell>
          <cell r="CB151">
            <v>-0.5</v>
          </cell>
          <cell r="CC151">
            <v>10</v>
          </cell>
          <cell r="CD151">
            <v>-0.9</v>
          </cell>
          <cell r="CE151" t="str">
            <v/>
          </cell>
          <cell r="CF151" t="str">
            <v/>
          </cell>
          <cell r="CG151">
            <v>1090</v>
          </cell>
          <cell r="CH151">
            <v>1039</v>
          </cell>
          <cell r="CI151">
            <v>0.0491</v>
          </cell>
          <cell r="CJ151">
            <v>1375</v>
          </cell>
          <cell r="CK151">
            <v>-0.2073</v>
          </cell>
          <cell r="CL151">
            <v>116</v>
          </cell>
          <cell r="CM151">
            <v>-18</v>
          </cell>
          <cell r="CN151">
            <v>-0.1351</v>
          </cell>
          <cell r="CO151">
            <v>758</v>
          </cell>
          <cell r="CP151">
            <v>441</v>
          </cell>
          <cell r="CQ151">
            <v>0.7188</v>
          </cell>
          <cell r="CR151">
            <v>858</v>
          </cell>
          <cell r="CS151">
            <v>-0.1166</v>
          </cell>
          <cell r="CT151">
            <v>0.6954</v>
          </cell>
          <cell r="CU151">
            <v>0.271</v>
          </cell>
          <cell r="CV151">
            <v>81</v>
          </cell>
          <cell r="CW151">
            <v>24</v>
          </cell>
          <cell r="CX151">
            <v>0.4171</v>
          </cell>
          <cell r="CY151">
            <v>1017</v>
          </cell>
          <cell r="CZ151">
            <v>738</v>
          </cell>
          <cell r="DA151">
            <v>0.378</v>
          </cell>
          <cell r="DB151">
            <v>1208</v>
          </cell>
          <cell r="DC151">
            <v>-0.1581</v>
          </cell>
          <cell r="DD151">
            <v>0.933</v>
          </cell>
          <cell r="DE151">
            <v>0.2227</v>
          </cell>
          <cell r="DF151">
            <v>108</v>
          </cell>
          <cell r="DG151">
            <v>13</v>
          </cell>
          <cell r="DH151">
            <v>0.1362</v>
          </cell>
          <cell r="DI151">
            <v>1014</v>
          </cell>
          <cell r="DJ151">
            <v>736</v>
          </cell>
          <cell r="DK151">
            <v>0.3777</v>
          </cell>
          <cell r="DL151">
            <v>1169</v>
          </cell>
          <cell r="DM151">
            <v>-0.1326</v>
          </cell>
          <cell r="DN151">
            <v>768</v>
          </cell>
          <cell r="DO151">
            <v>627</v>
          </cell>
          <cell r="DP151">
            <v>0.2249</v>
          </cell>
          <cell r="DQ151">
            <v>922</v>
          </cell>
          <cell r="DR151">
            <v>-0.167</v>
          </cell>
          <cell r="DS151">
            <v>770</v>
          </cell>
          <cell r="DT151">
            <v>627</v>
          </cell>
          <cell r="DU151">
            <v>0.2281</v>
          </cell>
          <cell r="DV151">
            <v>923</v>
          </cell>
          <cell r="DW151">
            <v>-0.1658</v>
          </cell>
          <cell r="DX151">
            <v>801</v>
          </cell>
          <cell r="DY151">
            <v>612</v>
          </cell>
          <cell r="DZ151">
            <v>0.3088</v>
          </cell>
          <cell r="EA151">
            <v>947</v>
          </cell>
          <cell r="EB151">
            <v>-0.1542</v>
          </cell>
          <cell r="EC151">
            <v>376</v>
          </cell>
          <cell r="ED151">
            <v>387</v>
          </cell>
          <cell r="EE151">
            <v>-0.0284</v>
          </cell>
          <cell r="EF151">
            <v>481</v>
          </cell>
          <cell r="EG151">
            <v>-0.2183</v>
          </cell>
          <cell r="EH151">
            <v>0.496</v>
          </cell>
          <cell r="EI151">
            <v>-0.3815</v>
          </cell>
          <cell r="EJ151">
            <v>40</v>
          </cell>
          <cell r="EK151">
            <v>-10</v>
          </cell>
          <cell r="EL151">
            <v>-0.199</v>
          </cell>
          <cell r="EM151">
            <v>391</v>
          </cell>
          <cell r="EN151">
            <v>386</v>
          </cell>
          <cell r="EO151">
            <v>0.013</v>
          </cell>
          <cell r="EP151">
            <v>495</v>
          </cell>
          <cell r="EQ151">
            <v>-0.2101</v>
          </cell>
          <cell r="ER151">
            <v>746</v>
          </cell>
          <cell r="ES151">
            <v>498</v>
          </cell>
          <cell r="ET151">
            <v>0.498</v>
          </cell>
          <cell r="EU151">
            <v>1177</v>
          </cell>
          <cell r="EV151">
            <v>-0.3662</v>
          </cell>
          <cell r="EW151">
            <v>0.9842</v>
          </cell>
          <cell r="EX151">
            <v>-0.1451</v>
          </cell>
          <cell r="EY151">
            <v>79</v>
          </cell>
          <cell r="EZ151">
            <v>15</v>
          </cell>
          <cell r="FA151">
            <v>0.235</v>
          </cell>
        </row>
        <row r="152">
          <cell r="A152" t="str">
            <v>故意伤害</v>
          </cell>
          <cell r="B152" t="str">
            <v>云浮</v>
          </cell>
        </row>
        <row r="152">
          <cell r="AM152">
            <v>9</v>
          </cell>
          <cell r="AN152">
            <v>4</v>
          </cell>
          <cell r="AO152">
            <v>1.25</v>
          </cell>
          <cell r="AP152">
            <v>13</v>
          </cell>
          <cell r="AQ152">
            <v>-0.3077</v>
          </cell>
          <cell r="AR152">
            <v>0.9</v>
          </cell>
          <cell r="AS152">
            <v>0.4</v>
          </cell>
          <cell r="AT152">
            <v>6</v>
          </cell>
          <cell r="AU152">
            <v>4</v>
          </cell>
          <cell r="AV152">
            <v>0.5</v>
          </cell>
          <cell r="AW152">
            <v>9</v>
          </cell>
          <cell r="AX152">
            <v>-0.3333</v>
          </cell>
          <cell r="AY152">
            <v>5</v>
          </cell>
          <cell r="AZ152">
            <v>3</v>
          </cell>
          <cell r="BA152">
            <v>0.6667</v>
          </cell>
          <cell r="BB152">
            <v>12</v>
          </cell>
          <cell r="BC152">
            <v>-0.5833</v>
          </cell>
          <cell r="BD152">
            <v>0.8333</v>
          </cell>
          <cell r="BE152">
            <v>0.0833</v>
          </cell>
          <cell r="BF152">
            <v>4</v>
          </cell>
          <cell r="BG152">
            <v>4</v>
          </cell>
          <cell r="BH152">
            <v>0</v>
          </cell>
          <cell r="BI152">
            <v>0</v>
          </cell>
          <cell r="BJ152" t="str">
            <v>多4起</v>
          </cell>
          <cell r="BK152">
            <v>0.4</v>
          </cell>
          <cell r="BL152">
            <v>4</v>
          </cell>
          <cell r="BM152">
            <v>1</v>
          </cell>
          <cell r="BN152">
            <v>3</v>
          </cell>
          <cell r="BO152">
            <v>1</v>
          </cell>
          <cell r="BP152">
            <v>3</v>
          </cell>
          <cell r="BQ152">
            <v>8</v>
          </cell>
          <cell r="BR152">
            <v>3</v>
          </cell>
          <cell r="BS152">
            <v>1.6667</v>
          </cell>
          <cell r="BT152">
            <v>8</v>
          </cell>
          <cell r="BU152">
            <v>0</v>
          </cell>
          <cell r="BV152">
            <v>0.8</v>
          </cell>
          <cell r="BW152">
            <v>0.425</v>
          </cell>
          <cell r="BX152">
            <v>1.3333</v>
          </cell>
          <cell r="BY152">
            <v>0.5833</v>
          </cell>
          <cell r="BZ152">
            <v>0</v>
          </cell>
          <cell r="CA152">
            <v>0</v>
          </cell>
          <cell r="CB152" t="str">
            <v>持平</v>
          </cell>
          <cell r="CC152">
            <v>0</v>
          </cell>
          <cell r="CD152" t="str">
            <v>持平</v>
          </cell>
          <cell r="CE152" t="str">
            <v/>
          </cell>
          <cell r="CF152" t="str">
            <v/>
          </cell>
          <cell r="CG152">
            <v>15</v>
          </cell>
          <cell r="CH152">
            <v>14</v>
          </cell>
          <cell r="CI152">
            <v>0.0714</v>
          </cell>
          <cell r="CJ152">
            <v>5</v>
          </cell>
          <cell r="CK152">
            <v>2</v>
          </cell>
          <cell r="CL152">
            <v>150</v>
          </cell>
          <cell r="CM152">
            <v>-25</v>
          </cell>
          <cell r="CN152">
            <v>-0.1429</v>
          </cell>
          <cell r="CO152">
            <v>5</v>
          </cell>
          <cell r="CP152">
            <v>5</v>
          </cell>
          <cell r="CQ152">
            <v>0</v>
          </cell>
          <cell r="CR152">
            <v>7</v>
          </cell>
          <cell r="CS152">
            <v>-0.2857</v>
          </cell>
          <cell r="CT152">
            <v>0.3333</v>
          </cell>
          <cell r="CU152">
            <v>-0.0238</v>
          </cell>
          <cell r="CV152">
            <v>50</v>
          </cell>
          <cell r="CW152">
            <v>-13</v>
          </cell>
          <cell r="CX152">
            <v>-0.2</v>
          </cell>
          <cell r="CY152">
            <v>7</v>
          </cell>
          <cell r="CZ152">
            <v>6</v>
          </cell>
          <cell r="DA152">
            <v>0.1667</v>
          </cell>
          <cell r="DB152">
            <v>10</v>
          </cell>
          <cell r="DC152">
            <v>-0.3</v>
          </cell>
          <cell r="DD152">
            <v>0.4667</v>
          </cell>
          <cell r="DE152">
            <v>0.0381</v>
          </cell>
          <cell r="DF152">
            <v>70</v>
          </cell>
          <cell r="DG152">
            <v>-5</v>
          </cell>
          <cell r="DH152">
            <v>-0.0667</v>
          </cell>
          <cell r="DI152">
            <v>6</v>
          </cell>
          <cell r="DJ152">
            <v>6</v>
          </cell>
          <cell r="DK152">
            <v>0</v>
          </cell>
          <cell r="DL152">
            <v>9</v>
          </cell>
          <cell r="DM152">
            <v>-0.3333</v>
          </cell>
          <cell r="DN152">
            <v>4</v>
          </cell>
          <cell r="DO152">
            <v>1</v>
          </cell>
          <cell r="DP152">
            <v>3</v>
          </cell>
          <cell r="DQ152">
            <v>6</v>
          </cell>
          <cell r="DR152">
            <v>-0.3333</v>
          </cell>
          <cell r="DS152">
            <v>4</v>
          </cell>
          <cell r="DT152">
            <v>1</v>
          </cell>
          <cell r="DU152">
            <v>3</v>
          </cell>
          <cell r="DV152">
            <v>6</v>
          </cell>
          <cell r="DW152">
            <v>-0.3333</v>
          </cell>
          <cell r="DX152">
            <v>8</v>
          </cell>
          <cell r="DY152">
            <v>5</v>
          </cell>
          <cell r="DZ152">
            <v>0.6</v>
          </cell>
          <cell r="EA152">
            <v>10</v>
          </cell>
          <cell r="EB152">
            <v>-0.2</v>
          </cell>
          <cell r="EC152">
            <v>8</v>
          </cell>
          <cell r="ED152">
            <v>5</v>
          </cell>
          <cell r="EE152">
            <v>0.6</v>
          </cell>
          <cell r="EF152">
            <v>5</v>
          </cell>
          <cell r="EG152">
            <v>0.6</v>
          </cell>
          <cell r="EH152">
            <v>1.6</v>
          </cell>
          <cell r="EI152">
            <v>0.6</v>
          </cell>
          <cell r="EJ152">
            <v>80</v>
          </cell>
          <cell r="EK152">
            <v>18</v>
          </cell>
          <cell r="EL152">
            <v>0.28</v>
          </cell>
          <cell r="EM152">
            <v>8</v>
          </cell>
          <cell r="EN152">
            <v>5</v>
          </cell>
          <cell r="EO152">
            <v>0.6</v>
          </cell>
          <cell r="EP152">
            <v>5</v>
          </cell>
          <cell r="EQ152">
            <v>0.6</v>
          </cell>
          <cell r="ER152">
            <v>8</v>
          </cell>
          <cell r="ES152">
            <v>3</v>
          </cell>
          <cell r="ET152">
            <v>1.6667</v>
          </cell>
          <cell r="EU152">
            <v>9</v>
          </cell>
          <cell r="EV152">
            <v>-0.1111</v>
          </cell>
          <cell r="EW152">
            <v>1.6</v>
          </cell>
          <cell r="EX152">
            <v>1</v>
          </cell>
          <cell r="EY152">
            <v>80</v>
          </cell>
          <cell r="EZ152">
            <v>43</v>
          </cell>
          <cell r="FA152">
            <v>1.1333</v>
          </cell>
        </row>
        <row r="153">
          <cell r="A153" t="str">
            <v>故意伤害</v>
          </cell>
          <cell r="B153" t="str">
            <v>云城区</v>
          </cell>
        </row>
        <row r="153">
          <cell r="AM153">
            <v>1</v>
          </cell>
          <cell r="AN153">
            <v>2</v>
          </cell>
          <cell r="AO153">
            <v>-0.5</v>
          </cell>
          <cell r="AP153">
            <v>2</v>
          </cell>
          <cell r="AQ153">
            <v>-0.5</v>
          </cell>
          <cell r="AR153">
            <v>1</v>
          </cell>
          <cell r="AS153">
            <v>0.3333</v>
          </cell>
          <cell r="AT153">
            <v>1</v>
          </cell>
          <cell r="AU153">
            <v>2</v>
          </cell>
          <cell r="AV153">
            <v>-0.5</v>
          </cell>
          <cell r="AW153">
            <v>2</v>
          </cell>
          <cell r="AX153">
            <v>-0.5</v>
          </cell>
          <cell r="AY153">
            <v>1</v>
          </cell>
          <cell r="AZ153">
            <v>1</v>
          </cell>
          <cell r="BA153">
            <v>0</v>
          </cell>
          <cell r="BB153">
            <v>2</v>
          </cell>
          <cell r="BC153">
            <v>-0.5</v>
          </cell>
          <cell r="BD153">
            <v>1</v>
          </cell>
          <cell r="BE153">
            <v>0.5</v>
          </cell>
          <cell r="BF153">
            <v>0</v>
          </cell>
          <cell r="BG153">
            <v>1</v>
          </cell>
          <cell r="BH153" t="str">
            <v>少1起</v>
          </cell>
          <cell r="BI153">
            <v>0</v>
          </cell>
          <cell r="BJ153" t="str">
            <v>持平</v>
          </cell>
          <cell r="BK153">
            <v>0</v>
          </cell>
          <cell r="BL153">
            <v>0</v>
          </cell>
          <cell r="BM153">
            <v>1</v>
          </cell>
          <cell r="BN153" t="str">
            <v>少1起</v>
          </cell>
          <cell r="BO153">
            <v>0</v>
          </cell>
          <cell r="BP153" t="str">
            <v>持平</v>
          </cell>
          <cell r="BQ153">
            <v>1</v>
          </cell>
          <cell r="BR153">
            <v>1</v>
          </cell>
          <cell r="BS153">
            <v>0</v>
          </cell>
          <cell r="BT153">
            <v>2</v>
          </cell>
          <cell r="BU153">
            <v>-0.5</v>
          </cell>
          <cell r="BV153">
            <v>1</v>
          </cell>
          <cell r="BW153">
            <v>0.6667</v>
          </cell>
          <cell r="BX153">
            <v>1</v>
          </cell>
          <cell r="BY153">
            <v>0.5</v>
          </cell>
          <cell r="BZ153">
            <v>0</v>
          </cell>
          <cell r="CA153">
            <v>0</v>
          </cell>
          <cell r="CB153" t="str">
            <v>持平</v>
          </cell>
          <cell r="CC153">
            <v>0</v>
          </cell>
          <cell r="CD153" t="str">
            <v>持平</v>
          </cell>
          <cell r="CE153" t="str">
            <v/>
          </cell>
          <cell r="CF153" t="str">
            <v/>
          </cell>
          <cell r="CG153">
            <v>1</v>
          </cell>
          <cell r="CH153">
            <v>2</v>
          </cell>
          <cell r="CI153">
            <v>-0.5</v>
          </cell>
          <cell r="CJ153">
            <v>1</v>
          </cell>
          <cell r="CK153">
            <v>0</v>
          </cell>
          <cell r="CL153">
            <v>100</v>
          </cell>
          <cell r="CM153">
            <v>33</v>
          </cell>
          <cell r="CN153">
            <v>0.5</v>
          </cell>
          <cell r="CO153">
            <v>1</v>
          </cell>
          <cell r="CP153">
            <v>3</v>
          </cell>
          <cell r="CQ153">
            <v>-0.6667</v>
          </cell>
          <cell r="CR153">
            <v>0</v>
          </cell>
          <cell r="CS153" t="str">
            <v>多1人</v>
          </cell>
          <cell r="CT153">
            <v>1</v>
          </cell>
          <cell r="CU153">
            <v>-0.5</v>
          </cell>
          <cell r="CV153">
            <v>100</v>
          </cell>
          <cell r="CW153">
            <v>0</v>
          </cell>
          <cell r="CX153">
            <v>0</v>
          </cell>
          <cell r="CY153">
            <v>1</v>
          </cell>
          <cell r="CZ153">
            <v>3</v>
          </cell>
          <cell r="DA153">
            <v>-0.6667</v>
          </cell>
          <cell r="DB153">
            <v>1</v>
          </cell>
          <cell r="DC153">
            <v>0</v>
          </cell>
          <cell r="DD153">
            <v>1</v>
          </cell>
          <cell r="DE153">
            <v>-0.5</v>
          </cell>
          <cell r="DF153">
            <v>100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 t="str">
            <v>持平</v>
          </cell>
          <cell r="DL153">
            <v>0</v>
          </cell>
          <cell r="DM153" t="str">
            <v>持平</v>
          </cell>
          <cell r="DN153">
            <v>0</v>
          </cell>
          <cell r="DO153">
            <v>0</v>
          </cell>
          <cell r="DP153" t="str">
            <v>持平</v>
          </cell>
          <cell r="DQ153">
            <v>1</v>
          </cell>
          <cell r="DR153" t="str">
            <v>少1人</v>
          </cell>
          <cell r="DS153">
            <v>0</v>
          </cell>
          <cell r="DT153">
            <v>0</v>
          </cell>
          <cell r="DU153" t="str">
            <v>持平</v>
          </cell>
          <cell r="DV153">
            <v>1</v>
          </cell>
          <cell r="DW153" t="str">
            <v>少1人</v>
          </cell>
          <cell r="DX153">
            <v>0</v>
          </cell>
          <cell r="DY153">
            <v>2</v>
          </cell>
          <cell r="DZ153" t="str">
            <v>少2人</v>
          </cell>
          <cell r="EA153">
            <v>1</v>
          </cell>
          <cell r="EB153" t="str">
            <v>少1人</v>
          </cell>
          <cell r="EC153">
            <v>0</v>
          </cell>
          <cell r="ED153">
            <v>2</v>
          </cell>
          <cell r="EE153" t="str">
            <v>少2人</v>
          </cell>
          <cell r="EF153">
            <v>0</v>
          </cell>
          <cell r="EG153" t="str">
            <v>持平</v>
          </cell>
          <cell r="EH153">
            <v>0</v>
          </cell>
          <cell r="EI153">
            <v>-0.6667</v>
          </cell>
          <cell r="EJ153">
            <v>0</v>
          </cell>
          <cell r="EK153">
            <v>-67</v>
          </cell>
          <cell r="EL153">
            <v>-1</v>
          </cell>
          <cell r="EM153">
            <v>0</v>
          </cell>
          <cell r="EN153">
            <v>2</v>
          </cell>
          <cell r="EO153" t="str">
            <v>少2人</v>
          </cell>
          <cell r="EP153">
            <v>0</v>
          </cell>
          <cell r="EQ153" t="str">
            <v>持平</v>
          </cell>
          <cell r="ER153">
            <v>1</v>
          </cell>
          <cell r="ES153">
            <v>1</v>
          </cell>
          <cell r="ET153">
            <v>0</v>
          </cell>
          <cell r="EU153">
            <v>2</v>
          </cell>
          <cell r="EV153">
            <v>-0.5</v>
          </cell>
          <cell r="EW153">
            <v>1</v>
          </cell>
          <cell r="EX153">
            <v>0.6667</v>
          </cell>
          <cell r="EY153">
            <v>100</v>
          </cell>
          <cell r="EZ153">
            <v>67</v>
          </cell>
          <cell r="FA153">
            <v>2</v>
          </cell>
        </row>
        <row r="154">
          <cell r="A154" t="str">
            <v>故意伤害</v>
          </cell>
          <cell r="B154" t="str">
            <v>云安区</v>
          </cell>
        </row>
        <row r="154">
          <cell r="AM154">
            <v>0</v>
          </cell>
          <cell r="AN154">
            <v>0</v>
          </cell>
          <cell r="AO154" t="str">
            <v>持平</v>
          </cell>
          <cell r="AP154">
            <v>0</v>
          </cell>
          <cell r="AQ154" t="str">
            <v>持平</v>
          </cell>
          <cell r="AR154" t="str">
            <v/>
          </cell>
          <cell r="AS154" t="str">
            <v/>
          </cell>
          <cell r="AT154">
            <v>0</v>
          </cell>
          <cell r="AU154">
            <v>0</v>
          </cell>
          <cell r="AV154" t="str">
            <v>持平</v>
          </cell>
          <cell r="AW154">
            <v>0</v>
          </cell>
          <cell r="AX154" t="str">
            <v>持平</v>
          </cell>
          <cell r="AY154">
            <v>0</v>
          </cell>
          <cell r="AZ154">
            <v>0</v>
          </cell>
          <cell r="BA154" t="str">
            <v>持平</v>
          </cell>
          <cell r="BB154">
            <v>0</v>
          </cell>
          <cell r="BC154" t="str">
            <v>持平</v>
          </cell>
          <cell r="BD154" t="str">
            <v/>
          </cell>
          <cell r="BE154" t="str">
            <v/>
          </cell>
          <cell r="BF154">
            <v>0</v>
          </cell>
          <cell r="BG154">
            <v>0</v>
          </cell>
          <cell r="BH154" t="str">
            <v>持平</v>
          </cell>
          <cell r="BI154">
            <v>0</v>
          </cell>
          <cell r="BJ154" t="str">
            <v>持平</v>
          </cell>
          <cell r="BK154" t="str">
            <v/>
          </cell>
          <cell r="BL154">
            <v>0</v>
          </cell>
          <cell r="BM154">
            <v>0</v>
          </cell>
          <cell r="BN154" t="str">
            <v>持平</v>
          </cell>
          <cell r="BO154">
            <v>0</v>
          </cell>
          <cell r="BP154" t="str">
            <v>持平</v>
          </cell>
          <cell r="BQ154">
            <v>0</v>
          </cell>
          <cell r="BR154">
            <v>0</v>
          </cell>
          <cell r="BS154" t="str">
            <v>持平</v>
          </cell>
          <cell r="BT154">
            <v>1</v>
          </cell>
          <cell r="BU154" t="str">
            <v>少1起</v>
          </cell>
          <cell r="BV154" t="str">
            <v/>
          </cell>
          <cell r="BW154" t="str">
            <v/>
          </cell>
          <cell r="BX154" t="str">
            <v/>
          </cell>
          <cell r="BY154" t="str">
            <v/>
          </cell>
          <cell r="BZ154">
            <v>0</v>
          </cell>
          <cell r="CA154">
            <v>0</v>
          </cell>
          <cell r="CB154" t="str">
            <v>持平</v>
          </cell>
          <cell r="CC154">
            <v>0</v>
          </cell>
          <cell r="CD154" t="str">
            <v>持平</v>
          </cell>
          <cell r="CE154" t="str">
            <v/>
          </cell>
          <cell r="CF154" t="str">
            <v/>
          </cell>
          <cell r="CG154">
            <v>1</v>
          </cell>
          <cell r="CH154">
            <v>0</v>
          </cell>
          <cell r="CI154" t="str">
            <v>多1人</v>
          </cell>
          <cell r="CJ154">
            <v>0</v>
          </cell>
          <cell r="CK154" t="str">
            <v>多1人</v>
          </cell>
          <cell r="CL154" t="str">
            <v/>
          </cell>
          <cell r="CM154" t="str">
            <v/>
          </cell>
          <cell r="CN154" t="str">
            <v/>
          </cell>
          <cell r="CO154">
            <v>0</v>
          </cell>
          <cell r="CP154">
            <v>0</v>
          </cell>
          <cell r="CQ154" t="str">
            <v>持平</v>
          </cell>
          <cell r="CR154">
            <v>0</v>
          </cell>
          <cell r="CS154" t="str">
            <v>持平</v>
          </cell>
          <cell r="CT154">
            <v>0</v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>
            <v>0</v>
          </cell>
          <cell r="CZ154">
            <v>0</v>
          </cell>
          <cell r="DA154" t="str">
            <v>持平</v>
          </cell>
          <cell r="DB154">
            <v>0</v>
          </cell>
          <cell r="DC154" t="str">
            <v>持平</v>
          </cell>
          <cell r="DD154">
            <v>0</v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>
            <v>0</v>
          </cell>
          <cell r="DJ154">
            <v>0</v>
          </cell>
          <cell r="DK154" t="str">
            <v>持平</v>
          </cell>
          <cell r="DL154">
            <v>0</v>
          </cell>
          <cell r="DM154" t="str">
            <v>持平</v>
          </cell>
          <cell r="DN154">
            <v>0</v>
          </cell>
          <cell r="DO154">
            <v>0</v>
          </cell>
          <cell r="DP154" t="str">
            <v>持平</v>
          </cell>
          <cell r="DQ154">
            <v>0</v>
          </cell>
          <cell r="DR154" t="str">
            <v>持平</v>
          </cell>
          <cell r="DS154">
            <v>0</v>
          </cell>
          <cell r="DT154">
            <v>0</v>
          </cell>
          <cell r="DU154" t="str">
            <v>持平</v>
          </cell>
          <cell r="DV154">
            <v>0</v>
          </cell>
          <cell r="DW154" t="str">
            <v>持平</v>
          </cell>
          <cell r="DX154">
            <v>0</v>
          </cell>
          <cell r="DY154">
            <v>0</v>
          </cell>
          <cell r="DZ154" t="str">
            <v>持平</v>
          </cell>
          <cell r="EA154">
            <v>0</v>
          </cell>
          <cell r="EB154" t="str">
            <v>持平</v>
          </cell>
          <cell r="EC154">
            <v>0</v>
          </cell>
          <cell r="ED154">
            <v>0</v>
          </cell>
          <cell r="EE154" t="str">
            <v>持平</v>
          </cell>
          <cell r="EF154">
            <v>0</v>
          </cell>
          <cell r="EG154" t="str">
            <v>持平</v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>
            <v>0</v>
          </cell>
          <cell r="EN154">
            <v>0</v>
          </cell>
          <cell r="EO154" t="str">
            <v>持平</v>
          </cell>
          <cell r="EP154">
            <v>0</v>
          </cell>
          <cell r="EQ154" t="str">
            <v>持平</v>
          </cell>
          <cell r="ER154">
            <v>0</v>
          </cell>
          <cell r="ES154">
            <v>0</v>
          </cell>
          <cell r="ET154" t="str">
            <v>持平</v>
          </cell>
          <cell r="EU154">
            <v>1</v>
          </cell>
          <cell r="EV154" t="str">
            <v>少1人</v>
          </cell>
          <cell r="EW154" t="str">
            <v/>
          </cell>
          <cell r="EX154" t="str">
            <v/>
          </cell>
          <cell r="EY154" t="str">
            <v/>
          </cell>
          <cell r="EZ154" t="str">
            <v/>
          </cell>
          <cell r="FA154" t="str">
            <v/>
          </cell>
        </row>
        <row r="155">
          <cell r="A155" t="str">
            <v>故意伤害</v>
          </cell>
          <cell r="B155" t="str">
            <v>新兴县</v>
          </cell>
        </row>
        <row r="155">
          <cell r="AM155">
            <v>2</v>
          </cell>
          <cell r="AN155">
            <v>0</v>
          </cell>
          <cell r="AO155" t="str">
            <v>多2起</v>
          </cell>
          <cell r="AP155">
            <v>4</v>
          </cell>
          <cell r="AQ155">
            <v>-0.5</v>
          </cell>
          <cell r="AR155">
            <v>1</v>
          </cell>
          <cell r="AS155">
            <v>1</v>
          </cell>
          <cell r="AT155">
            <v>2</v>
          </cell>
          <cell r="AU155">
            <v>0</v>
          </cell>
          <cell r="AV155" t="str">
            <v>多2起</v>
          </cell>
          <cell r="AW155">
            <v>2</v>
          </cell>
          <cell r="AX155">
            <v>0</v>
          </cell>
          <cell r="AY155">
            <v>2</v>
          </cell>
          <cell r="AZ155">
            <v>0</v>
          </cell>
          <cell r="BA155" t="str">
            <v>多2起</v>
          </cell>
          <cell r="BB155">
            <v>4</v>
          </cell>
          <cell r="BC155">
            <v>-0.5</v>
          </cell>
          <cell r="BD155">
            <v>1</v>
          </cell>
          <cell r="BE155" t="str">
            <v/>
          </cell>
          <cell r="BF155">
            <v>0</v>
          </cell>
          <cell r="BG155">
            <v>2</v>
          </cell>
          <cell r="BH155" t="str">
            <v>少2起</v>
          </cell>
          <cell r="BI155">
            <v>0</v>
          </cell>
          <cell r="BJ155" t="str">
            <v>持平</v>
          </cell>
          <cell r="BK155">
            <v>0</v>
          </cell>
          <cell r="BL155">
            <v>0</v>
          </cell>
          <cell r="BM155">
            <v>0</v>
          </cell>
          <cell r="BN155" t="str">
            <v>持平</v>
          </cell>
          <cell r="BO155">
            <v>0</v>
          </cell>
          <cell r="BP155" t="str">
            <v>持平</v>
          </cell>
          <cell r="BQ155">
            <v>2</v>
          </cell>
          <cell r="BR155">
            <v>1</v>
          </cell>
          <cell r="BS155">
            <v>1</v>
          </cell>
          <cell r="BT155">
            <v>2</v>
          </cell>
          <cell r="BU155">
            <v>0</v>
          </cell>
          <cell r="BV155">
            <v>1</v>
          </cell>
          <cell r="BW155">
            <v>0.5</v>
          </cell>
          <cell r="BX155">
            <v>1</v>
          </cell>
          <cell r="BY155" t="str">
            <v/>
          </cell>
          <cell r="BZ155">
            <v>0</v>
          </cell>
          <cell r="CA155">
            <v>0</v>
          </cell>
          <cell r="CB155" t="str">
            <v>持平</v>
          </cell>
          <cell r="CC155">
            <v>0</v>
          </cell>
          <cell r="CD155" t="str">
            <v>持平</v>
          </cell>
          <cell r="CE155" t="str">
            <v/>
          </cell>
          <cell r="CF155" t="str">
            <v/>
          </cell>
          <cell r="CG155">
            <v>4</v>
          </cell>
          <cell r="CH155">
            <v>1</v>
          </cell>
          <cell r="CI155">
            <v>3</v>
          </cell>
          <cell r="CJ155">
            <v>1</v>
          </cell>
          <cell r="CK155">
            <v>3</v>
          </cell>
          <cell r="CL155">
            <v>200</v>
          </cell>
          <cell r="CM155">
            <v>150</v>
          </cell>
          <cell r="CN155">
            <v>3</v>
          </cell>
          <cell r="CO155">
            <v>0</v>
          </cell>
          <cell r="CP155">
            <v>0</v>
          </cell>
          <cell r="CQ155" t="str">
            <v>持平</v>
          </cell>
          <cell r="CR155">
            <v>1</v>
          </cell>
          <cell r="CS155" t="str">
            <v>少1人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 t="str">
            <v/>
          </cell>
          <cell r="CY155">
            <v>1</v>
          </cell>
          <cell r="CZ155">
            <v>0</v>
          </cell>
          <cell r="DA155" t="str">
            <v>多1人</v>
          </cell>
          <cell r="DB155">
            <v>3</v>
          </cell>
          <cell r="DC155">
            <v>-0.6667</v>
          </cell>
          <cell r="DD155">
            <v>0.25</v>
          </cell>
          <cell r="DE155">
            <v>0.25</v>
          </cell>
          <cell r="DF155">
            <v>50</v>
          </cell>
          <cell r="DG155">
            <v>50</v>
          </cell>
          <cell r="DH155" t="str">
            <v/>
          </cell>
          <cell r="DI155">
            <v>1</v>
          </cell>
          <cell r="DJ155">
            <v>1</v>
          </cell>
          <cell r="DK155">
            <v>0</v>
          </cell>
          <cell r="DL155">
            <v>2</v>
          </cell>
          <cell r="DM155">
            <v>-0.5</v>
          </cell>
          <cell r="DN155">
            <v>2</v>
          </cell>
          <cell r="DO155">
            <v>0</v>
          </cell>
          <cell r="DP155" t="str">
            <v>多2人</v>
          </cell>
          <cell r="DQ155">
            <v>2</v>
          </cell>
          <cell r="DR155">
            <v>0</v>
          </cell>
          <cell r="DS155">
            <v>2</v>
          </cell>
          <cell r="DT155">
            <v>0</v>
          </cell>
          <cell r="DU155" t="str">
            <v>多2人</v>
          </cell>
          <cell r="DV155">
            <v>2</v>
          </cell>
          <cell r="DW155">
            <v>0</v>
          </cell>
          <cell r="DX155">
            <v>1</v>
          </cell>
          <cell r="DY155">
            <v>0</v>
          </cell>
          <cell r="DZ155" t="str">
            <v>多1人</v>
          </cell>
          <cell r="EA155">
            <v>2</v>
          </cell>
          <cell r="EB155">
            <v>-0.5</v>
          </cell>
          <cell r="EC155">
            <v>1</v>
          </cell>
          <cell r="ED155">
            <v>0</v>
          </cell>
          <cell r="EE155" t="str">
            <v>多1人</v>
          </cell>
          <cell r="EF155">
            <v>1</v>
          </cell>
          <cell r="EG155">
            <v>0</v>
          </cell>
          <cell r="EH155" t="str">
            <v/>
          </cell>
          <cell r="EI155" t="str">
            <v/>
          </cell>
          <cell r="EJ155">
            <v>50</v>
          </cell>
          <cell r="EK155">
            <v>50</v>
          </cell>
          <cell r="EL155" t="str">
            <v/>
          </cell>
          <cell r="EM155">
            <v>1</v>
          </cell>
          <cell r="EN155">
            <v>0</v>
          </cell>
          <cell r="EO155" t="str">
            <v>多1人</v>
          </cell>
          <cell r="EP155">
            <v>1</v>
          </cell>
          <cell r="EQ155">
            <v>0</v>
          </cell>
          <cell r="ER155">
            <v>2</v>
          </cell>
          <cell r="ES155">
            <v>1</v>
          </cell>
          <cell r="ET155">
            <v>1</v>
          </cell>
          <cell r="EU155">
            <v>2</v>
          </cell>
          <cell r="EV155">
            <v>0</v>
          </cell>
          <cell r="EW155" t="str">
            <v/>
          </cell>
          <cell r="EX155" t="str">
            <v/>
          </cell>
          <cell r="EY155">
            <v>100</v>
          </cell>
          <cell r="EZ155">
            <v>50</v>
          </cell>
          <cell r="FA155">
            <v>1</v>
          </cell>
        </row>
        <row r="156">
          <cell r="A156" t="str">
            <v>故意伤害</v>
          </cell>
          <cell r="B156" t="str">
            <v>郁南县</v>
          </cell>
        </row>
        <row r="156">
          <cell r="AM156">
            <v>2</v>
          </cell>
          <cell r="AN156">
            <v>0</v>
          </cell>
          <cell r="AO156" t="str">
            <v>多2起</v>
          </cell>
          <cell r="AP156">
            <v>0</v>
          </cell>
          <cell r="AQ156" t="str">
            <v>多2起</v>
          </cell>
          <cell r="AR156">
            <v>1</v>
          </cell>
          <cell r="AS156" t="str">
            <v/>
          </cell>
          <cell r="AT156">
            <v>1</v>
          </cell>
          <cell r="AU156">
            <v>0</v>
          </cell>
          <cell r="AV156" t="str">
            <v>多1起</v>
          </cell>
          <cell r="AW156">
            <v>0</v>
          </cell>
          <cell r="AX156" t="str">
            <v>多1起</v>
          </cell>
          <cell r="AY156">
            <v>1</v>
          </cell>
          <cell r="AZ156">
            <v>0</v>
          </cell>
          <cell r="BA156" t="str">
            <v>多1起</v>
          </cell>
          <cell r="BB156">
            <v>0</v>
          </cell>
          <cell r="BC156" t="str">
            <v>多1起</v>
          </cell>
          <cell r="BD156">
            <v>1</v>
          </cell>
          <cell r="BE156" t="str">
            <v/>
          </cell>
          <cell r="BF156">
            <v>1</v>
          </cell>
          <cell r="BG156">
            <v>0</v>
          </cell>
          <cell r="BH156" t="str">
            <v>多1起</v>
          </cell>
          <cell r="BI156">
            <v>0</v>
          </cell>
          <cell r="BJ156" t="str">
            <v>多1起</v>
          </cell>
          <cell r="BK156">
            <v>0.5</v>
          </cell>
          <cell r="BL156">
            <v>1</v>
          </cell>
          <cell r="BM156">
            <v>0</v>
          </cell>
          <cell r="BN156" t="str">
            <v>多1起</v>
          </cell>
          <cell r="BO156">
            <v>0</v>
          </cell>
          <cell r="BP156" t="str">
            <v>多1起</v>
          </cell>
          <cell r="BQ156">
            <v>0</v>
          </cell>
          <cell r="BR156">
            <v>0</v>
          </cell>
          <cell r="BS156" t="str">
            <v>持平</v>
          </cell>
          <cell r="BT156">
            <v>0</v>
          </cell>
          <cell r="BU156" t="str">
            <v>持平</v>
          </cell>
          <cell r="BV156">
            <v>0</v>
          </cell>
          <cell r="BW156" t="str">
            <v/>
          </cell>
          <cell r="BX156">
            <v>0</v>
          </cell>
          <cell r="BY156" t="str">
            <v/>
          </cell>
          <cell r="BZ156">
            <v>0</v>
          </cell>
          <cell r="CA156">
            <v>0</v>
          </cell>
          <cell r="CB156" t="str">
            <v>持平</v>
          </cell>
          <cell r="CC156">
            <v>0</v>
          </cell>
          <cell r="CD156" t="str">
            <v>持平</v>
          </cell>
          <cell r="CE156" t="str">
            <v/>
          </cell>
          <cell r="CF156" t="str">
            <v/>
          </cell>
          <cell r="CG156">
            <v>2</v>
          </cell>
          <cell r="CH156">
            <v>0</v>
          </cell>
          <cell r="CI156" t="str">
            <v>多2人</v>
          </cell>
          <cell r="CJ156">
            <v>0</v>
          </cell>
          <cell r="CK156" t="str">
            <v>多2人</v>
          </cell>
          <cell r="CL156">
            <v>100</v>
          </cell>
          <cell r="CM156" t="str">
            <v/>
          </cell>
          <cell r="CN156" t="str">
            <v/>
          </cell>
          <cell r="CO156">
            <v>1</v>
          </cell>
          <cell r="CP156">
            <v>0</v>
          </cell>
          <cell r="CQ156" t="str">
            <v>多1人</v>
          </cell>
          <cell r="CR156">
            <v>0</v>
          </cell>
          <cell r="CS156" t="str">
            <v>多1人</v>
          </cell>
          <cell r="CT156">
            <v>0.5</v>
          </cell>
          <cell r="CU156" t="str">
            <v/>
          </cell>
          <cell r="CV156">
            <v>50</v>
          </cell>
          <cell r="CW156" t="str">
            <v/>
          </cell>
          <cell r="CX156" t="str">
            <v/>
          </cell>
          <cell r="CY156">
            <v>2</v>
          </cell>
          <cell r="CZ156">
            <v>0</v>
          </cell>
          <cell r="DA156" t="str">
            <v>多2人</v>
          </cell>
          <cell r="DB156">
            <v>0</v>
          </cell>
          <cell r="DC156" t="str">
            <v>多2人</v>
          </cell>
          <cell r="DD156">
            <v>1</v>
          </cell>
          <cell r="DE156" t="str">
            <v/>
          </cell>
          <cell r="DF156">
            <v>100</v>
          </cell>
          <cell r="DG156" t="str">
            <v/>
          </cell>
          <cell r="DH156" t="str">
            <v/>
          </cell>
          <cell r="DI156">
            <v>2</v>
          </cell>
          <cell r="DJ156">
            <v>0</v>
          </cell>
          <cell r="DK156" t="str">
            <v>多2人</v>
          </cell>
          <cell r="DL156">
            <v>0</v>
          </cell>
          <cell r="DM156" t="str">
            <v>多2人</v>
          </cell>
          <cell r="DN156">
            <v>1</v>
          </cell>
          <cell r="DO156">
            <v>0</v>
          </cell>
          <cell r="DP156" t="str">
            <v>多1人</v>
          </cell>
          <cell r="DQ156">
            <v>0</v>
          </cell>
          <cell r="DR156" t="str">
            <v>多1人</v>
          </cell>
          <cell r="DS156">
            <v>1</v>
          </cell>
          <cell r="DT156">
            <v>0</v>
          </cell>
          <cell r="DU156" t="str">
            <v>多1人</v>
          </cell>
          <cell r="DV156">
            <v>0</v>
          </cell>
          <cell r="DW156" t="str">
            <v>多1人</v>
          </cell>
          <cell r="DX156">
            <v>3</v>
          </cell>
          <cell r="DY156">
            <v>0</v>
          </cell>
          <cell r="DZ156" t="str">
            <v>多3人</v>
          </cell>
          <cell r="EA156">
            <v>0</v>
          </cell>
          <cell r="EB156" t="str">
            <v>多3人</v>
          </cell>
          <cell r="EC156">
            <v>1</v>
          </cell>
          <cell r="ED156">
            <v>0</v>
          </cell>
          <cell r="EE156" t="str">
            <v>多1人</v>
          </cell>
          <cell r="EF156">
            <v>0</v>
          </cell>
          <cell r="EG156" t="str">
            <v>多1人</v>
          </cell>
          <cell r="EH156">
            <v>1</v>
          </cell>
          <cell r="EI156" t="str">
            <v/>
          </cell>
          <cell r="EJ156">
            <v>50</v>
          </cell>
          <cell r="EK156" t="str">
            <v/>
          </cell>
          <cell r="EL156" t="str">
            <v/>
          </cell>
          <cell r="EM156">
            <v>1</v>
          </cell>
          <cell r="EN156">
            <v>0</v>
          </cell>
          <cell r="EO156" t="str">
            <v>多1人</v>
          </cell>
          <cell r="EP156">
            <v>0</v>
          </cell>
          <cell r="EQ156" t="str">
            <v>多1人</v>
          </cell>
          <cell r="ER156">
            <v>0</v>
          </cell>
          <cell r="ES156">
            <v>0</v>
          </cell>
          <cell r="ET156" t="str">
            <v>持平</v>
          </cell>
          <cell r="EU156">
            <v>0</v>
          </cell>
          <cell r="EV156" t="str">
            <v>持平</v>
          </cell>
          <cell r="EW156">
            <v>0</v>
          </cell>
          <cell r="EX156" t="str">
            <v/>
          </cell>
          <cell r="EY156">
            <v>0</v>
          </cell>
          <cell r="EZ156" t="str">
            <v/>
          </cell>
          <cell r="FA156" t="str">
            <v/>
          </cell>
        </row>
        <row r="157">
          <cell r="A157" t="str">
            <v>故意伤害</v>
          </cell>
          <cell r="B157" t="str">
            <v>罗定市</v>
          </cell>
        </row>
        <row r="157">
          <cell r="AM157">
            <v>4</v>
          </cell>
          <cell r="AN157">
            <v>2</v>
          </cell>
          <cell r="AO157">
            <v>1</v>
          </cell>
          <cell r="AP157">
            <v>7</v>
          </cell>
          <cell r="AQ157">
            <v>-0.4286</v>
          </cell>
          <cell r="AR157">
            <v>0.8</v>
          </cell>
          <cell r="AS157">
            <v>0.1333</v>
          </cell>
          <cell r="AT157">
            <v>2</v>
          </cell>
          <cell r="AU157">
            <v>2</v>
          </cell>
          <cell r="AV157">
            <v>0</v>
          </cell>
          <cell r="AW157">
            <v>5</v>
          </cell>
          <cell r="AX157">
            <v>-0.6</v>
          </cell>
          <cell r="AY157">
            <v>1</v>
          </cell>
          <cell r="AZ157">
            <v>2</v>
          </cell>
          <cell r="BA157">
            <v>-0.5</v>
          </cell>
          <cell r="BB157">
            <v>6</v>
          </cell>
          <cell r="BC157">
            <v>-0.8333</v>
          </cell>
          <cell r="BD157">
            <v>0.5</v>
          </cell>
          <cell r="BE157">
            <v>-0.5</v>
          </cell>
          <cell r="BF157">
            <v>3</v>
          </cell>
          <cell r="BG157">
            <v>1</v>
          </cell>
          <cell r="BH157">
            <v>2</v>
          </cell>
          <cell r="BI157">
            <v>0</v>
          </cell>
          <cell r="BJ157" t="str">
            <v>多3起</v>
          </cell>
          <cell r="BK157">
            <v>0.6</v>
          </cell>
          <cell r="BL157">
            <v>3</v>
          </cell>
          <cell r="BM157">
            <v>0</v>
          </cell>
          <cell r="BN157" t="str">
            <v>多3起</v>
          </cell>
          <cell r="BO157">
            <v>1</v>
          </cell>
          <cell r="BP157">
            <v>2</v>
          </cell>
          <cell r="BQ157">
            <v>5</v>
          </cell>
          <cell r="BR157">
            <v>1</v>
          </cell>
          <cell r="BS157">
            <v>4</v>
          </cell>
          <cell r="BT157">
            <v>3</v>
          </cell>
          <cell r="BU157">
            <v>0.6667</v>
          </cell>
          <cell r="BV157">
            <v>1</v>
          </cell>
          <cell r="BW157">
            <v>0.6667</v>
          </cell>
          <cell r="BX157">
            <v>2.5</v>
          </cell>
          <cell r="BY157">
            <v>2</v>
          </cell>
          <cell r="BZ157">
            <v>0</v>
          </cell>
          <cell r="CA157">
            <v>0</v>
          </cell>
          <cell r="CB157" t="str">
            <v>持平</v>
          </cell>
          <cell r="CC157">
            <v>0</v>
          </cell>
          <cell r="CD157" t="str">
            <v>持平</v>
          </cell>
          <cell r="CE157" t="str">
            <v/>
          </cell>
          <cell r="CF157" t="str">
            <v/>
          </cell>
          <cell r="CG157">
            <v>7</v>
          </cell>
          <cell r="CH157">
            <v>11</v>
          </cell>
          <cell r="CI157">
            <v>-0.3636</v>
          </cell>
          <cell r="CJ157">
            <v>3</v>
          </cell>
          <cell r="CK157">
            <v>1.3333</v>
          </cell>
          <cell r="CL157">
            <v>140</v>
          </cell>
          <cell r="CM157">
            <v>-227</v>
          </cell>
          <cell r="CN157">
            <v>-0.6182</v>
          </cell>
          <cell r="CO157">
            <v>3</v>
          </cell>
          <cell r="CP157">
            <v>2</v>
          </cell>
          <cell r="CQ157">
            <v>0.5</v>
          </cell>
          <cell r="CR157">
            <v>6</v>
          </cell>
          <cell r="CS157">
            <v>-0.5</v>
          </cell>
          <cell r="CT157">
            <v>0.4286</v>
          </cell>
          <cell r="CU157">
            <v>0.2468</v>
          </cell>
          <cell r="CV157">
            <v>60</v>
          </cell>
          <cell r="CW157">
            <v>-7</v>
          </cell>
          <cell r="CX157">
            <v>-0.1</v>
          </cell>
          <cell r="CY157">
            <v>3</v>
          </cell>
          <cell r="CZ157">
            <v>3</v>
          </cell>
          <cell r="DA157">
            <v>0</v>
          </cell>
          <cell r="DB157">
            <v>6</v>
          </cell>
          <cell r="DC157">
            <v>-0.5</v>
          </cell>
          <cell r="DD157">
            <v>0.4286</v>
          </cell>
          <cell r="DE157">
            <v>0.1558</v>
          </cell>
          <cell r="DF157">
            <v>60</v>
          </cell>
          <cell r="DG157">
            <v>-40</v>
          </cell>
          <cell r="DH157">
            <v>-0.4</v>
          </cell>
          <cell r="DI157">
            <v>2</v>
          </cell>
          <cell r="DJ157">
            <v>0</v>
          </cell>
          <cell r="DK157" t="str">
            <v>多2人</v>
          </cell>
          <cell r="DL157">
            <v>6</v>
          </cell>
          <cell r="DM157">
            <v>-0.6667</v>
          </cell>
          <cell r="DN157">
            <v>1</v>
          </cell>
          <cell r="DO157">
            <v>1</v>
          </cell>
          <cell r="DP157">
            <v>0</v>
          </cell>
          <cell r="DQ157">
            <v>3</v>
          </cell>
          <cell r="DR157">
            <v>-0.6667</v>
          </cell>
          <cell r="DS157">
            <v>1</v>
          </cell>
          <cell r="DT157">
            <v>1</v>
          </cell>
          <cell r="DU157">
            <v>0</v>
          </cell>
          <cell r="DV157">
            <v>3</v>
          </cell>
          <cell r="DW157">
            <v>-0.6667</v>
          </cell>
          <cell r="DX157">
            <v>4</v>
          </cell>
          <cell r="DY157">
            <v>3</v>
          </cell>
          <cell r="DZ157">
            <v>0.3333</v>
          </cell>
          <cell r="EA157">
            <v>7</v>
          </cell>
          <cell r="EB157">
            <v>-0.4286</v>
          </cell>
          <cell r="EC157">
            <v>6</v>
          </cell>
          <cell r="ED157">
            <v>3</v>
          </cell>
          <cell r="EE157">
            <v>1</v>
          </cell>
          <cell r="EF157">
            <v>4</v>
          </cell>
          <cell r="EG157">
            <v>0.5</v>
          </cell>
          <cell r="EH157">
            <v>2</v>
          </cell>
          <cell r="EI157">
            <v>0.5</v>
          </cell>
          <cell r="EJ157">
            <v>120</v>
          </cell>
          <cell r="EK157">
            <v>20</v>
          </cell>
          <cell r="EL157">
            <v>0.2</v>
          </cell>
          <cell r="EM157">
            <v>6</v>
          </cell>
          <cell r="EN157">
            <v>3</v>
          </cell>
          <cell r="EO157">
            <v>1</v>
          </cell>
          <cell r="EP157">
            <v>4</v>
          </cell>
          <cell r="EQ157">
            <v>0.5</v>
          </cell>
          <cell r="ER157">
            <v>5</v>
          </cell>
          <cell r="ES157">
            <v>1</v>
          </cell>
          <cell r="ET157">
            <v>4</v>
          </cell>
          <cell r="EU157">
            <v>4</v>
          </cell>
          <cell r="EV157">
            <v>0.25</v>
          </cell>
          <cell r="EW157">
            <v>1.6667</v>
          </cell>
          <cell r="EX157">
            <v>1.1667</v>
          </cell>
          <cell r="EY157">
            <v>100</v>
          </cell>
          <cell r="EZ157">
            <v>67</v>
          </cell>
          <cell r="FA157">
            <v>2</v>
          </cell>
        </row>
        <row r="158">
          <cell r="A158" t="str">
            <v>寻衅滋事</v>
          </cell>
          <cell r="B158" t="str">
            <v>全省</v>
          </cell>
        </row>
        <row r="158">
          <cell r="AM158">
            <v>195</v>
          </cell>
          <cell r="AN158">
            <v>194</v>
          </cell>
          <cell r="AO158">
            <v>0.0052</v>
          </cell>
          <cell r="AP158">
            <v>284</v>
          </cell>
          <cell r="AQ158">
            <v>-0.3134</v>
          </cell>
          <cell r="AR158">
            <v>1.0104</v>
          </cell>
          <cell r="AS158">
            <v>0.2496</v>
          </cell>
          <cell r="AT158">
            <v>146</v>
          </cell>
          <cell r="AU158">
            <v>178</v>
          </cell>
          <cell r="AV158">
            <v>-0.1798</v>
          </cell>
          <cell r="AW158">
            <v>210</v>
          </cell>
          <cell r="AX158">
            <v>-0.3048</v>
          </cell>
          <cell r="AY158">
            <v>130</v>
          </cell>
          <cell r="AZ158">
            <v>126</v>
          </cell>
          <cell r="BA158">
            <v>0.0317</v>
          </cell>
          <cell r="BB158">
            <v>212</v>
          </cell>
          <cell r="BC158">
            <v>-0.3868</v>
          </cell>
          <cell r="BD158">
            <v>0.8904</v>
          </cell>
          <cell r="BE158">
            <v>0.1825</v>
          </cell>
          <cell r="BF158">
            <v>47</v>
          </cell>
          <cell r="BG158">
            <v>77</v>
          </cell>
          <cell r="BH158">
            <v>-0.3896</v>
          </cell>
          <cell r="BI158">
            <v>28</v>
          </cell>
          <cell r="BJ158">
            <v>0.6786</v>
          </cell>
          <cell r="BK158">
            <v>0.2435</v>
          </cell>
          <cell r="BL158">
            <v>65</v>
          </cell>
          <cell r="BM158">
            <v>68</v>
          </cell>
          <cell r="BN158">
            <v>-0.0441</v>
          </cell>
          <cell r="BO158">
            <v>72</v>
          </cell>
          <cell r="BP158">
            <v>-0.0972</v>
          </cell>
          <cell r="BQ158">
            <v>141</v>
          </cell>
          <cell r="BR158">
            <v>148</v>
          </cell>
          <cell r="BS158">
            <v>-0.0473</v>
          </cell>
          <cell r="BT158">
            <v>237</v>
          </cell>
          <cell r="BU158">
            <v>-0.4051</v>
          </cell>
          <cell r="BV158">
            <v>0.7306</v>
          </cell>
          <cell r="BW158">
            <v>0.1502</v>
          </cell>
          <cell r="BX158">
            <v>0.9658</v>
          </cell>
          <cell r="BY158">
            <v>0.1343</v>
          </cell>
          <cell r="BZ158">
            <v>1</v>
          </cell>
          <cell r="CA158">
            <v>1</v>
          </cell>
          <cell r="CB158">
            <v>0</v>
          </cell>
          <cell r="CC158">
            <v>1</v>
          </cell>
          <cell r="CD158">
            <v>0</v>
          </cell>
          <cell r="CE158" t="str">
            <v/>
          </cell>
          <cell r="CF158" t="str">
            <v/>
          </cell>
          <cell r="CG158">
            <v>480</v>
          </cell>
          <cell r="CH158">
            <v>528</v>
          </cell>
          <cell r="CI158">
            <v>-0.0909</v>
          </cell>
          <cell r="CJ158">
            <v>463</v>
          </cell>
          <cell r="CK158">
            <v>0.0367</v>
          </cell>
          <cell r="CL158">
            <v>249</v>
          </cell>
          <cell r="CM158">
            <v>42</v>
          </cell>
          <cell r="CN158">
            <v>0.2011</v>
          </cell>
          <cell r="CO158">
            <v>394</v>
          </cell>
          <cell r="CP158">
            <v>380</v>
          </cell>
          <cell r="CQ158">
            <v>0.0368</v>
          </cell>
          <cell r="CR158">
            <v>440</v>
          </cell>
          <cell r="CS158">
            <v>-0.1045</v>
          </cell>
          <cell r="CT158">
            <v>0.8208</v>
          </cell>
          <cell r="CU158">
            <v>0.1011</v>
          </cell>
          <cell r="CV158">
            <v>204</v>
          </cell>
          <cell r="CW158">
            <v>55</v>
          </cell>
          <cell r="CX158">
            <v>0.3699</v>
          </cell>
          <cell r="CY158">
            <v>431</v>
          </cell>
          <cell r="CZ158">
            <v>449</v>
          </cell>
          <cell r="DA158">
            <v>-0.0401</v>
          </cell>
          <cell r="DB158">
            <v>501</v>
          </cell>
          <cell r="DC158">
            <v>-0.1397</v>
          </cell>
          <cell r="DD158">
            <v>0.8979</v>
          </cell>
          <cell r="DE158">
            <v>0.0475</v>
          </cell>
          <cell r="DF158">
            <v>223</v>
          </cell>
          <cell r="DG158">
            <v>47</v>
          </cell>
          <cell r="DH158">
            <v>0.2683</v>
          </cell>
          <cell r="DI158">
            <v>411</v>
          </cell>
          <cell r="DJ158">
            <v>482</v>
          </cell>
          <cell r="DK158">
            <v>-0.1473</v>
          </cell>
          <cell r="DL158">
            <v>517</v>
          </cell>
          <cell r="DM158">
            <v>-0.205</v>
          </cell>
          <cell r="DN158">
            <v>207</v>
          </cell>
          <cell r="DO158">
            <v>286</v>
          </cell>
          <cell r="DP158">
            <v>-0.2762</v>
          </cell>
          <cell r="DQ158">
            <v>256</v>
          </cell>
          <cell r="DR158">
            <v>-0.1914</v>
          </cell>
          <cell r="DS158">
            <v>207</v>
          </cell>
          <cell r="DT158">
            <v>286</v>
          </cell>
          <cell r="DU158">
            <v>-0.2762</v>
          </cell>
          <cell r="DV158">
            <v>256</v>
          </cell>
          <cell r="DW158">
            <v>-0.1914</v>
          </cell>
          <cell r="DX158">
            <v>352</v>
          </cell>
          <cell r="DY158">
            <v>361</v>
          </cell>
          <cell r="DZ158">
            <v>-0.0249</v>
          </cell>
          <cell r="EA158">
            <v>357</v>
          </cell>
          <cell r="EB158">
            <v>-0.014</v>
          </cell>
          <cell r="EC158">
            <v>192</v>
          </cell>
          <cell r="ED158">
            <v>253</v>
          </cell>
          <cell r="EE158">
            <v>-0.2411</v>
          </cell>
          <cell r="EF158">
            <v>218</v>
          </cell>
          <cell r="EG158">
            <v>-0.1193</v>
          </cell>
          <cell r="EH158">
            <v>0.4873</v>
          </cell>
          <cell r="EI158">
            <v>-0.1785</v>
          </cell>
          <cell r="EJ158">
            <v>99</v>
          </cell>
          <cell r="EK158">
            <v>0</v>
          </cell>
          <cell r="EL158">
            <v>0.0027</v>
          </cell>
          <cell r="EM158">
            <v>193</v>
          </cell>
          <cell r="EN158">
            <v>253</v>
          </cell>
          <cell r="EO158">
            <v>-0.2372</v>
          </cell>
          <cell r="EP158">
            <v>210</v>
          </cell>
          <cell r="EQ158">
            <v>-0.081</v>
          </cell>
          <cell r="ER158">
            <v>334</v>
          </cell>
          <cell r="ES158">
            <v>322</v>
          </cell>
          <cell r="ET158">
            <v>0.0373</v>
          </cell>
          <cell r="EU158">
            <v>560</v>
          </cell>
          <cell r="EV158">
            <v>-0.4036</v>
          </cell>
          <cell r="EW158">
            <v>0.8477</v>
          </cell>
          <cell r="EX158">
            <v>0.0003</v>
          </cell>
          <cell r="EY158">
            <v>173</v>
          </cell>
          <cell r="EZ158">
            <v>47</v>
          </cell>
          <cell r="FA158">
            <v>0.3705</v>
          </cell>
        </row>
        <row r="159">
          <cell r="A159" t="str">
            <v>寻衅滋事</v>
          </cell>
          <cell r="B159" t="str">
            <v>云浮</v>
          </cell>
        </row>
        <row r="159">
          <cell r="AM159">
            <v>1</v>
          </cell>
          <cell r="AN159">
            <v>0</v>
          </cell>
          <cell r="AO159" t="str">
            <v>多1起</v>
          </cell>
          <cell r="AP159">
            <v>1</v>
          </cell>
          <cell r="AQ159">
            <v>0</v>
          </cell>
          <cell r="AR159" t="str">
            <v/>
          </cell>
          <cell r="AS159" t="str">
            <v/>
          </cell>
          <cell r="AT159">
            <v>0</v>
          </cell>
          <cell r="AU159">
            <v>0</v>
          </cell>
          <cell r="AV159" t="str">
            <v>持平</v>
          </cell>
          <cell r="AW159">
            <v>0</v>
          </cell>
          <cell r="AX159" t="str">
            <v>持平</v>
          </cell>
          <cell r="AY159">
            <v>0</v>
          </cell>
          <cell r="AZ159">
            <v>0</v>
          </cell>
          <cell r="BA159" t="str">
            <v>持平</v>
          </cell>
          <cell r="BB159">
            <v>0</v>
          </cell>
          <cell r="BC159" t="str">
            <v>持平</v>
          </cell>
          <cell r="BD159" t="str">
            <v/>
          </cell>
          <cell r="BE159" t="str">
            <v/>
          </cell>
          <cell r="BF159">
            <v>0</v>
          </cell>
          <cell r="BG159">
            <v>1</v>
          </cell>
          <cell r="BH159" t="str">
            <v>少1起</v>
          </cell>
          <cell r="BI159">
            <v>0</v>
          </cell>
          <cell r="BJ159" t="str">
            <v>持平</v>
          </cell>
          <cell r="BK159" t="str">
            <v/>
          </cell>
          <cell r="BL159">
            <v>1</v>
          </cell>
          <cell r="BM159">
            <v>0</v>
          </cell>
          <cell r="BN159" t="str">
            <v>多1起</v>
          </cell>
          <cell r="BO159">
            <v>1</v>
          </cell>
          <cell r="BP159">
            <v>0</v>
          </cell>
          <cell r="BQ159">
            <v>0</v>
          </cell>
          <cell r="BR159">
            <v>1</v>
          </cell>
          <cell r="BS159" t="str">
            <v>少1起</v>
          </cell>
          <cell r="BT159">
            <v>2</v>
          </cell>
          <cell r="BU159" t="str">
            <v>少2起</v>
          </cell>
          <cell r="BV159" t="str">
            <v/>
          </cell>
          <cell r="BW159" t="str">
            <v/>
          </cell>
          <cell r="BX159" t="str">
            <v/>
          </cell>
          <cell r="BY159" t="str">
            <v/>
          </cell>
          <cell r="BZ159">
            <v>0</v>
          </cell>
          <cell r="CA159">
            <v>0</v>
          </cell>
          <cell r="CB159" t="str">
            <v>持平</v>
          </cell>
          <cell r="CC159">
            <v>0</v>
          </cell>
          <cell r="CD159" t="str">
            <v>持平</v>
          </cell>
          <cell r="CE159" t="str">
            <v/>
          </cell>
          <cell r="CF159" t="str">
            <v/>
          </cell>
          <cell r="CG159">
            <v>0</v>
          </cell>
          <cell r="CH159">
            <v>2</v>
          </cell>
          <cell r="CI159" t="str">
            <v>少2人</v>
          </cell>
          <cell r="CJ159">
            <v>0</v>
          </cell>
          <cell r="CK159" t="str">
            <v>持平</v>
          </cell>
          <cell r="CL159" t="str">
            <v/>
          </cell>
          <cell r="CM159" t="str">
            <v/>
          </cell>
          <cell r="CN159" t="str">
            <v/>
          </cell>
          <cell r="CO159">
            <v>0</v>
          </cell>
          <cell r="CP159">
            <v>4</v>
          </cell>
          <cell r="CQ159" t="str">
            <v>少4人</v>
          </cell>
          <cell r="CR159">
            <v>0</v>
          </cell>
          <cell r="CS159" t="str">
            <v>持平</v>
          </cell>
          <cell r="CT159" t="str">
            <v/>
          </cell>
          <cell r="CU159" t="str">
            <v/>
          </cell>
          <cell r="CV159" t="str">
            <v/>
          </cell>
          <cell r="CW159" t="str">
            <v/>
          </cell>
          <cell r="CX159" t="str">
            <v/>
          </cell>
          <cell r="CY159">
            <v>0</v>
          </cell>
          <cell r="CZ159">
            <v>4</v>
          </cell>
          <cell r="DA159" t="str">
            <v>少4人</v>
          </cell>
          <cell r="DB159">
            <v>0</v>
          </cell>
          <cell r="DC159" t="str">
            <v>持平</v>
          </cell>
          <cell r="DD159" t="str">
            <v/>
          </cell>
          <cell r="DE159" t="str">
            <v/>
          </cell>
          <cell r="DF159" t="str">
            <v/>
          </cell>
          <cell r="DG159" t="str">
            <v/>
          </cell>
          <cell r="DH159" t="str">
            <v/>
          </cell>
          <cell r="DI159">
            <v>0</v>
          </cell>
          <cell r="DJ159">
            <v>2</v>
          </cell>
          <cell r="DK159" t="str">
            <v>少2人</v>
          </cell>
          <cell r="DL159">
            <v>0</v>
          </cell>
          <cell r="DM159" t="str">
            <v>持平</v>
          </cell>
          <cell r="DN159">
            <v>0</v>
          </cell>
          <cell r="DO159">
            <v>0</v>
          </cell>
          <cell r="DP159" t="str">
            <v>持平</v>
          </cell>
          <cell r="DQ159">
            <v>1</v>
          </cell>
          <cell r="DR159" t="str">
            <v>少1人</v>
          </cell>
          <cell r="DS159">
            <v>0</v>
          </cell>
          <cell r="DT159">
            <v>0</v>
          </cell>
          <cell r="DU159" t="str">
            <v>持平</v>
          </cell>
          <cell r="DV159">
            <v>1</v>
          </cell>
          <cell r="DW159" t="str">
            <v>少1人</v>
          </cell>
          <cell r="DX159">
            <v>0</v>
          </cell>
          <cell r="DY159">
            <v>1</v>
          </cell>
          <cell r="DZ159" t="str">
            <v>少1人</v>
          </cell>
          <cell r="EA159">
            <v>4</v>
          </cell>
          <cell r="EB159" t="str">
            <v>少4人</v>
          </cell>
          <cell r="EC159">
            <v>0</v>
          </cell>
          <cell r="ED159">
            <v>1</v>
          </cell>
          <cell r="EE159" t="str">
            <v>少1人</v>
          </cell>
          <cell r="EF159">
            <v>3</v>
          </cell>
          <cell r="EG159" t="str">
            <v>少3人</v>
          </cell>
          <cell r="EH159" t="str">
            <v/>
          </cell>
          <cell r="EI159" t="str">
            <v/>
          </cell>
          <cell r="EJ159" t="str">
            <v/>
          </cell>
          <cell r="EK159" t="str">
            <v/>
          </cell>
          <cell r="EL159" t="str">
            <v/>
          </cell>
          <cell r="EM159">
            <v>0</v>
          </cell>
          <cell r="EN159">
            <v>1</v>
          </cell>
          <cell r="EO159" t="str">
            <v>少1人</v>
          </cell>
          <cell r="EP159">
            <v>3</v>
          </cell>
          <cell r="EQ159" t="str">
            <v>少3人</v>
          </cell>
          <cell r="ER159">
            <v>0</v>
          </cell>
          <cell r="ES159">
            <v>1</v>
          </cell>
          <cell r="ET159" t="str">
            <v>少1人</v>
          </cell>
          <cell r="EU159">
            <v>4</v>
          </cell>
          <cell r="EV159" t="str">
            <v>少4人</v>
          </cell>
          <cell r="EW159" t="str">
            <v/>
          </cell>
          <cell r="EX159" t="str">
            <v/>
          </cell>
          <cell r="EY159" t="str">
            <v/>
          </cell>
          <cell r="EZ159" t="str">
            <v/>
          </cell>
          <cell r="FA159" t="str">
            <v/>
          </cell>
        </row>
        <row r="160">
          <cell r="A160" t="str">
            <v>寻衅滋事</v>
          </cell>
          <cell r="B160" t="str">
            <v>云城区</v>
          </cell>
        </row>
        <row r="160">
          <cell r="AM160">
            <v>0</v>
          </cell>
          <cell r="AN160">
            <v>0</v>
          </cell>
          <cell r="AO160" t="str">
            <v>持平</v>
          </cell>
          <cell r="AP160">
            <v>0</v>
          </cell>
          <cell r="AQ160" t="str">
            <v>持平</v>
          </cell>
          <cell r="AR160" t="str">
            <v/>
          </cell>
          <cell r="AS160" t="str">
            <v/>
          </cell>
          <cell r="AT160">
            <v>0</v>
          </cell>
          <cell r="AU160">
            <v>0</v>
          </cell>
          <cell r="AV160" t="str">
            <v>持平</v>
          </cell>
          <cell r="AW160">
            <v>0</v>
          </cell>
          <cell r="AX160" t="str">
            <v>持平</v>
          </cell>
          <cell r="AY160">
            <v>0</v>
          </cell>
          <cell r="AZ160">
            <v>0</v>
          </cell>
          <cell r="BA160" t="str">
            <v>持平</v>
          </cell>
          <cell r="BB160">
            <v>0</v>
          </cell>
          <cell r="BC160" t="str">
            <v>持平</v>
          </cell>
          <cell r="BD160" t="str">
            <v/>
          </cell>
          <cell r="BE160" t="str">
            <v/>
          </cell>
          <cell r="BF160">
            <v>0</v>
          </cell>
          <cell r="BG160">
            <v>0</v>
          </cell>
          <cell r="BH160" t="str">
            <v>持平</v>
          </cell>
          <cell r="BI160">
            <v>0</v>
          </cell>
          <cell r="BJ160" t="str">
            <v>持平</v>
          </cell>
          <cell r="BK160" t="str">
            <v/>
          </cell>
          <cell r="BL160">
            <v>0</v>
          </cell>
          <cell r="BM160">
            <v>0</v>
          </cell>
          <cell r="BN160" t="str">
            <v>持平</v>
          </cell>
          <cell r="BO160">
            <v>0</v>
          </cell>
          <cell r="BP160" t="str">
            <v>持平</v>
          </cell>
          <cell r="BQ160">
            <v>0</v>
          </cell>
          <cell r="BR160">
            <v>1</v>
          </cell>
          <cell r="BS160" t="str">
            <v>少1起</v>
          </cell>
          <cell r="BT160">
            <v>0</v>
          </cell>
          <cell r="BU160" t="str">
            <v>持平</v>
          </cell>
          <cell r="BV160" t="str">
            <v/>
          </cell>
          <cell r="BW160" t="str">
            <v/>
          </cell>
          <cell r="BX160" t="str">
            <v/>
          </cell>
          <cell r="BY160" t="str">
            <v/>
          </cell>
          <cell r="BZ160">
            <v>0</v>
          </cell>
          <cell r="CA160">
            <v>0</v>
          </cell>
          <cell r="CB160" t="str">
            <v>持平</v>
          </cell>
          <cell r="CC160">
            <v>0</v>
          </cell>
          <cell r="CD160" t="str">
            <v>持平</v>
          </cell>
          <cell r="CE160" t="str">
            <v/>
          </cell>
          <cell r="CF160" t="str">
            <v/>
          </cell>
          <cell r="CG160">
            <v>0</v>
          </cell>
          <cell r="CH160">
            <v>0</v>
          </cell>
          <cell r="CI160" t="str">
            <v>持平</v>
          </cell>
          <cell r="CJ160">
            <v>0</v>
          </cell>
          <cell r="CK160" t="str">
            <v>持平</v>
          </cell>
          <cell r="CL160" t="str">
            <v/>
          </cell>
          <cell r="CM160" t="str">
            <v/>
          </cell>
          <cell r="CN160" t="str">
            <v/>
          </cell>
          <cell r="CO160">
            <v>0</v>
          </cell>
          <cell r="CP160">
            <v>0</v>
          </cell>
          <cell r="CQ160" t="str">
            <v>持平</v>
          </cell>
          <cell r="CR160">
            <v>0</v>
          </cell>
          <cell r="CS160" t="str">
            <v>持平</v>
          </cell>
          <cell r="CT160" t="str">
            <v/>
          </cell>
          <cell r="CU160" t="str">
            <v/>
          </cell>
          <cell r="CV160" t="str">
            <v/>
          </cell>
          <cell r="CW160" t="str">
            <v/>
          </cell>
          <cell r="CX160" t="str">
            <v/>
          </cell>
          <cell r="CY160">
            <v>0</v>
          </cell>
          <cell r="CZ160">
            <v>0</v>
          </cell>
          <cell r="DA160" t="str">
            <v>持平</v>
          </cell>
          <cell r="DB160">
            <v>0</v>
          </cell>
          <cell r="DC160" t="str">
            <v>持平</v>
          </cell>
          <cell r="DD160" t="str">
            <v/>
          </cell>
          <cell r="DE160" t="str">
            <v/>
          </cell>
          <cell r="DF160" t="str">
            <v/>
          </cell>
          <cell r="DG160" t="str">
            <v/>
          </cell>
          <cell r="DH160" t="str">
            <v/>
          </cell>
          <cell r="DI160">
            <v>0</v>
          </cell>
          <cell r="DJ160">
            <v>0</v>
          </cell>
          <cell r="DK160" t="str">
            <v>持平</v>
          </cell>
          <cell r="DL160">
            <v>0</v>
          </cell>
          <cell r="DM160" t="str">
            <v>持平</v>
          </cell>
          <cell r="DN160">
            <v>0</v>
          </cell>
          <cell r="DO160">
            <v>0</v>
          </cell>
          <cell r="DP160" t="str">
            <v>持平</v>
          </cell>
          <cell r="DQ160">
            <v>0</v>
          </cell>
          <cell r="DR160" t="str">
            <v>持平</v>
          </cell>
          <cell r="DS160">
            <v>0</v>
          </cell>
          <cell r="DT160">
            <v>0</v>
          </cell>
          <cell r="DU160" t="str">
            <v>持平</v>
          </cell>
          <cell r="DV160">
            <v>0</v>
          </cell>
          <cell r="DW160" t="str">
            <v>持平</v>
          </cell>
          <cell r="DX160">
            <v>0</v>
          </cell>
          <cell r="DY160">
            <v>0</v>
          </cell>
          <cell r="DZ160" t="str">
            <v>持平</v>
          </cell>
          <cell r="EA160">
            <v>0</v>
          </cell>
          <cell r="EB160" t="str">
            <v>持平</v>
          </cell>
          <cell r="EC160">
            <v>0</v>
          </cell>
          <cell r="ED160">
            <v>0</v>
          </cell>
          <cell r="EE160" t="str">
            <v>持平</v>
          </cell>
          <cell r="EF160">
            <v>0</v>
          </cell>
          <cell r="EG160" t="str">
            <v>持平</v>
          </cell>
          <cell r="EH160" t="str">
            <v/>
          </cell>
          <cell r="EI160" t="str">
            <v/>
          </cell>
          <cell r="EJ160" t="str">
            <v/>
          </cell>
          <cell r="EK160" t="str">
            <v/>
          </cell>
          <cell r="EL160" t="str">
            <v/>
          </cell>
          <cell r="EM160">
            <v>0</v>
          </cell>
          <cell r="EN160">
            <v>0</v>
          </cell>
          <cell r="EO160" t="str">
            <v>持平</v>
          </cell>
          <cell r="EP160">
            <v>0</v>
          </cell>
          <cell r="EQ160" t="str">
            <v>持平</v>
          </cell>
          <cell r="ER160">
            <v>0</v>
          </cell>
          <cell r="ES160">
            <v>1</v>
          </cell>
          <cell r="ET160" t="str">
            <v>少1人</v>
          </cell>
          <cell r="EU160">
            <v>0</v>
          </cell>
          <cell r="EV160" t="str">
            <v>持平</v>
          </cell>
          <cell r="EW160" t="str">
            <v/>
          </cell>
          <cell r="EX160" t="str">
            <v/>
          </cell>
          <cell r="EY160" t="str">
            <v/>
          </cell>
          <cell r="EZ160" t="str">
            <v/>
          </cell>
          <cell r="FA160" t="str">
            <v/>
          </cell>
        </row>
        <row r="161">
          <cell r="A161" t="str">
            <v>寻衅滋事</v>
          </cell>
          <cell r="B161" t="str">
            <v>云安区</v>
          </cell>
        </row>
        <row r="161">
          <cell r="AM161">
            <v>0</v>
          </cell>
          <cell r="AN161">
            <v>0</v>
          </cell>
          <cell r="AO161" t="str">
            <v>持平</v>
          </cell>
          <cell r="AP161">
            <v>0</v>
          </cell>
          <cell r="AQ161" t="str">
            <v>持平</v>
          </cell>
          <cell r="AR161" t="str">
            <v/>
          </cell>
          <cell r="AS161" t="str">
            <v/>
          </cell>
          <cell r="AT161">
            <v>0</v>
          </cell>
          <cell r="AU161">
            <v>0</v>
          </cell>
          <cell r="AV161" t="str">
            <v>持平</v>
          </cell>
          <cell r="AW161">
            <v>0</v>
          </cell>
          <cell r="AX161" t="str">
            <v>持平</v>
          </cell>
          <cell r="AY161">
            <v>0</v>
          </cell>
          <cell r="AZ161">
            <v>0</v>
          </cell>
          <cell r="BA161" t="str">
            <v>持平</v>
          </cell>
          <cell r="BB161">
            <v>0</v>
          </cell>
          <cell r="BC161" t="str">
            <v>持平</v>
          </cell>
          <cell r="BD161" t="str">
            <v/>
          </cell>
          <cell r="BE161" t="str">
            <v/>
          </cell>
          <cell r="BF161">
            <v>0</v>
          </cell>
          <cell r="BG161">
            <v>0</v>
          </cell>
          <cell r="BH161" t="str">
            <v>持平</v>
          </cell>
          <cell r="BI161">
            <v>0</v>
          </cell>
          <cell r="BJ161" t="str">
            <v>持平</v>
          </cell>
          <cell r="BK161" t="str">
            <v/>
          </cell>
          <cell r="BL161">
            <v>0</v>
          </cell>
          <cell r="BM161">
            <v>0</v>
          </cell>
          <cell r="BN161" t="str">
            <v>持平</v>
          </cell>
          <cell r="BO161">
            <v>0</v>
          </cell>
          <cell r="BP161" t="str">
            <v>持平</v>
          </cell>
          <cell r="BQ161">
            <v>0</v>
          </cell>
          <cell r="BR161">
            <v>0</v>
          </cell>
          <cell r="BS161" t="str">
            <v>持平</v>
          </cell>
          <cell r="BT161">
            <v>0</v>
          </cell>
          <cell r="BU161" t="str">
            <v>持平</v>
          </cell>
          <cell r="BV161" t="str">
            <v/>
          </cell>
          <cell r="BW161" t="str">
            <v/>
          </cell>
          <cell r="BX161" t="str">
            <v/>
          </cell>
          <cell r="BY161" t="str">
            <v/>
          </cell>
          <cell r="BZ161">
            <v>0</v>
          </cell>
          <cell r="CA161">
            <v>0</v>
          </cell>
          <cell r="CB161" t="str">
            <v>持平</v>
          </cell>
          <cell r="CC161">
            <v>0</v>
          </cell>
          <cell r="CD161" t="str">
            <v>持平</v>
          </cell>
          <cell r="CE161" t="str">
            <v/>
          </cell>
          <cell r="CF161" t="str">
            <v/>
          </cell>
          <cell r="CG161">
            <v>0</v>
          </cell>
          <cell r="CH161">
            <v>0</v>
          </cell>
          <cell r="CI161" t="str">
            <v>持平</v>
          </cell>
          <cell r="CJ161">
            <v>0</v>
          </cell>
          <cell r="CK161" t="str">
            <v>持平</v>
          </cell>
          <cell r="CL161" t="str">
            <v/>
          </cell>
          <cell r="CM161" t="str">
            <v/>
          </cell>
          <cell r="CN161" t="str">
            <v/>
          </cell>
          <cell r="CO161">
            <v>0</v>
          </cell>
          <cell r="CP161">
            <v>0</v>
          </cell>
          <cell r="CQ161" t="str">
            <v>持平</v>
          </cell>
          <cell r="CR161">
            <v>0</v>
          </cell>
          <cell r="CS161" t="str">
            <v>持平</v>
          </cell>
          <cell r="CT161" t="str">
            <v/>
          </cell>
          <cell r="CU161" t="str">
            <v/>
          </cell>
          <cell r="CV161" t="str">
            <v/>
          </cell>
          <cell r="CW161" t="str">
            <v/>
          </cell>
          <cell r="CX161" t="str">
            <v/>
          </cell>
          <cell r="CY161">
            <v>0</v>
          </cell>
          <cell r="CZ161">
            <v>0</v>
          </cell>
          <cell r="DA161" t="str">
            <v>持平</v>
          </cell>
          <cell r="DB161">
            <v>0</v>
          </cell>
          <cell r="DC161" t="str">
            <v>持平</v>
          </cell>
          <cell r="DD161" t="str">
            <v/>
          </cell>
          <cell r="DE161" t="str">
            <v/>
          </cell>
          <cell r="DF161" t="str">
            <v/>
          </cell>
          <cell r="DG161" t="str">
            <v/>
          </cell>
          <cell r="DH161" t="str">
            <v/>
          </cell>
          <cell r="DI161">
            <v>0</v>
          </cell>
          <cell r="DJ161">
            <v>0</v>
          </cell>
          <cell r="DK161" t="str">
            <v>持平</v>
          </cell>
          <cell r="DL161">
            <v>0</v>
          </cell>
          <cell r="DM161" t="str">
            <v>持平</v>
          </cell>
          <cell r="DN161">
            <v>0</v>
          </cell>
          <cell r="DO161">
            <v>0</v>
          </cell>
          <cell r="DP161" t="str">
            <v>持平</v>
          </cell>
          <cell r="DQ161">
            <v>0</v>
          </cell>
          <cell r="DR161" t="str">
            <v>持平</v>
          </cell>
          <cell r="DS161">
            <v>0</v>
          </cell>
          <cell r="DT161">
            <v>0</v>
          </cell>
          <cell r="DU161" t="str">
            <v>持平</v>
          </cell>
          <cell r="DV161">
            <v>0</v>
          </cell>
          <cell r="DW161" t="str">
            <v>持平</v>
          </cell>
          <cell r="DX161">
            <v>0</v>
          </cell>
          <cell r="DY161">
            <v>0</v>
          </cell>
          <cell r="DZ161" t="str">
            <v>持平</v>
          </cell>
          <cell r="EA161">
            <v>0</v>
          </cell>
          <cell r="EB161" t="str">
            <v>持平</v>
          </cell>
          <cell r="EC161">
            <v>0</v>
          </cell>
          <cell r="ED161">
            <v>0</v>
          </cell>
          <cell r="EE161" t="str">
            <v>持平</v>
          </cell>
          <cell r="EF161">
            <v>0</v>
          </cell>
          <cell r="EG161" t="str">
            <v>持平</v>
          </cell>
          <cell r="EH161" t="str">
            <v/>
          </cell>
          <cell r="EI161" t="str">
            <v/>
          </cell>
          <cell r="EJ161" t="str">
            <v/>
          </cell>
          <cell r="EK161" t="str">
            <v/>
          </cell>
          <cell r="EL161" t="str">
            <v/>
          </cell>
          <cell r="EM161">
            <v>0</v>
          </cell>
          <cell r="EN161">
            <v>0</v>
          </cell>
          <cell r="EO161" t="str">
            <v>持平</v>
          </cell>
          <cell r="EP161">
            <v>0</v>
          </cell>
          <cell r="EQ161" t="str">
            <v>持平</v>
          </cell>
          <cell r="ER161">
            <v>0</v>
          </cell>
          <cell r="ES161">
            <v>0</v>
          </cell>
          <cell r="ET161" t="str">
            <v>持平</v>
          </cell>
          <cell r="EU161">
            <v>0</v>
          </cell>
          <cell r="EV161" t="str">
            <v>持平</v>
          </cell>
          <cell r="EW161" t="str">
            <v/>
          </cell>
          <cell r="EX161" t="str">
            <v/>
          </cell>
          <cell r="EY161" t="str">
            <v/>
          </cell>
          <cell r="EZ161" t="str">
            <v/>
          </cell>
          <cell r="FA161" t="str">
            <v/>
          </cell>
        </row>
        <row r="162">
          <cell r="A162" t="str">
            <v>寻衅滋事</v>
          </cell>
          <cell r="B162" t="str">
            <v>新兴县</v>
          </cell>
        </row>
        <row r="162">
          <cell r="AM162">
            <v>0</v>
          </cell>
          <cell r="AN162">
            <v>0</v>
          </cell>
          <cell r="AO162" t="str">
            <v>持平</v>
          </cell>
          <cell r="AP162">
            <v>0</v>
          </cell>
          <cell r="AQ162" t="str">
            <v>持平</v>
          </cell>
          <cell r="AR162" t="str">
            <v/>
          </cell>
          <cell r="AS162" t="str">
            <v/>
          </cell>
          <cell r="AT162">
            <v>0</v>
          </cell>
          <cell r="AU162">
            <v>0</v>
          </cell>
          <cell r="AV162" t="str">
            <v>持平</v>
          </cell>
          <cell r="AW162">
            <v>0</v>
          </cell>
          <cell r="AX162" t="str">
            <v>持平</v>
          </cell>
          <cell r="AY162">
            <v>0</v>
          </cell>
          <cell r="AZ162">
            <v>0</v>
          </cell>
          <cell r="BA162" t="str">
            <v>持平</v>
          </cell>
          <cell r="BB162">
            <v>0</v>
          </cell>
          <cell r="BC162" t="str">
            <v>持平</v>
          </cell>
          <cell r="BD162" t="str">
            <v/>
          </cell>
          <cell r="BE162" t="str">
            <v/>
          </cell>
          <cell r="BF162">
            <v>0</v>
          </cell>
          <cell r="BG162">
            <v>1</v>
          </cell>
          <cell r="BH162" t="str">
            <v>少1起</v>
          </cell>
          <cell r="BI162">
            <v>0</v>
          </cell>
          <cell r="BJ162" t="str">
            <v>持平</v>
          </cell>
          <cell r="BK162" t="str">
            <v/>
          </cell>
          <cell r="BL162">
            <v>0</v>
          </cell>
          <cell r="BM162">
            <v>0</v>
          </cell>
          <cell r="BN162" t="str">
            <v>持平</v>
          </cell>
          <cell r="BO162">
            <v>0</v>
          </cell>
          <cell r="BP162" t="str">
            <v>持平</v>
          </cell>
          <cell r="BQ162">
            <v>0</v>
          </cell>
          <cell r="BR162">
            <v>0</v>
          </cell>
          <cell r="BS162" t="str">
            <v>持平</v>
          </cell>
          <cell r="BT162">
            <v>0</v>
          </cell>
          <cell r="BU162" t="str">
            <v>持平</v>
          </cell>
          <cell r="BV162" t="str">
            <v/>
          </cell>
          <cell r="BW162" t="str">
            <v/>
          </cell>
          <cell r="BX162" t="str">
            <v/>
          </cell>
          <cell r="BY162" t="str">
            <v/>
          </cell>
          <cell r="BZ162">
            <v>0</v>
          </cell>
          <cell r="CA162">
            <v>0</v>
          </cell>
          <cell r="CB162" t="str">
            <v>持平</v>
          </cell>
          <cell r="CC162">
            <v>0</v>
          </cell>
          <cell r="CD162" t="str">
            <v>持平</v>
          </cell>
          <cell r="CE162" t="str">
            <v/>
          </cell>
          <cell r="CF162" t="str">
            <v/>
          </cell>
          <cell r="CG162">
            <v>0</v>
          </cell>
          <cell r="CH162">
            <v>0</v>
          </cell>
          <cell r="CI162" t="str">
            <v>持平</v>
          </cell>
          <cell r="CJ162">
            <v>0</v>
          </cell>
          <cell r="CK162" t="str">
            <v>持平</v>
          </cell>
          <cell r="CL162" t="str">
            <v/>
          </cell>
          <cell r="CM162" t="str">
            <v/>
          </cell>
          <cell r="CN162" t="str">
            <v/>
          </cell>
          <cell r="CO162">
            <v>0</v>
          </cell>
          <cell r="CP162">
            <v>4</v>
          </cell>
          <cell r="CQ162" t="str">
            <v>少4人</v>
          </cell>
          <cell r="CR162">
            <v>0</v>
          </cell>
          <cell r="CS162" t="str">
            <v>持平</v>
          </cell>
          <cell r="CT162" t="str">
            <v/>
          </cell>
          <cell r="CU162" t="str">
            <v/>
          </cell>
          <cell r="CV162" t="str">
            <v/>
          </cell>
          <cell r="CW162" t="str">
            <v/>
          </cell>
          <cell r="CX162" t="str">
            <v/>
          </cell>
          <cell r="CY162">
            <v>0</v>
          </cell>
          <cell r="CZ162">
            <v>4</v>
          </cell>
          <cell r="DA162" t="str">
            <v>少4人</v>
          </cell>
          <cell r="DB162">
            <v>0</v>
          </cell>
          <cell r="DC162" t="str">
            <v>持平</v>
          </cell>
          <cell r="DD162" t="str">
            <v/>
          </cell>
          <cell r="DE162" t="str">
            <v/>
          </cell>
          <cell r="DF162" t="str">
            <v/>
          </cell>
          <cell r="DG162" t="str">
            <v/>
          </cell>
          <cell r="DH162" t="str">
            <v/>
          </cell>
          <cell r="DI162">
            <v>0</v>
          </cell>
          <cell r="DJ162">
            <v>2</v>
          </cell>
          <cell r="DK162" t="str">
            <v>少2人</v>
          </cell>
          <cell r="DL162">
            <v>0</v>
          </cell>
          <cell r="DM162" t="str">
            <v>持平</v>
          </cell>
          <cell r="DN162">
            <v>0</v>
          </cell>
          <cell r="DO162">
            <v>0</v>
          </cell>
          <cell r="DP162" t="str">
            <v>持平</v>
          </cell>
          <cell r="DQ162">
            <v>0</v>
          </cell>
          <cell r="DR162" t="str">
            <v>持平</v>
          </cell>
          <cell r="DS162">
            <v>0</v>
          </cell>
          <cell r="DT162">
            <v>0</v>
          </cell>
          <cell r="DU162" t="str">
            <v>持平</v>
          </cell>
          <cell r="DV162">
            <v>0</v>
          </cell>
          <cell r="DW162" t="str">
            <v>持平</v>
          </cell>
          <cell r="DX162">
            <v>0</v>
          </cell>
          <cell r="DY162">
            <v>0</v>
          </cell>
          <cell r="DZ162" t="str">
            <v>持平</v>
          </cell>
          <cell r="EA162">
            <v>0</v>
          </cell>
          <cell r="EB162" t="str">
            <v>持平</v>
          </cell>
          <cell r="EC162">
            <v>0</v>
          </cell>
          <cell r="ED162">
            <v>0</v>
          </cell>
          <cell r="EE162" t="str">
            <v>持平</v>
          </cell>
          <cell r="EF162">
            <v>0</v>
          </cell>
          <cell r="EG162" t="str">
            <v>持平</v>
          </cell>
          <cell r="EH162" t="str">
            <v/>
          </cell>
          <cell r="EI162" t="str">
            <v/>
          </cell>
          <cell r="EJ162" t="str">
            <v/>
          </cell>
          <cell r="EK162" t="str">
            <v/>
          </cell>
          <cell r="EL162" t="str">
            <v/>
          </cell>
          <cell r="EM162">
            <v>0</v>
          </cell>
          <cell r="EN162">
            <v>0</v>
          </cell>
          <cell r="EO162" t="str">
            <v>持平</v>
          </cell>
          <cell r="EP162">
            <v>0</v>
          </cell>
          <cell r="EQ162" t="str">
            <v>持平</v>
          </cell>
          <cell r="ER162">
            <v>0</v>
          </cell>
          <cell r="ES162">
            <v>0</v>
          </cell>
          <cell r="ET162" t="str">
            <v>持平</v>
          </cell>
          <cell r="EU162">
            <v>1</v>
          </cell>
          <cell r="EV162" t="str">
            <v>少1人</v>
          </cell>
          <cell r="EW162" t="str">
            <v/>
          </cell>
          <cell r="EX162" t="str">
            <v/>
          </cell>
          <cell r="EY162" t="str">
            <v/>
          </cell>
          <cell r="EZ162" t="str">
            <v/>
          </cell>
          <cell r="FA162" t="str">
            <v/>
          </cell>
        </row>
        <row r="163">
          <cell r="A163" t="str">
            <v>寻衅滋事</v>
          </cell>
          <cell r="B163" t="str">
            <v>郁南县</v>
          </cell>
        </row>
        <row r="163">
          <cell r="AM163">
            <v>0</v>
          </cell>
          <cell r="AN163">
            <v>0</v>
          </cell>
          <cell r="AO163" t="str">
            <v>持平</v>
          </cell>
          <cell r="AP163">
            <v>0</v>
          </cell>
          <cell r="AQ163" t="str">
            <v>持平</v>
          </cell>
          <cell r="AR163" t="str">
            <v/>
          </cell>
          <cell r="AS163" t="str">
            <v/>
          </cell>
          <cell r="AT163">
            <v>0</v>
          </cell>
          <cell r="AU163">
            <v>0</v>
          </cell>
          <cell r="AV163" t="str">
            <v>持平</v>
          </cell>
          <cell r="AW163">
            <v>0</v>
          </cell>
          <cell r="AX163" t="str">
            <v>持平</v>
          </cell>
          <cell r="AY163">
            <v>0</v>
          </cell>
          <cell r="AZ163">
            <v>0</v>
          </cell>
          <cell r="BA163" t="str">
            <v>持平</v>
          </cell>
          <cell r="BB163">
            <v>0</v>
          </cell>
          <cell r="BC163" t="str">
            <v>持平</v>
          </cell>
          <cell r="BD163" t="str">
            <v/>
          </cell>
          <cell r="BE163" t="str">
            <v/>
          </cell>
          <cell r="BF163">
            <v>0</v>
          </cell>
          <cell r="BG163">
            <v>0</v>
          </cell>
          <cell r="BH163" t="str">
            <v>持平</v>
          </cell>
          <cell r="BI163">
            <v>0</v>
          </cell>
          <cell r="BJ163" t="str">
            <v>持平</v>
          </cell>
          <cell r="BK163" t="str">
            <v/>
          </cell>
          <cell r="BL163">
            <v>0</v>
          </cell>
          <cell r="BM163">
            <v>0</v>
          </cell>
          <cell r="BN163" t="str">
            <v>持平</v>
          </cell>
          <cell r="BO163">
            <v>0</v>
          </cell>
          <cell r="BP163" t="str">
            <v>持平</v>
          </cell>
          <cell r="BQ163">
            <v>0</v>
          </cell>
          <cell r="BR163">
            <v>0</v>
          </cell>
          <cell r="BS163" t="str">
            <v>持平</v>
          </cell>
          <cell r="BT163">
            <v>0</v>
          </cell>
          <cell r="BU163" t="str">
            <v>持平</v>
          </cell>
          <cell r="BV163" t="str">
            <v/>
          </cell>
          <cell r="BW163" t="str">
            <v/>
          </cell>
          <cell r="BX163" t="str">
            <v/>
          </cell>
          <cell r="BY163" t="str">
            <v/>
          </cell>
          <cell r="BZ163">
            <v>0</v>
          </cell>
          <cell r="CA163">
            <v>0</v>
          </cell>
          <cell r="CB163" t="str">
            <v>持平</v>
          </cell>
          <cell r="CC163">
            <v>0</v>
          </cell>
          <cell r="CD163" t="str">
            <v>持平</v>
          </cell>
          <cell r="CE163" t="str">
            <v/>
          </cell>
          <cell r="CF163" t="str">
            <v/>
          </cell>
          <cell r="CG163">
            <v>0</v>
          </cell>
          <cell r="CH163">
            <v>0</v>
          </cell>
          <cell r="CI163" t="str">
            <v>持平</v>
          </cell>
          <cell r="CJ163">
            <v>0</v>
          </cell>
          <cell r="CK163" t="str">
            <v>持平</v>
          </cell>
          <cell r="CL163" t="str">
            <v/>
          </cell>
          <cell r="CM163" t="str">
            <v/>
          </cell>
          <cell r="CN163" t="str">
            <v/>
          </cell>
          <cell r="CO163">
            <v>0</v>
          </cell>
          <cell r="CP163">
            <v>0</v>
          </cell>
          <cell r="CQ163" t="str">
            <v>持平</v>
          </cell>
          <cell r="CR163">
            <v>0</v>
          </cell>
          <cell r="CS163" t="str">
            <v>持平</v>
          </cell>
          <cell r="CT163" t="str">
            <v/>
          </cell>
          <cell r="CU163" t="str">
            <v/>
          </cell>
          <cell r="CV163" t="str">
            <v/>
          </cell>
          <cell r="CW163" t="str">
            <v/>
          </cell>
          <cell r="CX163" t="str">
            <v/>
          </cell>
          <cell r="CY163">
            <v>0</v>
          </cell>
          <cell r="CZ163">
            <v>0</v>
          </cell>
          <cell r="DA163" t="str">
            <v>持平</v>
          </cell>
          <cell r="DB163">
            <v>0</v>
          </cell>
          <cell r="DC163" t="str">
            <v>持平</v>
          </cell>
          <cell r="DD163" t="str">
            <v/>
          </cell>
          <cell r="DE163" t="str">
            <v/>
          </cell>
          <cell r="DF163" t="str">
            <v/>
          </cell>
          <cell r="DG163" t="str">
            <v/>
          </cell>
          <cell r="DH163" t="str">
            <v/>
          </cell>
          <cell r="DI163">
            <v>0</v>
          </cell>
          <cell r="DJ163">
            <v>0</v>
          </cell>
          <cell r="DK163" t="str">
            <v>持平</v>
          </cell>
          <cell r="DL163">
            <v>0</v>
          </cell>
          <cell r="DM163" t="str">
            <v>持平</v>
          </cell>
          <cell r="DN163">
            <v>0</v>
          </cell>
          <cell r="DO163">
            <v>0</v>
          </cell>
          <cell r="DP163" t="str">
            <v>持平</v>
          </cell>
          <cell r="DQ163">
            <v>0</v>
          </cell>
          <cell r="DR163" t="str">
            <v>持平</v>
          </cell>
          <cell r="DS163">
            <v>0</v>
          </cell>
          <cell r="DT163">
            <v>0</v>
          </cell>
          <cell r="DU163" t="str">
            <v>持平</v>
          </cell>
          <cell r="DV163">
            <v>0</v>
          </cell>
          <cell r="DW163" t="str">
            <v>持平</v>
          </cell>
          <cell r="DX163">
            <v>0</v>
          </cell>
          <cell r="DY163">
            <v>0</v>
          </cell>
          <cell r="DZ163" t="str">
            <v>持平</v>
          </cell>
          <cell r="EA163">
            <v>0</v>
          </cell>
          <cell r="EB163" t="str">
            <v>持平</v>
          </cell>
          <cell r="EC163">
            <v>0</v>
          </cell>
          <cell r="ED163">
            <v>0</v>
          </cell>
          <cell r="EE163" t="str">
            <v>持平</v>
          </cell>
          <cell r="EF163">
            <v>0</v>
          </cell>
          <cell r="EG163" t="str">
            <v>持平</v>
          </cell>
          <cell r="EH163" t="str">
            <v/>
          </cell>
          <cell r="EI163" t="str">
            <v/>
          </cell>
          <cell r="EJ163" t="str">
            <v/>
          </cell>
          <cell r="EK163" t="str">
            <v/>
          </cell>
          <cell r="EL163" t="str">
            <v/>
          </cell>
          <cell r="EM163">
            <v>0</v>
          </cell>
          <cell r="EN163">
            <v>0</v>
          </cell>
          <cell r="EO163" t="str">
            <v>持平</v>
          </cell>
          <cell r="EP163">
            <v>0</v>
          </cell>
          <cell r="EQ163" t="str">
            <v>持平</v>
          </cell>
          <cell r="ER163">
            <v>0</v>
          </cell>
          <cell r="ES163">
            <v>0</v>
          </cell>
          <cell r="ET163" t="str">
            <v>持平</v>
          </cell>
          <cell r="EU163">
            <v>0</v>
          </cell>
          <cell r="EV163" t="str">
            <v>持平</v>
          </cell>
          <cell r="EW163" t="str">
            <v/>
          </cell>
          <cell r="EX163" t="str">
            <v/>
          </cell>
          <cell r="EY163" t="str">
            <v/>
          </cell>
          <cell r="EZ163" t="str">
            <v/>
          </cell>
          <cell r="FA163" t="str">
            <v/>
          </cell>
        </row>
        <row r="164">
          <cell r="A164" t="str">
            <v>寻衅滋事</v>
          </cell>
          <cell r="B164" t="str">
            <v>罗定市</v>
          </cell>
        </row>
        <row r="164">
          <cell r="AM164">
            <v>1</v>
          </cell>
          <cell r="AN164">
            <v>0</v>
          </cell>
          <cell r="AO164" t="str">
            <v>多1起</v>
          </cell>
          <cell r="AP164">
            <v>1</v>
          </cell>
          <cell r="AQ164">
            <v>0</v>
          </cell>
          <cell r="AR164" t="str">
            <v/>
          </cell>
          <cell r="AS164" t="str">
            <v/>
          </cell>
          <cell r="AT164">
            <v>0</v>
          </cell>
          <cell r="AU164">
            <v>0</v>
          </cell>
          <cell r="AV164" t="str">
            <v>持平</v>
          </cell>
          <cell r="AW164">
            <v>0</v>
          </cell>
          <cell r="AX164" t="str">
            <v>持平</v>
          </cell>
          <cell r="AY164">
            <v>0</v>
          </cell>
          <cell r="AZ164">
            <v>0</v>
          </cell>
          <cell r="BA164" t="str">
            <v>持平</v>
          </cell>
          <cell r="BB164">
            <v>0</v>
          </cell>
          <cell r="BC164" t="str">
            <v>持平</v>
          </cell>
          <cell r="BD164" t="str">
            <v/>
          </cell>
          <cell r="BE164" t="str">
            <v/>
          </cell>
          <cell r="BF164">
            <v>0</v>
          </cell>
          <cell r="BG164">
            <v>0</v>
          </cell>
          <cell r="BH164" t="str">
            <v>持平</v>
          </cell>
          <cell r="BI164">
            <v>0</v>
          </cell>
          <cell r="BJ164" t="str">
            <v>持平</v>
          </cell>
          <cell r="BK164" t="str">
            <v/>
          </cell>
          <cell r="BL164">
            <v>1</v>
          </cell>
          <cell r="BM164">
            <v>0</v>
          </cell>
          <cell r="BN164" t="str">
            <v>多1起</v>
          </cell>
          <cell r="BO164">
            <v>1</v>
          </cell>
          <cell r="BP164">
            <v>0</v>
          </cell>
          <cell r="BQ164">
            <v>0</v>
          </cell>
          <cell r="BR164">
            <v>0</v>
          </cell>
          <cell r="BS164" t="str">
            <v>持平</v>
          </cell>
          <cell r="BT164">
            <v>2</v>
          </cell>
          <cell r="BU164" t="str">
            <v>少2起</v>
          </cell>
          <cell r="BV164" t="str">
            <v/>
          </cell>
          <cell r="BW164" t="str">
            <v/>
          </cell>
          <cell r="BX164" t="str">
            <v/>
          </cell>
          <cell r="BY164" t="str">
            <v/>
          </cell>
          <cell r="BZ164">
            <v>0</v>
          </cell>
          <cell r="CA164">
            <v>0</v>
          </cell>
          <cell r="CB164" t="str">
            <v>持平</v>
          </cell>
          <cell r="CC164">
            <v>0</v>
          </cell>
          <cell r="CD164" t="str">
            <v>持平</v>
          </cell>
          <cell r="CE164" t="str">
            <v/>
          </cell>
          <cell r="CF164" t="str">
            <v/>
          </cell>
          <cell r="CG164">
            <v>0</v>
          </cell>
          <cell r="CH164">
            <v>2</v>
          </cell>
          <cell r="CI164" t="str">
            <v>少2人</v>
          </cell>
          <cell r="CJ164">
            <v>0</v>
          </cell>
          <cell r="CK164" t="str">
            <v>持平</v>
          </cell>
          <cell r="CL164" t="str">
            <v/>
          </cell>
          <cell r="CM164" t="str">
            <v/>
          </cell>
          <cell r="CN164" t="str">
            <v/>
          </cell>
          <cell r="CO164">
            <v>0</v>
          </cell>
          <cell r="CP164">
            <v>0</v>
          </cell>
          <cell r="CQ164" t="str">
            <v>持平</v>
          </cell>
          <cell r="CR164">
            <v>0</v>
          </cell>
          <cell r="CS164" t="str">
            <v>持平</v>
          </cell>
          <cell r="CT164" t="str">
            <v/>
          </cell>
          <cell r="CU164" t="str">
            <v/>
          </cell>
          <cell r="CV164" t="str">
            <v/>
          </cell>
          <cell r="CW164" t="str">
            <v/>
          </cell>
          <cell r="CX164" t="str">
            <v/>
          </cell>
          <cell r="CY164">
            <v>0</v>
          </cell>
          <cell r="CZ164">
            <v>0</v>
          </cell>
          <cell r="DA164" t="str">
            <v>持平</v>
          </cell>
          <cell r="DB164">
            <v>0</v>
          </cell>
          <cell r="DC164" t="str">
            <v>持平</v>
          </cell>
          <cell r="DD164" t="str">
            <v/>
          </cell>
          <cell r="DE164" t="str">
            <v/>
          </cell>
          <cell r="DF164" t="str">
            <v/>
          </cell>
          <cell r="DG164" t="str">
            <v/>
          </cell>
          <cell r="DH164" t="str">
            <v/>
          </cell>
          <cell r="DI164">
            <v>0</v>
          </cell>
          <cell r="DJ164">
            <v>0</v>
          </cell>
          <cell r="DK164" t="str">
            <v>持平</v>
          </cell>
          <cell r="DL164">
            <v>0</v>
          </cell>
          <cell r="DM164" t="str">
            <v>持平</v>
          </cell>
          <cell r="DN164">
            <v>0</v>
          </cell>
          <cell r="DO164">
            <v>0</v>
          </cell>
          <cell r="DP164" t="str">
            <v>持平</v>
          </cell>
          <cell r="DQ164">
            <v>1</v>
          </cell>
          <cell r="DR164" t="str">
            <v>少1人</v>
          </cell>
          <cell r="DS164">
            <v>0</v>
          </cell>
          <cell r="DT164">
            <v>0</v>
          </cell>
          <cell r="DU164" t="str">
            <v>持平</v>
          </cell>
          <cell r="DV164">
            <v>1</v>
          </cell>
          <cell r="DW164" t="str">
            <v>少1人</v>
          </cell>
          <cell r="DX164">
            <v>0</v>
          </cell>
          <cell r="DY164">
            <v>1</v>
          </cell>
          <cell r="DZ164" t="str">
            <v>少1人</v>
          </cell>
          <cell r="EA164">
            <v>4</v>
          </cell>
          <cell r="EB164" t="str">
            <v>少4人</v>
          </cell>
          <cell r="EC164">
            <v>0</v>
          </cell>
          <cell r="ED164">
            <v>1</v>
          </cell>
          <cell r="EE164" t="str">
            <v>少1人</v>
          </cell>
          <cell r="EF164">
            <v>3</v>
          </cell>
          <cell r="EG164" t="str">
            <v>少3人</v>
          </cell>
          <cell r="EH164" t="str">
            <v/>
          </cell>
          <cell r="EI164" t="str">
            <v/>
          </cell>
          <cell r="EJ164" t="str">
            <v/>
          </cell>
          <cell r="EK164" t="str">
            <v/>
          </cell>
          <cell r="EL164" t="str">
            <v/>
          </cell>
          <cell r="EM164">
            <v>0</v>
          </cell>
          <cell r="EN164">
            <v>1</v>
          </cell>
          <cell r="EO164" t="str">
            <v>少1人</v>
          </cell>
          <cell r="EP164">
            <v>3</v>
          </cell>
          <cell r="EQ164" t="str">
            <v>少3人</v>
          </cell>
          <cell r="ER164">
            <v>0</v>
          </cell>
          <cell r="ES164">
            <v>0</v>
          </cell>
          <cell r="ET164" t="str">
            <v>持平</v>
          </cell>
          <cell r="EU164">
            <v>3</v>
          </cell>
          <cell r="EV164" t="str">
            <v>少3人</v>
          </cell>
          <cell r="EW164" t="str">
            <v/>
          </cell>
          <cell r="EX164" t="str">
            <v/>
          </cell>
          <cell r="EY164" t="str">
            <v/>
          </cell>
          <cell r="EZ164" t="str">
            <v/>
          </cell>
          <cell r="FA164" t="str">
            <v/>
          </cell>
        </row>
        <row r="165">
          <cell r="A165" t="str">
            <v>敲诈勒索</v>
          </cell>
          <cell r="B165" t="str">
            <v>全省</v>
          </cell>
        </row>
        <row r="165">
          <cell r="AM165">
            <v>124</v>
          </cell>
          <cell r="AN165">
            <v>65</v>
          </cell>
          <cell r="AO165">
            <v>0.9077</v>
          </cell>
          <cell r="AP165">
            <v>288</v>
          </cell>
          <cell r="AQ165">
            <v>-0.5694</v>
          </cell>
          <cell r="AR165">
            <v>0.6966</v>
          </cell>
          <cell r="AS165">
            <v>0.1966</v>
          </cell>
          <cell r="AT165">
            <v>98</v>
          </cell>
          <cell r="AU165">
            <v>66</v>
          </cell>
          <cell r="AV165">
            <v>0.4848</v>
          </cell>
          <cell r="AW165">
            <v>161</v>
          </cell>
          <cell r="AX165">
            <v>-0.3913</v>
          </cell>
          <cell r="AY165">
            <v>51</v>
          </cell>
          <cell r="AZ165">
            <v>24</v>
          </cell>
          <cell r="BA165">
            <v>1.125</v>
          </cell>
          <cell r="BB165">
            <v>154</v>
          </cell>
          <cell r="BC165">
            <v>-0.6688</v>
          </cell>
          <cell r="BD165">
            <v>0.5204</v>
          </cell>
          <cell r="BE165">
            <v>0.1568</v>
          </cell>
          <cell r="BF165">
            <v>80</v>
          </cell>
          <cell r="BG165">
            <v>64</v>
          </cell>
          <cell r="BH165">
            <v>0.25</v>
          </cell>
          <cell r="BI165">
            <v>28</v>
          </cell>
          <cell r="BJ165">
            <v>1.8571</v>
          </cell>
          <cell r="BK165">
            <v>0.4494</v>
          </cell>
          <cell r="BL165">
            <v>73</v>
          </cell>
          <cell r="BM165">
            <v>41</v>
          </cell>
          <cell r="BN165">
            <v>0.7805</v>
          </cell>
          <cell r="BO165">
            <v>134</v>
          </cell>
          <cell r="BP165">
            <v>-0.4552</v>
          </cell>
          <cell r="BQ165">
            <v>40</v>
          </cell>
          <cell r="BR165">
            <v>42</v>
          </cell>
          <cell r="BS165">
            <v>-0.0476</v>
          </cell>
          <cell r="BT165">
            <v>86</v>
          </cell>
          <cell r="BU165">
            <v>-0.5349</v>
          </cell>
          <cell r="BV165">
            <v>0.2247</v>
          </cell>
          <cell r="BW165">
            <v>-0.0984</v>
          </cell>
          <cell r="BX165">
            <v>0.4082</v>
          </cell>
          <cell r="BY165">
            <v>-0.2282</v>
          </cell>
          <cell r="BZ165">
            <v>1</v>
          </cell>
          <cell r="CA165">
            <v>0</v>
          </cell>
          <cell r="CB165" t="str">
            <v>多1起</v>
          </cell>
          <cell r="CC165">
            <v>3</v>
          </cell>
          <cell r="CD165">
            <v>-0.6667</v>
          </cell>
          <cell r="CE165" t="str">
            <v/>
          </cell>
          <cell r="CF165" t="str">
            <v/>
          </cell>
          <cell r="CG165">
            <v>299</v>
          </cell>
          <cell r="CH165">
            <v>147</v>
          </cell>
          <cell r="CI165">
            <v>1.034</v>
          </cell>
          <cell r="CJ165">
            <v>264</v>
          </cell>
          <cell r="CK165">
            <v>0.1326</v>
          </cell>
          <cell r="CL165">
            <v>168</v>
          </cell>
          <cell r="CM165">
            <v>55</v>
          </cell>
          <cell r="CN165">
            <v>0.4855</v>
          </cell>
          <cell r="CO165">
            <v>265</v>
          </cell>
          <cell r="CP165">
            <v>95</v>
          </cell>
          <cell r="CQ165">
            <v>1.7895</v>
          </cell>
          <cell r="CR165">
            <v>173</v>
          </cell>
          <cell r="CS165">
            <v>0.5318</v>
          </cell>
          <cell r="CT165">
            <v>0.8863</v>
          </cell>
          <cell r="CU165">
            <v>0.24</v>
          </cell>
          <cell r="CV165">
            <v>149</v>
          </cell>
          <cell r="CW165">
            <v>76</v>
          </cell>
          <cell r="CX165">
            <v>1.0373</v>
          </cell>
          <cell r="CY165">
            <v>283</v>
          </cell>
          <cell r="CZ165">
            <v>106</v>
          </cell>
          <cell r="DA165">
            <v>1.6698</v>
          </cell>
          <cell r="DB165">
            <v>187</v>
          </cell>
          <cell r="DC165">
            <v>0.5134</v>
          </cell>
          <cell r="DD165">
            <v>0.9465</v>
          </cell>
          <cell r="DE165">
            <v>0.2254</v>
          </cell>
          <cell r="DF165">
            <v>159</v>
          </cell>
          <cell r="DG165">
            <v>77</v>
          </cell>
          <cell r="DH165">
            <v>0.9499</v>
          </cell>
          <cell r="DI165">
            <v>258</v>
          </cell>
          <cell r="DJ165">
            <v>136</v>
          </cell>
          <cell r="DK165">
            <v>0.8971</v>
          </cell>
          <cell r="DL165">
            <v>188</v>
          </cell>
          <cell r="DM165">
            <v>0.3723</v>
          </cell>
          <cell r="DN165">
            <v>101</v>
          </cell>
          <cell r="DO165">
            <v>79</v>
          </cell>
          <cell r="DP165">
            <v>0.2785</v>
          </cell>
          <cell r="DQ165">
            <v>89</v>
          </cell>
          <cell r="DR165">
            <v>0.1348</v>
          </cell>
          <cell r="DS165">
            <v>101</v>
          </cell>
          <cell r="DT165">
            <v>79</v>
          </cell>
          <cell r="DU165">
            <v>0.2785</v>
          </cell>
          <cell r="DV165">
            <v>89</v>
          </cell>
          <cell r="DW165">
            <v>0.1348</v>
          </cell>
          <cell r="DX165">
            <v>168</v>
          </cell>
          <cell r="DY165">
            <v>109</v>
          </cell>
          <cell r="DZ165">
            <v>0.5413</v>
          </cell>
          <cell r="EA165">
            <v>153</v>
          </cell>
          <cell r="EB165">
            <v>0.098</v>
          </cell>
          <cell r="EC165">
            <v>75</v>
          </cell>
          <cell r="ED165">
            <v>91</v>
          </cell>
          <cell r="EE165">
            <v>-0.1758</v>
          </cell>
          <cell r="EF165">
            <v>84</v>
          </cell>
          <cell r="EG165">
            <v>-0.1071</v>
          </cell>
          <cell r="EH165">
            <v>0.283</v>
          </cell>
          <cell r="EI165">
            <v>-0.6749</v>
          </cell>
          <cell r="EJ165">
            <v>42</v>
          </cell>
          <cell r="EK165">
            <v>-28</v>
          </cell>
          <cell r="EL165">
            <v>-0.3981</v>
          </cell>
          <cell r="EM165">
            <v>75</v>
          </cell>
          <cell r="EN165">
            <v>91</v>
          </cell>
          <cell r="EO165">
            <v>-0.1758</v>
          </cell>
          <cell r="EP165">
            <v>83</v>
          </cell>
          <cell r="EQ165">
            <v>-0.0964</v>
          </cell>
          <cell r="ER165">
            <v>76</v>
          </cell>
          <cell r="ES165">
            <v>158</v>
          </cell>
          <cell r="ET165">
            <v>-0.519</v>
          </cell>
          <cell r="EU165">
            <v>180</v>
          </cell>
          <cell r="EV165">
            <v>-0.5778</v>
          </cell>
          <cell r="EW165">
            <v>0.2868</v>
          </cell>
          <cell r="EX165">
            <v>-1.3764</v>
          </cell>
          <cell r="EY165">
            <v>43</v>
          </cell>
          <cell r="EZ165">
            <v>-79</v>
          </cell>
          <cell r="FA165">
            <v>-0.6487</v>
          </cell>
        </row>
        <row r="166">
          <cell r="A166" t="str">
            <v>敲诈勒索</v>
          </cell>
          <cell r="B166" t="str">
            <v>云浮</v>
          </cell>
        </row>
        <row r="166">
          <cell r="AM166">
            <v>1</v>
          </cell>
          <cell r="AN166">
            <v>0</v>
          </cell>
          <cell r="AO166" t="str">
            <v>多1起</v>
          </cell>
          <cell r="AP166">
            <v>1</v>
          </cell>
          <cell r="AQ166">
            <v>0</v>
          </cell>
          <cell r="AR166">
            <v>0.5</v>
          </cell>
          <cell r="AS166" t="str">
            <v/>
          </cell>
          <cell r="AT166">
            <v>1</v>
          </cell>
          <cell r="AU166">
            <v>0</v>
          </cell>
          <cell r="AV166" t="str">
            <v>多1起</v>
          </cell>
          <cell r="AW166">
            <v>0</v>
          </cell>
          <cell r="AX166" t="str">
            <v>多1起</v>
          </cell>
          <cell r="AY166">
            <v>1</v>
          </cell>
          <cell r="AZ166">
            <v>0</v>
          </cell>
          <cell r="BA166" t="str">
            <v>多1起</v>
          </cell>
          <cell r="BB166">
            <v>1</v>
          </cell>
          <cell r="BC166">
            <v>0</v>
          </cell>
          <cell r="BD166">
            <v>1</v>
          </cell>
          <cell r="BE166" t="str">
            <v/>
          </cell>
          <cell r="BF166">
            <v>1</v>
          </cell>
          <cell r="BG166">
            <v>0</v>
          </cell>
          <cell r="BH166" t="str">
            <v>多1起</v>
          </cell>
          <cell r="BI166">
            <v>0</v>
          </cell>
          <cell r="BJ166" t="str">
            <v>多1起</v>
          </cell>
          <cell r="BK166">
            <v>0.5</v>
          </cell>
          <cell r="BL166">
            <v>0</v>
          </cell>
          <cell r="BM166">
            <v>0</v>
          </cell>
          <cell r="BN166" t="str">
            <v>持平</v>
          </cell>
          <cell r="BO166">
            <v>0</v>
          </cell>
          <cell r="BP166" t="str">
            <v>持平</v>
          </cell>
          <cell r="BQ166">
            <v>0</v>
          </cell>
          <cell r="BR166">
            <v>0</v>
          </cell>
          <cell r="BS166" t="str">
            <v>持平</v>
          </cell>
          <cell r="BT166">
            <v>2</v>
          </cell>
          <cell r="BU166" t="str">
            <v>少2起</v>
          </cell>
          <cell r="BV166">
            <v>0</v>
          </cell>
          <cell r="BW166" t="str">
            <v/>
          </cell>
          <cell r="BX166">
            <v>0</v>
          </cell>
          <cell r="BY166" t="str">
            <v/>
          </cell>
          <cell r="BZ166">
            <v>0</v>
          </cell>
          <cell r="CA166">
            <v>0</v>
          </cell>
          <cell r="CB166" t="str">
            <v>持平</v>
          </cell>
          <cell r="CC166">
            <v>0</v>
          </cell>
          <cell r="CD166" t="str">
            <v>持平</v>
          </cell>
          <cell r="CE166" t="str">
            <v/>
          </cell>
          <cell r="CF166" t="str">
            <v/>
          </cell>
          <cell r="CG166">
            <v>0</v>
          </cell>
          <cell r="CH166">
            <v>0</v>
          </cell>
          <cell r="CI166" t="str">
            <v>持平</v>
          </cell>
          <cell r="CJ166">
            <v>0</v>
          </cell>
          <cell r="CK166" t="str">
            <v>持平</v>
          </cell>
          <cell r="CL166">
            <v>0</v>
          </cell>
          <cell r="CM166" t="str">
            <v/>
          </cell>
          <cell r="CN166" t="str">
            <v/>
          </cell>
          <cell r="CO166">
            <v>1</v>
          </cell>
          <cell r="CP166">
            <v>0</v>
          </cell>
          <cell r="CQ166" t="str">
            <v>多1人</v>
          </cell>
          <cell r="CR166">
            <v>0</v>
          </cell>
          <cell r="CS166" t="str">
            <v>多1人</v>
          </cell>
          <cell r="CT166" t="str">
            <v/>
          </cell>
          <cell r="CU166" t="str">
            <v/>
          </cell>
          <cell r="CV166">
            <v>50</v>
          </cell>
          <cell r="CW166" t="str">
            <v/>
          </cell>
          <cell r="CX166" t="str">
            <v/>
          </cell>
          <cell r="CY166">
            <v>1</v>
          </cell>
          <cell r="CZ166">
            <v>0</v>
          </cell>
          <cell r="DA166" t="str">
            <v>多1人</v>
          </cell>
          <cell r="DB166">
            <v>0</v>
          </cell>
          <cell r="DC166" t="str">
            <v>多1人</v>
          </cell>
          <cell r="DD166" t="str">
            <v/>
          </cell>
          <cell r="DE166" t="str">
            <v/>
          </cell>
          <cell r="DF166">
            <v>50</v>
          </cell>
          <cell r="DG166" t="str">
            <v/>
          </cell>
          <cell r="DH166" t="str">
            <v/>
          </cell>
          <cell r="DI166">
            <v>0</v>
          </cell>
          <cell r="DJ166">
            <v>0</v>
          </cell>
          <cell r="DK166" t="str">
            <v>持平</v>
          </cell>
          <cell r="DL166">
            <v>0</v>
          </cell>
          <cell r="DM166" t="str">
            <v>持平</v>
          </cell>
          <cell r="DN166">
            <v>0</v>
          </cell>
          <cell r="DO166">
            <v>0</v>
          </cell>
          <cell r="DP166" t="str">
            <v>持平</v>
          </cell>
          <cell r="DQ166">
            <v>0</v>
          </cell>
          <cell r="DR166" t="str">
            <v>持平</v>
          </cell>
          <cell r="DS166">
            <v>0</v>
          </cell>
          <cell r="DT166">
            <v>0</v>
          </cell>
          <cell r="DU166" t="str">
            <v>持平</v>
          </cell>
          <cell r="DV166">
            <v>0</v>
          </cell>
          <cell r="DW166" t="str">
            <v>持平</v>
          </cell>
          <cell r="DX166">
            <v>0</v>
          </cell>
          <cell r="DY166">
            <v>0</v>
          </cell>
          <cell r="DZ166" t="str">
            <v>持平</v>
          </cell>
          <cell r="EA166">
            <v>0</v>
          </cell>
          <cell r="EB166" t="str">
            <v>持平</v>
          </cell>
          <cell r="EC166">
            <v>0</v>
          </cell>
          <cell r="ED166">
            <v>0</v>
          </cell>
          <cell r="EE166" t="str">
            <v>持平</v>
          </cell>
          <cell r="EF166">
            <v>0</v>
          </cell>
          <cell r="EG166" t="str">
            <v>持平</v>
          </cell>
          <cell r="EH166">
            <v>0</v>
          </cell>
          <cell r="EI166" t="str">
            <v/>
          </cell>
          <cell r="EJ166">
            <v>0</v>
          </cell>
          <cell r="EK166" t="str">
            <v/>
          </cell>
          <cell r="EL166" t="str">
            <v/>
          </cell>
          <cell r="EM166">
            <v>0</v>
          </cell>
          <cell r="EN166">
            <v>0</v>
          </cell>
          <cell r="EO166" t="str">
            <v>持平</v>
          </cell>
          <cell r="EP166">
            <v>0</v>
          </cell>
          <cell r="EQ166" t="str">
            <v>持平</v>
          </cell>
          <cell r="ER166">
            <v>0</v>
          </cell>
          <cell r="ES166">
            <v>0</v>
          </cell>
          <cell r="ET166" t="str">
            <v>持平</v>
          </cell>
          <cell r="EU166">
            <v>2</v>
          </cell>
          <cell r="EV166" t="str">
            <v>少2人</v>
          </cell>
          <cell r="EW166">
            <v>0</v>
          </cell>
          <cell r="EX166" t="str">
            <v/>
          </cell>
          <cell r="EY166">
            <v>0</v>
          </cell>
          <cell r="EZ166" t="str">
            <v/>
          </cell>
          <cell r="FA166" t="str">
            <v/>
          </cell>
        </row>
        <row r="167">
          <cell r="A167" t="str">
            <v>敲诈勒索</v>
          </cell>
          <cell r="B167" t="str">
            <v>云城区</v>
          </cell>
        </row>
        <row r="167">
          <cell r="AM167">
            <v>0</v>
          </cell>
          <cell r="AN167">
            <v>0</v>
          </cell>
          <cell r="AO167" t="str">
            <v>持平</v>
          </cell>
          <cell r="AP167">
            <v>0</v>
          </cell>
          <cell r="AQ167" t="str">
            <v>持平</v>
          </cell>
          <cell r="AR167">
            <v>0</v>
          </cell>
          <cell r="AS167" t="str">
            <v/>
          </cell>
          <cell r="AT167">
            <v>0</v>
          </cell>
          <cell r="AU167">
            <v>0</v>
          </cell>
          <cell r="AV167" t="str">
            <v>持平</v>
          </cell>
          <cell r="AW167">
            <v>0</v>
          </cell>
          <cell r="AX167" t="str">
            <v>持平</v>
          </cell>
          <cell r="AY167">
            <v>0</v>
          </cell>
          <cell r="AZ167">
            <v>0</v>
          </cell>
          <cell r="BA167" t="str">
            <v>持平</v>
          </cell>
          <cell r="BB167">
            <v>0</v>
          </cell>
          <cell r="BC167" t="str">
            <v>持平</v>
          </cell>
          <cell r="BD167" t="str">
            <v/>
          </cell>
          <cell r="BE167" t="str">
            <v/>
          </cell>
          <cell r="BF167">
            <v>1</v>
          </cell>
          <cell r="BG167">
            <v>0</v>
          </cell>
          <cell r="BH167" t="str">
            <v>多1起</v>
          </cell>
          <cell r="BI167">
            <v>0</v>
          </cell>
          <cell r="BJ167" t="str">
            <v>多1起</v>
          </cell>
          <cell r="BK167">
            <v>1</v>
          </cell>
          <cell r="BL167">
            <v>0</v>
          </cell>
          <cell r="BM167">
            <v>0</v>
          </cell>
          <cell r="BN167" t="str">
            <v>持平</v>
          </cell>
          <cell r="BO167">
            <v>0</v>
          </cell>
          <cell r="BP167" t="str">
            <v>持平</v>
          </cell>
          <cell r="BQ167">
            <v>0</v>
          </cell>
          <cell r="BR167">
            <v>0</v>
          </cell>
          <cell r="BS167" t="str">
            <v>持平</v>
          </cell>
          <cell r="BT167">
            <v>1</v>
          </cell>
          <cell r="BU167" t="str">
            <v>少1起</v>
          </cell>
          <cell r="BV167">
            <v>0</v>
          </cell>
          <cell r="BW167" t="str">
            <v/>
          </cell>
          <cell r="BX167" t="str">
            <v/>
          </cell>
          <cell r="BY167" t="str">
            <v/>
          </cell>
          <cell r="BZ167">
            <v>0</v>
          </cell>
          <cell r="CA167">
            <v>0</v>
          </cell>
          <cell r="CB167" t="str">
            <v>持平</v>
          </cell>
          <cell r="CC167">
            <v>0</v>
          </cell>
          <cell r="CD167" t="str">
            <v>持平</v>
          </cell>
          <cell r="CE167" t="str">
            <v/>
          </cell>
          <cell r="CF167" t="str">
            <v/>
          </cell>
          <cell r="CG167">
            <v>0</v>
          </cell>
          <cell r="CH167">
            <v>0</v>
          </cell>
          <cell r="CI167" t="str">
            <v>持平</v>
          </cell>
          <cell r="CJ167">
            <v>0</v>
          </cell>
          <cell r="CK167" t="str">
            <v>持平</v>
          </cell>
          <cell r="CL167">
            <v>0</v>
          </cell>
          <cell r="CM167" t="str">
            <v/>
          </cell>
          <cell r="CN167" t="str">
            <v/>
          </cell>
          <cell r="CO167">
            <v>0</v>
          </cell>
          <cell r="CP167">
            <v>0</v>
          </cell>
          <cell r="CQ167" t="str">
            <v>持平</v>
          </cell>
          <cell r="CR167">
            <v>0</v>
          </cell>
          <cell r="CS167" t="str">
            <v>持平</v>
          </cell>
          <cell r="CT167" t="str">
            <v/>
          </cell>
          <cell r="CU167" t="str">
            <v/>
          </cell>
          <cell r="CV167">
            <v>0</v>
          </cell>
          <cell r="CW167" t="str">
            <v/>
          </cell>
          <cell r="CX167" t="str">
            <v/>
          </cell>
          <cell r="CY167">
            <v>0</v>
          </cell>
          <cell r="CZ167">
            <v>0</v>
          </cell>
          <cell r="DA167" t="str">
            <v>持平</v>
          </cell>
          <cell r="DB167">
            <v>0</v>
          </cell>
          <cell r="DC167" t="str">
            <v>持平</v>
          </cell>
          <cell r="DD167" t="str">
            <v/>
          </cell>
          <cell r="DE167" t="str">
            <v/>
          </cell>
          <cell r="DF167">
            <v>0</v>
          </cell>
          <cell r="DG167" t="str">
            <v/>
          </cell>
          <cell r="DH167" t="str">
            <v/>
          </cell>
          <cell r="DI167">
            <v>0</v>
          </cell>
          <cell r="DJ167">
            <v>0</v>
          </cell>
          <cell r="DK167" t="str">
            <v>持平</v>
          </cell>
          <cell r="DL167">
            <v>0</v>
          </cell>
          <cell r="DM167" t="str">
            <v>持平</v>
          </cell>
          <cell r="DN167">
            <v>0</v>
          </cell>
          <cell r="DO167">
            <v>0</v>
          </cell>
          <cell r="DP167" t="str">
            <v>持平</v>
          </cell>
          <cell r="DQ167">
            <v>0</v>
          </cell>
          <cell r="DR167" t="str">
            <v>持平</v>
          </cell>
          <cell r="DS167">
            <v>0</v>
          </cell>
          <cell r="DT167">
            <v>0</v>
          </cell>
          <cell r="DU167" t="str">
            <v>持平</v>
          </cell>
          <cell r="DV167">
            <v>0</v>
          </cell>
          <cell r="DW167" t="str">
            <v>持平</v>
          </cell>
          <cell r="DX167">
            <v>0</v>
          </cell>
          <cell r="DY167">
            <v>0</v>
          </cell>
          <cell r="DZ167" t="str">
            <v>持平</v>
          </cell>
          <cell r="EA167">
            <v>0</v>
          </cell>
          <cell r="EB167" t="str">
            <v>持平</v>
          </cell>
          <cell r="EC167">
            <v>0</v>
          </cell>
          <cell r="ED167">
            <v>0</v>
          </cell>
          <cell r="EE167" t="str">
            <v>持平</v>
          </cell>
          <cell r="EF167">
            <v>0</v>
          </cell>
          <cell r="EG167" t="str">
            <v>持平</v>
          </cell>
          <cell r="EH167" t="str">
            <v/>
          </cell>
          <cell r="EI167" t="str">
            <v/>
          </cell>
          <cell r="EJ167">
            <v>0</v>
          </cell>
          <cell r="EK167" t="str">
            <v/>
          </cell>
          <cell r="EL167" t="str">
            <v/>
          </cell>
          <cell r="EM167">
            <v>0</v>
          </cell>
          <cell r="EN167">
            <v>0</v>
          </cell>
          <cell r="EO167" t="str">
            <v>持平</v>
          </cell>
          <cell r="EP167">
            <v>0</v>
          </cell>
          <cell r="EQ167" t="str">
            <v>持平</v>
          </cell>
          <cell r="ER167">
            <v>0</v>
          </cell>
          <cell r="ES167">
            <v>0</v>
          </cell>
          <cell r="ET167" t="str">
            <v>持平</v>
          </cell>
          <cell r="EU167">
            <v>1</v>
          </cell>
          <cell r="EV167" t="str">
            <v>少1人</v>
          </cell>
          <cell r="EW167" t="str">
            <v/>
          </cell>
          <cell r="EX167" t="str">
            <v/>
          </cell>
          <cell r="EY167">
            <v>0</v>
          </cell>
          <cell r="EZ167" t="str">
            <v/>
          </cell>
          <cell r="FA167" t="str">
            <v/>
          </cell>
        </row>
        <row r="168">
          <cell r="A168" t="str">
            <v>敲诈勒索</v>
          </cell>
          <cell r="B168" t="str">
            <v>云安区</v>
          </cell>
        </row>
        <row r="168">
          <cell r="AM168">
            <v>0</v>
          </cell>
          <cell r="AN168">
            <v>0</v>
          </cell>
          <cell r="AO168" t="str">
            <v>持平</v>
          </cell>
          <cell r="AP168">
            <v>0</v>
          </cell>
          <cell r="AQ168" t="str">
            <v>持平</v>
          </cell>
          <cell r="AR168" t="str">
            <v/>
          </cell>
          <cell r="AS168" t="str">
            <v/>
          </cell>
          <cell r="AT168">
            <v>0</v>
          </cell>
          <cell r="AU168">
            <v>0</v>
          </cell>
          <cell r="AV168" t="str">
            <v>持平</v>
          </cell>
          <cell r="AW168">
            <v>0</v>
          </cell>
          <cell r="AX168" t="str">
            <v>持平</v>
          </cell>
          <cell r="AY168">
            <v>0</v>
          </cell>
          <cell r="AZ168">
            <v>0</v>
          </cell>
          <cell r="BA168" t="str">
            <v>持平</v>
          </cell>
          <cell r="BB168">
            <v>0</v>
          </cell>
          <cell r="BC168" t="str">
            <v>持平</v>
          </cell>
          <cell r="BD168" t="str">
            <v/>
          </cell>
          <cell r="BE168" t="str">
            <v/>
          </cell>
          <cell r="BF168">
            <v>0</v>
          </cell>
          <cell r="BG168">
            <v>0</v>
          </cell>
          <cell r="BH168" t="str">
            <v>持平</v>
          </cell>
          <cell r="BI168">
            <v>0</v>
          </cell>
          <cell r="BJ168" t="str">
            <v>持平</v>
          </cell>
          <cell r="BK168" t="str">
            <v/>
          </cell>
          <cell r="BL168">
            <v>0</v>
          </cell>
          <cell r="BM168">
            <v>0</v>
          </cell>
          <cell r="BN168" t="str">
            <v>持平</v>
          </cell>
          <cell r="BO168">
            <v>0</v>
          </cell>
          <cell r="BP168" t="str">
            <v>持平</v>
          </cell>
          <cell r="BQ168">
            <v>0</v>
          </cell>
          <cell r="BR168">
            <v>0</v>
          </cell>
          <cell r="BS168" t="str">
            <v>持平</v>
          </cell>
          <cell r="BT168">
            <v>0</v>
          </cell>
          <cell r="BU168" t="str">
            <v>持平</v>
          </cell>
          <cell r="BV168" t="str">
            <v/>
          </cell>
          <cell r="BW168" t="str">
            <v/>
          </cell>
          <cell r="BX168" t="str">
            <v/>
          </cell>
          <cell r="BY168" t="str">
            <v/>
          </cell>
          <cell r="BZ168">
            <v>0</v>
          </cell>
          <cell r="CA168">
            <v>0</v>
          </cell>
          <cell r="CB168" t="str">
            <v>持平</v>
          </cell>
          <cell r="CC168">
            <v>0</v>
          </cell>
          <cell r="CD168" t="str">
            <v>持平</v>
          </cell>
          <cell r="CE168" t="str">
            <v/>
          </cell>
          <cell r="CF168" t="str">
            <v/>
          </cell>
          <cell r="CG168">
            <v>0</v>
          </cell>
          <cell r="CH168">
            <v>0</v>
          </cell>
          <cell r="CI168" t="str">
            <v>持平</v>
          </cell>
          <cell r="CJ168">
            <v>0</v>
          </cell>
          <cell r="CK168" t="str">
            <v>持平</v>
          </cell>
          <cell r="CL168" t="str">
            <v/>
          </cell>
          <cell r="CM168" t="str">
            <v/>
          </cell>
          <cell r="CN168" t="str">
            <v/>
          </cell>
          <cell r="CO168">
            <v>0</v>
          </cell>
          <cell r="CP168">
            <v>0</v>
          </cell>
          <cell r="CQ168" t="str">
            <v>持平</v>
          </cell>
          <cell r="CR168">
            <v>0</v>
          </cell>
          <cell r="CS168" t="str">
            <v>持平</v>
          </cell>
          <cell r="CT168" t="str">
            <v/>
          </cell>
          <cell r="CU168" t="str">
            <v/>
          </cell>
          <cell r="CV168" t="str">
            <v/>
          </cell>
          <cell r="CW168" t="str">
            <v/>
          </cell>
          <cell r="CX168" t="str">
            <v/>
          </cell>
          <cell r="CY168">
            <v>0</v>
          </cell>
          <cell r="CZ168">
            <v>0</v>
          </cell>
          <cell r="DA168" t="str">
            <v>持平</v>
          </cell>
          <cell r="DB168">
            <v>0</v>
          </cell>
          <cell r="DC168" t="str">
            <v>持平</v>
          </cell>
          <cell r="DD168" t="str">
            <v/>
          </cell>
          <cell r="DE168" t="str">
            <v/>
          </cell>
          <cell r="DF168" t="str">
            <v/>
          </cell>
          <cell r="DG168" t="str">
            <v/>
          </cell>
          <cell r="DH168" t="str">
            <v/>
          </cell>
          <cell r="DI168">
            <v>0</v>
          </cell>
          <cell r="DJ168">
            <v>0</v>
          </cell>
          <cell r="DK168" t="str">
            <v>持平</v>
          </cell>
          <cell r="DL168">
            <v>0</v>
          </cell>
          <cell r="DM168" t="str">
            <v>持平</v>
          </cell>
          <cell r="DN168">
            <v>0</v>
          </cell>
          <cell r="DO168">
            <v>0</v>
          </cell>
          <cell r="DP168" t="str">
            <v>持平</v>
          </cell>
          <cell r="DQ168">
            <v>0</v>
          </cell>
          <cell r="DR168" t="str">
            <v>持平</v>
          </cell>
          <cell r="DS168">
            <v>0</v>
          </cell>
          <cell r="DT168">
            <v>0</v>
          </cell>
          <cell r="DU168" t="str">
            <v>持平</v>
          </cell>
          <cell r="DV168">
            <v>0</v>
          </cell>
          <cell r="DW168" t="str">
            <v>持平</v>
          </cell>
          <cell r="DX168">
            <v>0</v>
          </cell>
          <cell r="DY168">
            <v>0</v>
          </cell>
          <cell r="DZ168" t="str">
            <v>持平</v>
          </cell>
          <cell r="EA168">
            <v>0</v>
          </cell>
          <cell r="EB168" t="str">
            <v>持平</v>
          </cell>
          <cell r="EC168">
            <v>0</v>
          </cell>
          <cell r="ED168">
            <v>0</v>
          </cell>
          <cell r="EE168" t="str">
            <v>持平</v>
          </cell>
          <cell r="EF168">
            <v>0</v>
          </cell>
          <cell r="EG168" t="str">
            <v>持平</v>
          </cell>
          <cell r="EH168" t="str">
            <v/>
          </cell>
          <cell r="EI168" t="str">
            <v/>
          </cell>
          <cell r="EJ168" t="str">
            <v/>
          </cell>
          <cell r="EK168" t="str">
            <v/>
          </cell>
          <cell r="EL168" t="str">
            <v/>
          </cell>
          <cell r="EM168">
            <v>0</v>
          </cell>
          <cell r="EN168">
            <v>0</v>
          </cell>
          <cell r="EO168" t="str">
            <v>持平</v>
          </cell>
          <cell r="EP168">
            <v>0</v>
          </cell>
          <cell r="EQ168" t="str">
            <v>持平</v>
          </cell>
          <cell r="ER168">
            <v>0</v>
          </cell>
          <cell r="ES168">
            <v>0</v>
          </cell>
          <cell r="ET168" t="str">
            <v>持平</v>
          </cell>
          <cell r="EU168">
            <v>0</v>
          </cell>
          <cell r="EV168" t="str">
            <v>持平</v>
          </cell>
          <cell r="EW168" t="str">
            <v/>
          </cell>
          <cell r="EX168" t="str">
            <v/>
          </cell>
          <cell r="EY168" t="str">
            <v/>
          </cell>
          <cell r="EZ168" t="str">
            <v/>
          </cell>
          <cell r="FA168" t="str">
            <v/>
          </cell>
        </row>
        <row r="169">
          <cell r="A169" t="str">
            <v>敲诈勒索</v>
          </cell>
          <cell r="B169" t="str">
            <v>新兴县</v>
          </cell>
        </row>
        <row r="169">
          <cell r="AM169">
            <v>0</v>
          </cell>
          <cell r="AN169">
            <v>0</v>
          </cell>
          <cell r="AO169" t="str">
            <v>持平</v>
          </cell>
          <cell r="AP169">
            <v>0</v>
          </cell>
          <cell r="AQ169" t="str">
            <v>持平</v>
          </cell>
          <cell r="AR169" t="str">
            <v/>
          </cell>
          <cell r="AS169" t="str">
            <v/>
          </cell>
          <cell r="AT169">
            <v>0</v>
          </cell>
          <cell r="AU169">
            <v>0</v>
          </cell>
          <cell r="AV169" t="str">
            <v>持平</v>
          </cell>
          <cell r="AW169">
            <v>0</v>
          </cell>
          <cell r="AX169" t="str">
            <v>持平</v>
          </cell>
          <cell r="AY169">
            <v>0</v>
          </cell>
          <cell r="AZ169">
            <v>0</v>
          </cell>
          <cell r="BA169" t="str">
            <v>持平</v>
          </cell>
          <cell r="BB169">
            <v>0</v>
          </cell>
          <cell r="BC169" t="str">
            <v>持平</v>
          </cell>
          <cell r="BD169" t="str">
            <v/>
          </cell>
          <cell r="BE169" t="str">
            <v/>
          </cell>
          <cell r="BF169">
            <v>0</v>
          </cell>
          <cell r="BG169">
            <v>0</v>
          </cell>
          <cell r="BH169" t="str">
            <v>持平</v>
          </cell>
          <cell r="BI169">
            <v>0</v>
          </cell>
          <cell r="BJ169" t="str">
            <v>持平</v>
          </cell>
          <cell r="BK169" t="str">
            <v/>
          </cell>
          <cell r="BL169">
            <v>0</v>
          </cell>
          <cell r="BM169">
            <v>0</v>
          </cell>
          <cell r="BN169" t="str">
            <v>持平</v>
          </cell>
          <cell r="BO169">
            <v>0</v>
          </cell>
          <cell r="BP169" t="str">
            <v>持平</v>
          </cell>
          <cell r="BQ169">
            <v>0</v>
          </cell>
          <cell r="BR169">
            <v>0</v>
          </cell>
          <cell r="BS169" t="str">
            <v>持平</v>
          </cell>
          <cell r="BT169">
            <v>0</v>
          </cell>
          <cell r="BU169" t="str">
            <v>持平</v>
          </cell>
          <cell r="BV169" t="str">
            <v/>
          </cell>
          <cell r="BW169" t="str">
            <v/>
          </cell>
          <cell r="BX169" t="str">
            <v/>
          </cell>
          <cell r="BY169" t="str">
            <v/>
          </cell>
          <cell r="BZ169">
            <v>0</v>
          </cell>
          <cell r="CA169">
            <v>0</v>
          </cell>
          <cell r="CB169" t="str">
            <v>持平</v>
          </cell>
          <cell r="CC169">
            <v>0</v>
          </cell>
          <cell r="CD169" t="str">
            <v>持平</v>
          </cell>
          <cell r="CE169" t="str">
            <v/>
          </cell>
          <cell r="CF169" t="str">
            <v/>
          </cell>
          <cell r="CG169">
            <v>0</v>
          </cell>
          <cell r="CH169">
            <v>0</v>
          </cell>
          <cell r="CI169" t="str">
            <v>持平</v>
          </cell>
          <cell r="CJ169">
            <v>0</v>
          </cell>
          <cell r="CK169" t="str">
            <v>持平</v>
          </cell>
          <cell r="CL169" t="str">
            <v/>
          </cell>
          <cell r="CM169" t="str">
            <v/>
          </cell>
          <cell r="CN169" t="str">
            <v/>
          </cell>
          <cell r="CO169">
            <v>0</v>
          </cell>
          <cell r="CP169">
            <v>0</v>
          </cell>
          <cell r="CQ169" t="str">
            <v>持平</v>
          </cell>
          <cell r="CR169">
            <v>0</v>
          </cell>
          <cell r="CS169" t="str">
            <v>持平</v>
          </cell>
          <cell r="CT169" t="str">
            <v/>
          </cell>
          <cell r="CU169" t="str">
            <v/>
          </cell>
          <cell r="CV169" t="str">
            <v/>
          </cell>
          <cell r="CW169" t="str">
            <v/>
          </cell>
          <cell r="CX169" t="str">
            <v/>
          </cell>
          <cell r="CY169">
            <v>0</v>
          </cell>
          <cell r="CZ169">
            <v>0</v>
          </cell>
          <cell r="DA169" t="str">
            <v>持平</v>
          </cell>
          <cell r="DB169">
            <v>0</v>
          </cell>
          <cell r="DC169" t="str">
            <v>持平</v>
          </cell>
          <cell r="DD169" t="str">
            <v/>
          </cell>
          <cell r="DE169" t="str">
            <v/>
          </cell>
          <cell r="DF169" t="str">
            <v/>
          </cell>
          <cell r="DG169" t="str">
            <v/>
          </cell>
          <cell r="DH169" t="str">
            <v/>
          </cell>
          <cell r="DI169">
            <v>0</v>
          </cell>
          <cell r="DJ169">
            <v>0</v>
          </cell>
          <cell r="DK169" t="str">
            <v>持平</v>
          </cell>
          <cell r="DL169">
            <v>0</v>
          </cell>
          <cell r="DM169" t="str">
            <v>持平</v>
          </cell>
          <cell r="DN169">
            <v>0</v>
          </cell>
          <cell r="DO169">
            <v>0</v>
          </cell>
          <cell r="DP169" t="str">
            <v>持平</v>
          </cell>
          <cell r="DQ169">
            <v>0</v>
          </cell>
          <cell r="DR169" t="str">
            <v>持平</v>
          </cell>
          <cell r="DS169">
            <v>0</v>
          </cell>
          <cell r="DT169">
            <v>0</v>
          </cell>
          <cell r="DU169" t="str">
            <v>持平</v>
          </cell>
          <cell r="DV169">
            <v>0</v>
          </cell>
          <cell r="DW169" t="str">
            <v>持平</v>
          </cell>
          <cell r="DX169">
            <v>0</v>
          </cell>
          <cell r="DY169">
            <v>0</v>
          </cell>
          <cell r="DZ169" t="str">
            <v>持平</v>
          </cell>
          <cell r="EA169">
            <v>0</v>
          </cell>
          <cell r="EB169" t="str">
            <v>持平</v>
          </cell>
          <cell r="EC169">
            <v>0</v>
          </cell>
          <cell r="ED169">
            <v>0</v>
          </cell>
          <cell r="EE169" t="str">
            <v>持平</v>
          </cell>
          <cell r="EF169">
            <v>0</v>
          </cell>
          <cell r="EG169" t="str">
            <v>持平</v>
          </cell>
          <cell r="EH169" t="str">
            <v/>
          </cell>
          <cell r="EI169" t="str">
            <v/>
          </cell>
          <cell r="EJ169" t="str">
            <v/>
          </cell>
          <cell r="EK169" t="str">
            <v/>
          </cell>
          <cell r="EL169" t="str">
            <v/>
          </cell>
          <cell r="EM169">
            <v>0</v>
          </cell>
          <cell r="EN169">
            <v>0</v>
          </cell>
          <cell r="EO169" t="str">
            <v>持平</v>
          </cell>
          <cell r="EP169">
            <v>0</v>
          </cell>
          <cell r="EQ169" t="str">
            <v>持平</v>
          </cell>
          <cell r="ER169">
            <v>0</v>
          </cell>
          <cell r="ES169">
            <v>0</v>
          </cell>
          <cell r="ET169" t="str">
            <v>持平</v>
          </cell>
          <cell r="EU169">
            <v>0</v>
          </cell>
          <cell r="EV169" t="str">
            <v>持平</v>
          </cell>
          <cell r="EW169" t="str">
            <v/>
          </cell>
          <cell r="EX169" t="str">
            <v/>
          </cell>
          <cell r="EY169" t="str">
            <v/>
          </cell>
          <cell r="EZ169" t="str">
            <v/>
          </cell>
          <cell r="FA169" t="str">
            <v/>
          </cell>
        </row>
        <row r="170">
          <cell r="A170" t="str">
            <v>敲诈勒索</v>
          </cell>
          <cell r="B170" t="str">
            <v>郁南县</v>
          </cell>
        </row>
        <row r="170">
          <cell r="AM170">
            <v>1</v>
          </cell>
          <cell r="AN170">
            <v>0</v>
          </cell>
          <cell r="AO170" t="str">
            <v>多1起</v>
          </cell>
          <cell r="AP170">
            <v>0</v>
          </cell>
          <cell r="AQ170" t="str">
            <v>多1起</v>
          </cell>
          <cell r="AR170">
            <v>1</v>
          </cell>
          <cell r="AS170" t="str">
            <v/>
          </cell>
          <cell r="AT170">
            <v>1</v>
          </cell>
          <cell r="AU170">
            <v>0</v>
          </cell>
          <cell r="AV170" t="str">
            <v>多1起</v>
          </cell>
          <cell r="AW170">
            <v>0</v>
          </cell>
          <cell r="AX170" t="str">
            <v>多1起</v>
          </cell>
          <cell r="AY170">
            <v>1</v>
          </cell>
          <cell r="AZ170">
            <v>0</v>
          </cell>
          <cell r="BA170" t="str">
            <v>多1起</v>
          </cell>
          <cell r="BB170">
            <v>0</v>
          </cell>
          <cell r="BC170" t="str">
            <v>多1起</v>
          </cell>
          <cell r="BD170">
            <v>1</v>
          </cell>
          <cell r="BE170" t="str">
            <v/>
          </cell>
          <cell r="BF170">
            <v>0</v>
          </cell>
          <cell r="BG170">
            <v>0</v>
          </cell>
          <cell r="BH170" t="str">
            <v>持平</v>
          </cell>
          <cell r="BI170">
            <v>0</v>
          </cell>
          <cell r="BJ170" t="str">
            <v>持平</v>
          </cell>
          <cell r="BK170">
            <v>0</v>
          </cell>
          <cell r="BL170">
            <v>0</v>
          </cell>
          <cell r="BM170">
            <v>0</v>
          </cell>
          <cell r="BN170" t="str">
            <v>持平</v>
          </cell>
          <cell r="BO170">
            <v>0</v>
          </cell>
          <cell r="BP170" t="str">
            <v>持平</v>
          </cell>
          <cell r="BQ170">
            <v>0</v>
          </cell>
          <cell r="BR170">
            <v>0</v>
          </cell>
          <cell r="BS170" t="str">
            <v>持平</v>
          </cell>
          <cell r="BT170">
            <v>0</v>
          </cell>
          <cell r="BU170" t="str">
            <v>持平</v>
          </cell>
          <cell r="BV170">
            <v>0</v>
          </cell>
          <cell r="BW170" t="str">
            <v/>
          </cell>
          <cell r="BX170">
            <v>0</v>
          </cell>
          <cell r="BY170" t="str">
            <v/>
          </cell>
          <cell r="BZ170">
            <v>0</v>
          </cell>
          <cell r="CA170">
            <v>0</v>
          </cell>
          <cell r="CB170" t="str">
            <v>持平</v>
          </cell>
          <cell r="CC170">
            <v>0</v>
          </cell>
          <cell r="CD170" t="str">
            <v>持平</v>
          </cell>
          <cell r="CE170" t="str">
            <v/>
          </cell>
          <cell r="CF170" t="str">
            <v/>
          </cell>
          <cell r="CG170">
            <v>0</v>
          </cell>
          <cell r="CH170">
            <v>0</v>
          </cell>
          <cell r="CI170" t="str">
            <v>持平</v>
          </cell>
          <cell r="CJ170">
            <v>0</v>
          </cell>
          <cell r="CK170" t="str">
            <v>持平</v>
          </cell>
          <cell r="CL170">
            <v>0</v>
          </cell>
          <cell r="CM170" t="str">
            <v/>
          </cell>
          <cell r="CN170" t="str">
            <v/>
          </cell>
          <cell r="CO170">
            <v>1</v>
          </cell>
          <cell r="CP170">
            <v>0</v>
          </cell>
          <cell r="CQ170" t="str">
            <v>多1人</v>
          </cell>
          <cell r="CR170">
            <v>0</v>
          </cell>
          <cell r="CS170" t="str">
            <v>多1人</v>
          </cell>
          <cell r="CT170" t="str">
            <v/>
          </cell>
          <cell r="CU170" t="str">
            <v/>
          </cell>
          <cell r="CV170">
            <v>100</v>
          </cell>
          <cell r="CW170" t="str">
            <v/>
          </cell>
          <cell r="CX170" t="str">
            <v/>
          </cell>
          <cell r="CY170">
            <v>1</v>
          </cell>
          <cell r="CZ170">
            <v>0</v>
          </cell>
          <cell r="DA170" t="str">
            <v>多1人</v>
          </cell>
          <cell r="DB170">
            <v>0</v>
          </cell>
          <cell r="DC170" t="str">
            <v>多1人</v>
          </cell>
          <cell r="DD170" t="str">
            <v/>
          </cell>
          <cell r="DE170" t="str">
            <v/>
          </cell>
          <cell r="DF170">
            <v>100</v>
          </cell>
          <cell r="DG170" t="str">
            <v/>
          </cell>
          <cell r="DH170" t="str">
            <v/>
          </cell>
          <cell r="DI170">
            <v>0</v>
          </cell>
          <cell r="DJ170">
            <v>0</v>
          </cell>
          <cell r="DK170" t="str">
            <v>持平</v>
          </cell>
          <cell r="DL170">
            <v>0</v>
          </cell>
          <cell r="DM170" t="str">
            <v>持平</v>
          </cell>
          <cell r="DN170">
            <v>0</v>
          </cell>
          <cell r="DO170">
            <v>0</v>
          </cell>
          <cell r="DP170" t="str">
            <v>持平</v>
          </cell>
          <cell r="DQ170">
            <v>0</v>
          </cell>
          <cell r="DR170" t="str">
            <v>持平</v>
          </cell>
          <cell r="DS170">
            <v>0</v>
          </cell>
          <cell r="DT170">
            <v>0</v>
          </cell>
          <cell r="DU170" t="str">
            <v>持平</v>
          </cell>
          <cell r="DV170">
            <v>0</v>
          </cell>
          <cell r="DW170" t="str">
            <v>持平</v>
          </cell>
          <cell r="DX170">
            <v>0</v>
          </cell>
          <cell r="DY170">
            <v>0</v>
          </cell>
          <cell r="DZ170" t="str">
            <v>持平</v>
          </cell>
          <cell r="EA170">
            <v>0</v>
          </cell>
          <cell r="EB170" t="str">
            <v>持平</v>
          </cell>
          <cell r="EC170">
            <v>0</v>
          </cell>
          <cell r="ED170">
            <v>0</v>
          </cell>
          <cell r="EE170" t="str">
            <v>持平</v>
          </cell>
          <cell r="EF170">
            <v>0</v>
          </cell>
          <cell r="EG170" t="str">
            <v>持平</v>
          </cell>
          <cell r="EH170">
            <v>0</v>
          </cell>
          <cell r="EI170" t="str">
            <v/>
          </cell>
          <cell r="EJ170">
            <v>0</v>
          </cell>
          <cell r="EK170" t="str">
            <v/>
          </cell>
          <cell r="EL170" t="str">
            <v/>
          </cell>
          <cell r="EM170">
            <v>0</v>
          </cell>
          <cell r="EN170">
            <v>0</v>
          </cell>
          <cell r="EO170" t="str">
            <v>持平</v>
          </cell>
          <cell r="EP170">
            <v>0</v>
          </cell>
          <cell r="EQ170" t="str">
            <v>持平</v>
          </cell>
          <cell r="ER170">
            <v>0</v>
          </cell>
          <cell r="ES170">
            <v>0</v>
          </cell>
          <cell r="ET170" t="str">
            <v>持平</v>
          </cell>
          <cell r="EU170">
            <v>0</v>
          </cell>
          <cell r="EV170" t="str">
            <v>持平</v>
          </cell>
          <cell r="EW170">
            <v>0</v>
          </cell>
          <cell r="EX170" t="str">
            <v/>
          </cell>
          <cell r="EY170">
            <v>0</v>
          </cell>
          <cell r="EZ170" t="str">
            <v/>
          </cell>
          <cell r="FA170" t="str">
            <v/>
          </cell>
        </row>
        <row r="171">
          <cell r="A171" t="str">
            <v>敲诈勒索</v>
          </cell>
          <cell r="B171" t="str">
            <v>罗定市</v>
          </cell>
        </row>
        <row r="171">
          <cell r="AM171">
            <v>0</v>
          </cell>
          <cell r="AN171">
            <v>0</v>
          </cell>
          <cell r="AO171" t="str">
            <v>持平</v>
          </cell>
          <cell r="AP171">
            <v>1</v>
          </cell>
          <cell r="AQ171" t="str">
            <v>少1起</v>
          </cell>
          <cell r="AR171" t="str">
            <v/>
          </cell>
          <cell r="AS171" t="str">
            <v/>
          </cell>
          <cell r="AT171">
            <v>0</v>
          </cell>
          <cell r="AU171">
            <v>0</v>
          </cell>
          <cell r="AV171" t="str">
            <v>持平</v>
          </cell>
          <cell r="AW171">
            <v>0</v>
          </cell>
          <cell r="AX171" t="str">
            <v>持平</v>
          </cell>
          <cell r="AY171">
            <v>0</v>
          </cell>
          <cell r="AZ171">
            <v>0</v>
          </cell>
          <cell r="BA171" t="str">
            <v>持平</v>
          </cell>
          <cell r="BB171">
            <v>1</v>
          </cell>
          <cell r="BC171" t="str">
            <v>少1起</v>
          </cell>
          <cell r="BD171" t="str">
            <v/>
          </cell>
          <cell r="BE171" t="str">
            <v/>
          </cell>
          <cell r="BF171">
            <v>0</v>
          </cell>
          <cell r="BG171">
            <v>0</v>
          </cell>
          <cell r="BH171" t="str">
            <v>持平</v>
          </cell>
          <cell r="BI171">
            <v>0</v>
          </cell>
          <cell r="BJ171" t="str">
            <v>持平</v>
          </cell>
          <cell r="BK171" t="str">
            <v/>
          </cell>
          <cell r="BL171">
            <v>0</v>
          </cell>
          <cell r="BM171">
            <v>0</v>
          </cell>
          <cell r="BN171" t="str">
            <v>持平</v>
          </cell>
          <cell r="BO171">
            <v>0</v>
          </cell>
          <cell r="BP171" t="str">
            <v>持平</v>
          </cell>
          <cell r="BQ171">
            <v>0</v>
          </cell>
          <cell r="BR171">
            <v>0</v>
          </cell>
          <cell r="BS171" t="str">
            <v>持平</v>
          </cell>
          <cell r="BT171">
            <v>1</v>
          </cell>
          <cell r="BU171" t="str">
            <v>少1起</v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>
            <v>0</v>
          </cell>
          <cell r="CA171">
            <v>0</v>
          </cell>
          <cell r="CB171" t="str">
            <v>持平</v>
          </cell>
          <cell r="CC171">
            <v>0</v>
          </cell>
          <cell r="CD171" t="str">
            <v>持平</v>
          </cell>
          <cell r="CE171" t="str">
            <v/>
          </cell>
          <cell r="CF171" t="str">
            <v/>
          </cell>
          <cell r="CG171">
            <v>0</v>
          </cell>
          <cell r="CH171">
            <v>0</v>
          </cell>
          <cell r="CI171" t="str">
            <v>持平</v>
          </cell>
          <cell r="CJ171">
            <v>0</v>
          </cell>
          <cell r="CK171" t="str">
            <v>持平</v>
          </cell>
          <cell r="CL171" t="str">
            <v/>
          </cell>
          <cell r="CM171" t="str">
            <v/>
          </cell>
          <cell r="CN171" t="str">
            <v/>
          </cell>
          <cell r="CO171">
            <v>0</v>
          </cell>
          <cell r="CP171">
            <v>0</v>
          </cell>
          <cell r="CQ171" t="str">
            <v>持平</v>
          </cell>
          <cell r="CR171">
            <v>0</v>
          </cell>
          <cell r="CS171" t="str">
            <v>持平</v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>
            <v>0</v>
          </cell>
          <cell r="CZ171">
            <v>0</v>
          </cell>
          <cell r="DA171" t="str">
            <v>持平</v>
          </cell>
          <cell r="DB171">
            <v>0</v>
          </cell>
          <cell r="DC171" t="str">
            <v>持平</v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>
            <v>0</v>
          </cell>
          <cell r="DJ171">
            <v>0</v>
          </cell>
          <cell r="DK171" t="str">
            <v>持平</v>
          </cell>
          <cell r="DL171">
            <v>0</v>
          </cell>
          <cell r="DM171" t="str">
            <v>持平</v>
          </cell>
          <cell r="DN171">
            <v>0</v>
          </cell>
          <cell r="DO171">
            <v>0</v>
          </cell>
          <cell r="DP171" t="str">
            <v>持平</v>
          </cell>
          <cell r="DQ171">
            <v>0</v>
          </cell>
          <cell r="DR171" t="str">
            <v>持平</v>
          </cell>
          <cell r="DS171">
            <v>0</v>
          </cell>
          <cell r="DT171">
            <v>0</v>
          </cell>
          <cell r="DU171" t="str">
            <v>持平</v>
          </cell>
          <cell r="DV171">
            <v>0</v>
          </cell>
          <cell r="DW171" t="str">
            <v>持平</v>
          </cell>
          <cell r="DX171">
            <v>0</v>
          </cell>
          <cell r="DY171">
            <v>0</v>
          </cell>
          <cell r="DZ171" t="str">
            <v>持平</v>
          </cell>
          <cell r="EA171">
            <v>0</v>
          </cell>
          <cell r="EB171" t="str">
            <v>持平</v>
          </cell>
          <cell r="EC171">
            <v>0</v>
          </cell>
          <cell r="ED171">
            <v>0</v>
          </cell>
          <cell r="EE171" t="str">
            <v>持平</v>
          </cell>
          <cell r="EF171">
            <v>0</v>
          </cell>
          <cell r="EG171" t="str">
            <v>持平</v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>
            <v>0</v>
          </cell>
          <cell r="EN171">
            <v>0</v>
          </cell>
          <cell r="EO171" t="str">
            <v>持平</v>
          </cell>
          <cell r="EP171">
            <v>0</v>
          </cell>
          <cell r="EQ171" t="str">
            <v>持平</v>
          </cell>
          <cell r="ER171">
            <v>0</v>
          </cell>
          <cell r="ES171">
            <v>0</v>
          </cell>
          <cell r="ET171" t="str">
            <v>持平</v>
          </cell>
          <cell r="EU171">
            <v>1</v>
          </cell>
          <cell r="EV171" t="str">
            <v>少1人</v>
          </cell>
          <cell r="EW171" t="str">
            <v/>
          </cell>
          <cell r="EX171" t="str">
            <v/>
          </cell>
          <cell r="EY171" t="str">
            <v/>
          </cell>
          <cell r="EZ171" t="str">
            <v/>
          </cell>
          <cell r="FA171" t="str">
            <v/>
          </cell>
        </row>
        <row r="172">
          <cell r="A172" t="str">
            <v>两抢</v>
          </cell>
          <cell r="B172" t="str">
            <v>全省</v>
          </cell>
        </row>
        <row r="172">
          <cell r="AM172">
            <v>71</v>
          </cell>
          <cell r="AN172">
            <v>67</v>
          </cell>
          <cell r="AO172">
            <v>0.0597</v>
          </cell>
          <cell r="AP172">
            <v>81</v>
          </cell>
          <cell r="AQ172">
            <v>-0.1235</v>
          </cell>
          <cell r="AR172">
            <v>1.1094</v>
          </cell>
          <cell r="AS172">
            <v>0.1522</v>
          </cell>
          <cell r="AT172">
            <v>57</v>
          </cell>
          <cell r="AU172">
            <v>55</v>
          </cell>
          <cell r="AV172">
            <v>0.0364</v>
          </cell>
          <cell r="AW172">
            <v>61</v>
          </cell>
          <cell r="AX172">
            <v>-0.0656</v>
          </cell>
          <cell r="AY172">
            <v>56</v>
          </cell>
          <cell r="AZ172">
            <v>50</v>
          </cell>
          <cell r="BA172">
            <v>0.12</v>
          </cell>
          <cell r="BB172">
            <v>65</v>
          </cell>
          <cell r="BC172">
            <v>-0.1385</v>
          </cell>
          <cell r="BD172">
            <v>0.9825</v>
          </cell>
          <cell r="BE172">
            <v>0.0734</v>
          </cell>
          <cell r="BF172">
            <v>7</v>
          </cell>
          <cell r="BG172">
            <v>15</v>
          </cell>
          <cell r="BH172">
            <v>-0.5333</v>
          </cell>
          <cell r="BI172">
            <v>5</v>
          </cell>
          <cell r="BJ172">
            <v>0.4</v>
          </cell>
          <cell r="BK172">
            <v>0.1094</v>
          </cell>
          <cell r="BL172">
            <v>15</v>
          </cell>
          <cell r="BM172">
            <v>17</v>
          </cell>
          <cell r="BN172">
            <v>-0.1176</v>
          </cell>
          <cell r="BO172">
            <v>16</v>
          </cell>
          <cell r="BP172">
            <v>-0.0625</v>
          </cell>
          <cell r="BQ172">
            <v>42</v>
          </cell>
          <cell r="BR172">
            <v>40</v>
          </cell>
          <cell r="BS172">
            <v>0.05</v>
          </cell>
          <cell r="BT172">
            <v>60</v>
          </cell>
          <cell r="BU172">
            <v>-0.3</v>
          </cell>
          <cell r="BV172">
            <v>0.6563</v>
          </cell>
          <cell r="BW172">
            <v>0.0848</v>
          </cell>
          <cell r="BX172">
            <v>0.7368</v>
          </cell>
          <cell r="BY172">
            <v>0.0096</v>
          </cell>
          <cell r="BZ172">
            <v>0</v>
          </cell>
          <cell r="CA172">
            <v>1</v>
          </cell>
          <cell r="CB172" t="str">
            <v>少1起</v>
          </cell>
          <cell r="CC172">
            <v>2</v>
          </cell>
          <cell r="CD172" t="str">
            <v>少2起</v>
          </cell>
          <cell r="CE172" t="str">
            <v/>
          </cell>
          <cell r="CF172" t="str">
            <v/>
          </cell>
          <cell r="CG172">
            <v>144</v>
          </cell>
          <cell r="CH172">
            <v>141</v>
          </cell>
          <cell r="CI172">
            <v>0.0213</v>
          </cell>
          <cell r="CJ172">
            <v>140</v>
          </cell>
          <cell r="CK172">
            <v>0.0286</v>
          </cell>
          <cell r="CL172">
            <v>225</v>
          </cell>
          <cell r="CM172">
            <v>24</v>
          </cell>
          <cell r="CN172">
            <v>0.117</v>
          </cell>
          <cell r="CO172">
            <v>144</v>
          </cell>
          <cell r="CP172">
            <v>118</v>
          </cell>
          <cell r="CQ172">
            <v>0.2203</v>
          </cell>
          <cell r="CR172">
            <v>134</v>
          </cell>
          <cell r="CS172">
            <v>0.0746</v>
          </cell>
          <cell r="CT172">
            <v>1</v>
          </cell>
          <cell r="CU172">
            <v>0.1631</v>
          </cell>
          <cell r="CV172">
            <v>225</v>
          </cell>
          <cell r="CW172">
            <v>56</v>
          </cell>
          <cell r="CX172">
            <v>0.3347</v>
          </cell>
          <cell r="CY172">
            <v>153</v>
          </cell>
          <cell r="CZ172">
            <v>125</v>
          </cell>
          <cell r="DA172">
            <v>0.224</v>
          </cell>
          <cell r="DB172">
            <v>148</v>
          </cell>
          <cell r="DC172">
            <v>0.0338</v>
          </cell>
          <cell r="DD172">
            <v>1.0625</v>
          </cell>
          <cell r="DE172">
            <v>0.176</v>
          </cell>
          <cell r="DF172">
            <v>239</v>
          </cell>
          <cell r="DG172">
            <v>60</v>
          </cell>
          <cell r="DH172">
            <v>0.3388</v>
          </cell>
          <cell r="DI172">
            <v>138</v>
          </cell>
          <cell r="DJ172">
            <v>130</v>
          </cell>
          <cell r="DK172">
            <v>0.0615</v>
          </cell>
          <cell r="DL172">
            <v>154</v>
          </cell>
          <cell r="DM172">
            <v>-0.1039</v>
          </cell>
          <cell r="DN172">
            <v>51</v>
          </cell>
          <cell r="DO172">
            <v>42</v>
          </cell>
          <cell r="DP172">
            <v>0.2143</v>
          </cell>
          <cell r="DQ172">
            <v>47</v>
          </cell>
          <cell r="DR172">
            <v>0.0851</v>
          </cell>
          <cell r="DS172">
            <v>51</v>
          </cell>
          <cell r="DT172">
            <v>42</v>
          </cell>
          <cell r="DU172">
            <v>0.2143</v>
          </cell>
          <cell r="DV172">
            <v>47</v>
          </cell>
          <cell r="DW172">
            <v>0.0851</v>
          </cell>
          <cell r="DX172">
            <v>133</v>
          </cell>
          <cell r="DY172">
            <v>118</v>
          </cell>
          <cell r="DZ172">
            <v>0.1271</v>
          </cell>
          <cell r="EA172">
            <v>141</v>
          </cell>
          <cell r="EB172">
            <v>-0.0567</v>
          </cell>
          <cell r="EC172">
            <v>81</v>
          </cell>
          <cell r="ED172">
            <v>67</v>
          </cell>
          <cell r="EE172">
            <v>0.209</v>
          </cell>
          <cell r="EF172">
            <v>97</v>
          </cell>
          <cell r="EG172">
            <v>-0.1649</v>
          </cell>
          <cell r="EH172">
            <v>0.5625</v>
          </cell>
          <cell r="EI172">
            <v>-0.0053</v>
          </cell>
          <cell r="EJ172">
            <v>127</v>
          </cell>
          <cell r="EK172">
            <v>31</v>
          </cell>
          <cell r="EL172">
            <v>0.3223</v>
          </cell>
          <cell r="EM172">
            <v>82</v>
          </cell>
          <cell r="EN172">
            <v>69</v>
          </cell>
          <cell r="EO172">
            <v>0.1884</v>
          </cell>
          <cell r="EP172">
            <v>96</v>
          </cell>
          <cell r="EQ172">
            <v>-0.1458</v>
          </cell>
          <cell r="ER172">
            <v>79</v>
          </cell>
          <cell r="ES172">
            <v>69</v>
          </cell>
          <cell r="ET172">
            <v>0.1449</v>
          </cell>
          <cell r="EU172">
            <v>117</v>
          </cell>
          <cell r="EV172">
            <v>-0.3248</v>
          </cell>
          <cell r="EW172">
            <v>0.5486</v>
          </cell>
          <cell r="EX172">
            <v>-0.0361</v>
          </cell>
          <cell r="EY172">
            <v>123</v>
          </cell>
          <cell r="EZ172">
            <v>25</v>
          </cell>
          <cell r="FA172">
            <v>0.2523</v>
          </cell>
        </row>
        <row r="173">
          <cell r="A173" t="str">
            <v>两抢</v>
          </cell>
          <cell r="B173" t="str">
            <v>云浮</v>
          </cell>
        </row>
        <row r="173">
          <cell r="AM173">
            <v>3</v>
          </cell>
          <cell r="AN173">
            <v>2</v>
          </cell>
          <cell r="AO173">
            <v>0.5</v>
          </cell>
          <cell r="AP173">
            <v>0</v>
          </cell>
          <cell r="AQ173" t="str">
            <v>多3起</v>
          </cell>
          <cell r="AR173">
            <v>1</v>
          </cell>
          <cell r="AS173">
            <v>0</v>
          </cell>
          <cell r="AT173">
            <v>3</v>
          </cell>
          <cell r="AU173">
            <v>2</v>
          </cell>
          <cell r="AV173">
            <v>0.5</v>
          </cell>
          <cell r="AW173">
            <v>0</v>
          </cell>
          <cell r="AX173" t="str">
            <v>多3起</v>
          </cell>
          <cell r="AY173">
            <v>3</v>
          </cell>
          <cell r="AZ173">
            <v>2</v>
          </cell>
          <cell r="BA173">
            <v>0.5</v>
          </cell>
          <cell r="BB173">
            <v>0</v>
          </cell>
          <cell r="BC173" t="str">
            <v>多3起</v>
          </cell>
          <cell r="BD173">
            <v>1</v>
          </cell>
          <cell r="BE173">
            <v>0</v>
          </cell>
          <cell r="BF173">
            <v>0</v>
          </cell>
          <cell r="BG173">
            <v>0</v>
          </cell>
          <cell r="BH173" t="str">
            <v>持平</v>
          </cell>
          <cell r="BI173">
            <v>0</v>
          </cell>
          <cell r="BJ173" t="str">
            <v>持平</v>
          </cell>
          <cell r="BK173">
            <v>0</v>
          </cell>
          <cell r="BL173">
            <v>0</v>
          </cell>
          <cell r="BM173">
            <v>0</v>
          </cell>
          <cell r="BN173" t="str">
            <v>持平</v>
          </cell>
          <cell r="BO173">
            <v>0</v>
          </cell>
          <cell r="BP173" t="str">
            <v>持平</v>
          </cell>
          <cell r="BQ173">
            <v>0</v>
          </cell>
          <cell r="BR173">
            <v>0</v>
          </cell>
          <cell r="BS173" t="str">
            <v>持平</v>
          </cell>
          <cell r="BT173">
            <v>3</v>
          </cell>
          <cell r="BU173" t="str">
            <v>少3起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 t="str">
            <v>持平</v>
          </cell>
          <cell r="CC173">
            <v>0</v>
          </cell>
          <cell r="CD173" t="str">
            <v>持平</v>
          </cell>
          <cell r="CE173" t="str">
            <v/>
          </cell>
          <cell r="CF173" t="str">
            <v/>
          </cell>
          <cell r="CG173">
            <v>2</v>
          </cell>
          <cell r="CH173">
            <v>3</v>
          </cell>
          <cell r="CI173">
            <v>-0.3333</v>
          </cell>
          <cell r="CJ173">
            <v>0</v>
          </cell>
          <cell r="CK173" t="str">
            <v>多2人</v>
          </cell>
          <cell r="CL173">
            <v>67</v>
          </cell>
          <cell r="CM173">
            <v>-83</v>
          </cell>
          <cell r="CN173">
            <v>-0.5556</v>
          </cell>
          <cell r="CO173">
            <v>4</v>
          </cell>
          <cell r="CP173">
            <v>2</v>
          </cell>
          <cell r="CQ173">
            <v>1</v>
          </cell>
          <cell r="CR173">
            <v>1</v>
          </cell>
          <cell r="CS173">
            <v>3</v>
          </cell>
          <cell r="CT173">
            <v>2</v>
          </cell>
          <cell r="CU173">
            <v>1.3333</v>
          </cell>
          <cell r="CV173">
            <v>133</v>
          </cell>
          <cell r="CW173">
            <v>33</v>
          </cell>
          <cell r="CX173">
            <v>0.3333</v>
          </cell>
          <cell r="CY173">
            <v>4</v>
          </cell>
          <cell r="CZ173">
            <v>2</v>
          </cell>
          <cell r="DA173">
            <v>1</v>
          </cell>
          <cell r="DB173">
            <v>1</v>
          </cell>
          <cell r="DC173">
            <v>3</v>
          </cell>
          <cell r="DD173">
            <v>2</v>
          </cell>
          <cell r="DE173">
            <v>1.3333</v>
          </cell>
          <cell r="DF173">
            <v>133</v>
          </cell>
          <cell r="DG173">
            <v>33</v>
          </cell>
          <cell r="DH173">
            <v>0.3333</v>
          </cell>
          <cell r="DI173">
            <v>4</v>
          </cell>
          <cell r="DJ173">
            <v>2</v>
          </cell>
          <cell r="DK173">
            <v>1</v>
          </cell>
          <cell r="DL173">
            <v>0</v>
          </cell>
          <cell r="DM173" t="str">
            <v>多4人</v>
          </cell>
          <cell r="DN173">
            <v>0</v>
          </cell>
          <cell r="DO173">
            <v>1</v>
          </cell>
          <cell r="DP173" t="str">
            <v>少1人</v>
          </cell>
          <cell r="DQ173">
            <v>0</v>
          </cell>
          <cell r="DR173" t="str">
            <v>持平</v>
          </cell>
          <cell r="DS173">
            <v>0</v>
          </cell>
          <cell r="DT173">
            <v>1</v>
          </cell>
          <cell r="DU173" t="str">
            <v>少1人</v>
          </cell>
          <cell r="DV173">
            <v>0</v>
          </cell>
          <cell r="DW173" t="str">
            <v>持平</v>
          </cell>
          <cell r="DX173">
            <v>1</v>
          </cell>
          <cell r="DY173">
            <v>1</v>
          </cell>
          <cell r="DZ173">
            <v>0</v>
          </cell>
          <cell r="EA173">
            <v>4</v>
          </cell>
          <cell r="EB173">
            <v>-0.75</v>
          </cell>
          <cell r="EC173">
            <v>0</v>
          </cell>
          <cell r="ED173">
            <v>1</v>
          </cell>
          <cell r="EE173" t="str">
            <v>少1人</v>
          </cell>
          <cell r="EF173">
            <v>5</v>
          </cell>
          <cell r="EG173" t="str">
            <v>少5人</v>
          </cell>
          <cell r="EH173">
            <v>0</v>
          </cell>
          <cell r="EI173">
            <v>-0.5</v>
          </cell>
          <cell r="EJ173">
            <v>0</v>
          </cell>
          <cell r="EK173">
            <v>-50</v>
          </cell>
          <cell r="EL173">
            <v>-1</v>
          </cell>
          <cell r="EM173">
            <v>0</v>
          </cell>
          <cell r="EN173">
            <v>1</v>
          </cell>
          <cell r="EO173" t="str">
            <v>少1人</v>
          </cell>
          <cell r="EP173">
            <v>5</v>
          </cell>
          <cell r="EQ173" t="str">
            <v>少5人</v>
          </cell>
          <cell r="ER173">
            <v>0</v>
          </cell>
          <cell r="ES173">
            <v>0</v>
          </cell>
          <cell r="ET173" t="str">
            <v>持平</v>
          </cell>
          <cell r="EU173">
            <v>7</v>
          </cell>
          <cell r="EV173" t="str">
            <v>少7人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 t="str">
            <v/>
          </cell>
        </row>
        <row r="174">
          <cell r="A174" t="str">
            <v>两抢</v>
          </cell>
          <cell r="B174" t="str">
            <v>云城区</v>
          </cell>
        </row>
        <row r="174">
          <cell r="AM174">
            <v>1</v>
          </cell>
          <cell r="AN174">
            <v>2</v>
          </cell>
          <cell r="AO174">
            <v>-0.5</v>
          </cell>
          <cell r="AP174">
            <v>0</v>
          </cell>
          <cell r="AQ174" t="str">
            <v>多1起</v>
          </cell>
          <cell r="AR174">
            <v>1</v>
          </cell>
          <cell r="AS174">
            <v>0</v>
          </cell>
          <cell r="AT174">
            <v>1</v>
          </cell>
          <cell r="AU174">
            <v>2</v>
          </cell>
          <cell r="AV174">
            <v>-0.5</v>
          </cell>
          <cell r="AW174">
            <v>0</v>
          </cell>
          <cell r="AX174" t="str">
            <v>多1起</v>
          </cell>
          <cell r="AY174">
            <v>1</v>
          </cell>
          <cell r="AZ174">
            <v>2</v>
          </cell>
          <cell r="BA174">
            <v>-0.5</v>
          </cell>
          <cell r="BB174">
            <v>0</v>
          </cell>
          <cell r="BC174" t="str">
            <v>多1起</v>
          </cell>
          <cell r="BD174">
            <v>1</v>
          </cell>
          <cell r="BE174">
            <v>0</v>
          </cell>
          <cell r="BF174">
            <v>0</v>
          </cell>
          <cell r="BG174">
            <v>0</v>
          </cell>
          <cell r="BH174" t="str">
            <v>持平</v>
          </cell>
          <cell r="BI174">
            <v>0</v>
          </cell>
          <cell r="BJ174" t="str">
            <v>持平</v>
          </cell>
          <cell r="BK174">
            <v>0</v>
          </cell>
          <cell r="BL174">
            <v>0</v>
          </cell>
          <cell r="BM174">
            <v>0</v>
          </cell>
          <cell r="BN174" t="str">
            <v>持平</v>
          </cell>
          <cell r="BO174">
            <v>0</v>
          </cell>
          <cell r="BP174" t="str">
            <v>持平</v>
          </cell>
          <cell r="BQ174">
            <v>0</v>
          </cell>
          <cell r="BR174">
            <v>0</v>
          </cell>
          <cell r="BS174" t="str">
            <v>持平</v>
          </cell>
          <cell r="BT174">
            <v>1</v>
          </cell>
          <cell r="BU174" t="str">
            <v>少1起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 t="str">
            <v>持平</v>
          </cell>
          <cell r="CC174">
            <v>0</v>
          </cell>
          <cell r="CD174" t="str">
            <v>持平</v>
          </cell>
          <cell r="CE174" t="str">
            <v/>
          </cell>
          <cell r="CF174" t="str">
            <v/>
          </cell>
          <cell r="CG174">
            <v>1</v>
          </cell>
          <cell r="CH174">
            <v>3</v>
          </cell>
          <cell r="CI174">
            <v>-0.6667</v>
          </cell>
          <cell r="CJ174">
            <v>0</v>
          </cell>
          <cell r="CK174" t="str">
            <v>多1人</v>
          </cell>
          <cell r="CL174">
            <v>100</v>
          </cell>
          <cell r="CM174">
            <v>-50</v>
          </cell>
          <cell r="CN174">
            <v>-0.3333</v>
          </cell>
          <cell r="CO174">
            <v>1</v>
          </cell>
          <cell r="CP174">
            <v>2</v>
          </cell>
          <cell r="CQ174">
            <v>-0.5</v>
          </cell>
          <cell r="CR174">
            <v>1</v>
          </cell>
          <cell r="CS174">
            <v>0</v>
          </cell>
          <cell r="CT174">
            <v>1</v>
          </cell>
          <cell r="CU174">
            <v>0.3333</v>
          </cell>
          <cell r="CV174">
            <v>100</v>
          </cell>
          <cell r="CW174">
            <v>0</v>
          </cell>
          <cell r="CX174">
            <v>0</v>
          </cell>
          <cell r="CY174">
            <v>1</v>
          </cell>
          <cell r="CZ174">
            <v>2</v>
          </cell>
          <cell r="DA174">
            <v>-0.5</v>
          </cell>
          <cell r="DB174">
            <v>1</v>
          </cell>
          <cell r="DC174">
            <v>0</v>
          </cell>
          <cell r="DD174">
            <v>1</v>
          </cell>
          <cell r="DE174">
            <v>0.3333</v>
          </cell>
          <cell r="DF174">
            <v>100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 t="str">
            <v>持平</v>
          </cell>
          <cell r="DL174">
            <v>0</v>
          </cell>
          <cell r="DM174" t="str">
            <v>持平</v>
          </cell>
          <cell r="DN174">
            <v>0</v>
          </cell>
          <cell r="DO174">
            <v>1</v>
          </cell>
          <cell r="DP174" t="str">
            <v>少1人</v>
          </cell>
          <cell r="DQ174">
            <v>0</v>
          </cell>
          <cell r="DR174" t="str">
            <v>持平</v>
          </cell>
          <cell r="DS174">
            <v>0</v>
          </cell>
          <cell r="DT174">
            <v>1</v>
          </cell>
          <cell r="DU174" t="str">
            <v>少1人</v>
          </cell>
          <cell r="DV174">
            <v>0</v>
          </cell>
          <cell r="DW174" t="str">
            <v>持平</v>
          </cell>
          <cell r="DX174">
            <v>1</v>
          </cell>
          <cell r="DY174">
            <v>1</v>
          </cell>
          <cell r="DZ174">
            <v>0</v>
          </cell>
          <cell r="EA174">
            <v>4</v>
          </cell>
          <cell r="EB174">
            <v>-0.75</v>
          </cell>
          <cell r="EC174">
            <v>0</v>
          </cell>
          <cell r="ED174">
            <v>1</v>
          </cell>
          <cell r="EE174" t="str">
            <v>少1人</v>
          </cell>
          <cell r="EF174">
            <v>4</v>
          </cell>
          <cell r="EG174" t="str">
            <v>少4人</v>
          </cell>
          <cell r="EH174">
            <v>0</v>
          </cell>
          <cell r="EI174">
            <v>-0.5</v>
          </cell>
          <cell r="EJ174">
            <v>0</v>
          </cell>
          <cell r="EK174">
            <v>-50</v>
          </cell>
          <cell r="EL174">
            <v>-1</v>
          </cell>
          <cell r="EM174">
            <v>0</v>
          </cell>
          <cell r="EN174">
            <v>1</v>
          </cell>
          <cell r="EO174" t="str">
            <v>少1人</v>
          </cell>
          <cell r="EP174">
            <v>4</v>
          </cell>
          <cell r="EQ174" t="str">
            <v>少4人</v>
          </cell>
          <cell r="ER174">
            <v>0</v>
          </cell>
          <cell r="ES174">
            <v>0</v>
          </cell>
          <cell r="ET174" t="str">
            <v>持平</v>
          </cell>
          <cell r="EU174">
            <v>4</v>
          </cell>
          <cell r="EV174" t="str">
            <v>少4人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 t="str">
            <v/>
          </cell>
        </row>
        <row r="175">
          <cell r="A175" t="str">
            <v>两抢</v>
          </cell>
          <cell r="B175" t="str">
            <v>云安区</v>
          </cell>
        </row>
        <row r="175">
          <cell r="AM175">
            <v>0</v>
          </cell>
          <cell r="AN175">
            <v>0</v>
          </cell>
          <cell r="AO175" t="str">
            <v>持平</v>
          </cell>
          <cell r="AP175">
            <v>0</v>
          </cell>
          <cell r="AQ175" t="str">
            <v>持平</v>
          </cell>
          <cell r="AR175" t="str">
            <v/>
          </cell>
          <cell r="AS175" t="str">
            <v/>
          </cell>
          <cell r="AT175">
            <v>0</v>
          </cell>
          <cell r="AU175">
            <v>0</v>
          </cell>
          <cell r="AV175" t="str">
            <v>持平</v>
          </cell>
          <cell r="AW175">
            <v>0</v>
          </cell>
          <cell r="AX175" t="str">
            <v>持平</v>
          </cell>
          <cell r="AY175">
            <v>0</v>
          </cell>
          <cell r="AZ175">
            <v>0</v>
          </cell>
          <cell r="BA175" t="str">
            <v>持平</v>
          </cell>
          <cell r="BB175">
            <v>0</v>
          </cell>
          <cell r="BC175" t="str">
            <v>持平</v>
          </cell>
          <cell r="BD175" t="str">
            <v/>
          </cell>
          <cell r="BE175" t="str">
            <v/>
          </cell>
          <cell r="BF175">
            <v>0</v>
          </cell>
          <cell r="BG175">
            <v>0</v>
          </cell>
          <cell r="BH175" t="str">
            <v>持平</v>
          </cell>
          <cell r="BI175">
            <v>0</v>
          </cell>
          <cell r="BJ175" t="str">
            <v>持平</v>
          </cell>
          <cell r="BK175" t="str">
            <v/>
          </cell>
          <cell r="BL175">
            <v>0</v>
          </cell>
          <cell r="BM175">
            <v>0</v>
          </cell>
          <cell r="BN175" t="str">
            <v>持平</v>
          </cell>
          <cell r="BO175">
            <v>0</v>
          </cell>
          <cell r="BP175" t="str">
            <v>持平</v>
          </cell>
          <cell r="BQ175">
            <v>0</v>
          </cell>
          <cell r="BR175">
            <v>0</v>
          </cell>
          <cell r="BS175" t="str">
            <v>持平</v>
          </cell>
          <cell r="BT175">
            <v>0</v>
          </cell>
          <cell r="BU175" t="str">
            <v>持平</v>
          </cell>
          <cell r="BV175" t="str">
            <v/>
          </cell>
          <cell r="BW175" t="str">
            <v/>
          </cell>
          <cell r="BX175" t="str">
            <v/>
          </cell>
          <cell r="BY175" t="str">
            <v/>
          </cell>
          <cell r="BZ175">
            <v>0</v>
          </cell>
          <cell r="CA175">
            <v>0</v>
          </cell>
          <cell r="CB175" t="str">
            <v>持平</v>
          </cell>
          <cell r="CC175">
            <v>0</v>
          </cell>
          <cell r="CD175" t="str">
            <v>持平</v>
          </cell>
          <cell r="CE175" t="str">
            <v/>
          </cell>
          <cell r="CF175" t="str">
            <v/>
          </cell>
          <cell r="CG175">
            <v>0</v>
          </cell>
          <cell r="CH175">
            <v>0</v>
          </cell>
          <cell r="CI175" t="str">
            <v>持平</v>
          </cell>
          <cell r="CJ175">
            <v>0</v>
          </cell>
          <cell r="CK175" t="str">
            <v>持平</v>
          </cell>
          <cell r="CL175" t="str">
            <v/>
          </cell>
          <cell r="CM175" t="str">
            <v/>
          </cell>
          <cell r="CN175" t="str">
            <v/>
          </cell>
          <cell r="CO175">
            <v>0</v>
          </cell>
          <cell r="CP175">
            <v>0</v>
          </cell>
          <cell r="CQ175" t="str">
            <v>持平</v>
          </cell>
          <cell r="CR175">
            <v>0</v>
          </cell>
          <cell r="CS175" t="str">
            <v>持平</v>
          </cell>
          <cell r="CT175" t="str">
            <v/>
          </cell>
          <cell r="CU175" t="str">
            <v/>
          </cell>
          <cell r="CV175" t="str">
            <v/>
          </cell>
          <cell r="CW175" t="str">
            <v/>
          </cell>
          <cell r="CX175" t="str">
            <v/>
          </cell>
          <cell r="CY175">
            <v>0</v>
          </cell>
          <cell r="CZ175">
            <v>0</v>
          </cell>
          <cell r="DA175" t="str">
            <v>持平</v>
          </cell>
          <cell r="DB175">
            <v>0</v>
          </cell>
          <cell r="DC175" t="str">
            <v>持平</v>
          </cell>
          <cell r="DD175" t="str">
            <v/>
          </cell>
          <cell r="DE175" t="str">
            <v/>
          </cell>
          <cell r="DF175" t="str">
            <v/>
          </cell>
          <cell r="DG175" t="str">
            <v/>
          </cell>
          <cell r="DH175" t="str">
            <v/>
          </cell>
          <cell r="DI175">
            <v>0</v>
          </cell>
          <cell r="DJ175">
            <v>0</v>
          </cell>
          <cell r="DK175" t="str">
            <v>持平</v>
          </cell>
          <cell r="DL175">
            <v>0</v>
          </cell>
          <cell r="DM175" t="str">
            <v>持平</v>
          </cell>
          <cell r="DN175">
            <v>0</v>
          </cell>
          <cell r="DO175">
            <v>0</v>
          </cell>
          <cell r="DP175" t="str">
            <v>持平</v>
          </cell>
          <cell r="DQ175">
            <v>0</v>
          </cell>
          <cell r="DR175" t="str">
            <v>持平</v>
          </cell>
          <cell r="DS175">
            <v>0</v>
          </cell>
          <cell r="DT175">
            <v>0</v>
          </cell>
          <cell r="DU175" t="str">
            <v>持平</v>
          </cell>
          <cell r="DV175">
            <v>0</v>
          </cell>
          <cell r="DW175" t="str">
            <v>持平</v>
          </cell>
          <cell r="DX175">
            <v>0</v>
          </cell>
          <cell r="DY175">
            <v>0</v>
          </cell>
          <cell r="DZ175" t="str">
            <v>持平</v>
          </cell>
          <cell r="EA175">
            <v>0</v>
          </cell>
          <cell r="EB175" t="str">
            <v>持平</v>
          </cell>
          <cell r="EC175">
            <v>0</v>
          </cell>
          <cell r="ED175">
            <v>0</v>
          </cell>
          <cell r="EE175" t="str">
            <v>持平</v>
          </cell>
          <cell r="EF175">
            <v>0</v>
          </cell>
          <cell r="EG175" t="str">
            <v>持平</v>
          </cell>
          <cell r="EH175" t="str">
            <v/>
          </cell>
          <cell r="EI175" t="str">
            <v/>
          </cell>
          <cell r="EJ175" t="str">
            <v/>
          </cell>
          <cell r="EK175" t="str">
            <v/>
          </cell>
          <cell r="EL175" t="str">
            <v/>
          </cell>
          <cell r="EM175">
            <v>0</v>
          </cell>
          <cell r="EN175">
            <v>0</v>
          </cell>
          <cell r="EO175" t="str">
            <v>持平</v>
          </cell>
          <cell r="EP175">
            <v>0</v>
          </cell>
          <cell r="EQ175" t="str">
            <v>持平</v>
          </cell>
          <cell r="ER175">
            <v>0</v>
          </cell>
          <cell r="ES175">
            <v>0</v>
          </cell>
          <cell r="ET175" t="str">
            <v>持平</v>
          </cell>
          <cell r="EU175">
            <v>0</v>
          </cell>
          <cell r="EV175" t="str">
            <v>持平</v>
          </cell>
          <cell r="EW175" t="str">
            <v/>
          </cell>
          <cell r="EX175" t="str">
            <v/>
          </cell>
          <cell r="EY175" t="str">
            <v/>
          </cell>
          <cell r="EZ175" t="str">
            <v/>
          </cell>
          <cell r="FA175" t="str">
            <v/>
          </cell>
        </row>
        <row r="176">
          <cell r="A176" t="str">
            <v>两抢</v>
          </cell>
          <cell r="B176" t="str">
            <v>新兴县</v>
          </cell>
        </row>
        <row r="176">
          <cell r="AM176">
            <v>0</v>
          </cell>
          <cell r="AN176">
            <v>0</v>
          </cell>
          <cell r="AO176" t="str">
            <v>持平</v>
          </cell>
          <cell r="AP176">
            <v>0</v>
          </cell>
          <cell r="AQ176" t="str">
            <v>持平</v>
          </cell>
          <cell r="AR176" t="str">
            <v/>
          </cell>
          <cell r="AS176" t="str">
            <v/>
          </cell>
          <cell r="AT176">
            <v>0</v>
          </cell>
          <cell r="AU176">
            <v>0</v>
          </cell>
          <cell r="AV176" t="str">
            <v>持平</v>
          </cell>
          <cell r="AW176">
            <v>0</v>
          </cell>
          <cell r="AX176" t="str">
            <v>持平</v>
          </cell>
          <cell r="AY176">
            <v>0</v>
          </cell>
          <cell r="AZ176">
            <v>0</v>
          </cell>
          <cell r="BA176" t="str">
            <v>持平</v>
          </cell>
          <cell r="BB176">
            <v>0</v>
          </cell>
          <cell r="BC176" t="str">
            <v>持平</v>
          </cell>
          <cell r="BD176" t="str">
            <v/>
          </cell>
          <cell r="BE176" t="str">
            <v/>
          </cell>
          <cell r="BF176">
            <v>0</v>
          </cell>
          <cell r="BG176">
            <v>0</v>
          </cell>
          <cell r="BH176" t="str">
            <v>持平</v>
          </cell>
          <cell r="BI176">
            <v>0</v>
          </cell>
          <cell r="BJ176" t="str">
            <v>持平</v>
          </cell>
          <cell r="BK176" t="str">
            <v/>
          </cell>
          <cell r="BL176">
            <v>0</v>
          </cell>
          <cell r="BM176">
            <v>0</v>
          </cell>
          <cell r="BN176" t="str">
            <v>持平</v>
          </cell>
          <cell r="BO176">
            <v>0</v>
          </cell>
          <cell r="BP176" t="str">
            <v>持平</v>
          </cell>
          <cell r="BQ176">
            <v>0</v>
          </cell>
          <cell r="BR176">
            <v>0</v>
          </cell>
          <cell r="BS176" t="str">
            <v>持平</v>
          </cell>
          <cell r="BT176">
            <v>1</v>
          </cell>
          <cell r="BU176" t="str">
            <v>少1起</v>
          </cell>
          <cell r="BV176" t="str">
            <v/>
          </cell>
          <cell r="BW176" t="str">
            <v/>
          </cell>
          <cell r="BX176" t="str">
            <v/>
          </cell>
          <cell r="BY176" t="str">
            <v/>
          </cell>
          <cell r="BZ176">
            <v>0</v>
          </cell>
          <cell r="CA176">
            <v>0</v>
          </cell>
          <cell r="CB176" t="str">
            <v>持平</v>
          </cell>
          <cell r="CC176">
            <v>0</v>
          </cell>
          <cell r="CD176" t="str">
            <v>持平</v>
          </cell>
          <cell r="CE176" t="str">
            <v/>
          </cell>
          <cell r="CF176" t="str">
            <v/>
          </cell>
          <cell r="CG176">
            <v>0</v>
          </cell>
          <cell r="CH176">
            <v>0</v>
          </cell>
          <cell r="CI176" t="str">
            <v>持平</v>
          </cell>
          <cell r="CJ176">
            <v>0</v>
          </cell>
          <cell r="CK176" t="str">
            <v>持平</v>
          </cell>
          <cell r="CL176" t="str">
            <v/>
          </cell>
          <cell r="CM176" t="str">
            <v/>
          </cell>
          <cell r="CN176" t="str">
            <v/>
          </cell>
          <cell r="CO176">
            <v>1</v>
          </cell>
          <cell r="CP176">
            <v>0</v>
          </cell>
          <cell r="CQ176" t="str">
            <v>多1人</v>
          </cell>
          <cell r="CR176">
            <v>0</v>
          </cell>
          <cell r="CS176" t="str">
            <v>多1人</v>
          </cell>
          <cell r="CT176" t="str">
            <v/>
          </cell>
          <cell r="CU176" t="str">
            <v/>
          </cell>
          <cell r="CV176" t="str">
            <v/>
          </cell>
          <cell r="CW176" t="str">
            <v/>
          </cell>
          <cell r="CX176" t="str">
            <v/>
          </cell>
          <cell r="CY176">
            <v>1</v>
          </cell>
          <cell r="CZ176">
            <v>0</v>
          </cell>
          <cell r="DA176" t="str">
            <v>多1人</v>
          </cell>
          <cell r="DB176">
            <v>0</v>
          </cell>
          <cell r="DC176" t="str">
            <v>多1人</v>
          </cell>
          <cell r="DD176" t="str">
            <v/>
          </cell>
          <cell r="DE176" t="str">
            <v/>
          </cell>
          <cell r="DF176" t="str">
            <v/>
          </cell>
          <cell r="DG176" t="str">
            <v/>
          </cell>
          <cell r="DH176" t="str">
            <v/>
          </cell>
          <cell r="DI176">
            <v>1</v>
          </cell>
          <cell r="DJ176">
            <v>0</v>
          </cell>
          <cell r="DK176" t="str">
            <v>多1人</v>
          </cell>
          <cell r="DL176">
            <v>0</v>
          </cell>
          <cell r="DM176" t="str">
            <v>多1人</v>
          </cell>
          <cell r="DN176">
            <v>0</v>
          </cell>
          <cell r="DO176">
            <v>0</v>
          </cell>
          <cell r="DP176" t="str">
            <v>持平</v>
          </cell>
          <cell r="DQ176">
            <v>0</v>
          </cell>
          <cell r="DR176" t="str">
            <v>持平</v>
          </cell>
          <cell r="DS176">
            <v>0</v>
          </cell>
          <cell r="DT176">
            <v>0</v>
          </cell>
          <cell r="DU176" t="str">
            <v>持平</v>
          </cell>
          <cell r="DV176">
            <v>0</v>
          </cell>
          <cell r="DW176" t="str">
            <v>持平</v>
          </cell>
          <cell r="DX176">
            <v>0</v>
          </cell>
          <cell r="DY176">
            <v>0</v>
          </cell>
          <cell r="DZ176" t="str">
            <v>持平</v>
          </cell>
          <cell r="EA176">
            <v>0</v>
          </cell>
          <cell r="EB176" t="str">
            <v>持平</v>
          </cell>
          <cell r="EC176">
            <v>0</v>
          </cell>
          <cell r="ED176">
            <v>0</v>
          </cell>
          <cell r="EE176" t="str">
            <v>持平</v>
          </cell>
          <cell r="EF176">
            <v>0</v>
          </cell>
          <cell r="EG176" t="str">
            <v>持平</v>
          </cell>
          <cell r="EH176">
            <v>0</v>
          </cell>
          <cell r="EI176" t="str">
            <v/>
          </cell>
          <cell r="EJ176" t="str">
            <v/>
          </cell>
          <cell r="EK176" t="str">
            <v/>
          </cell>
          <cell r="EL176" t="str">
            <v/>
          </cell>
          <cell r="EM176">
            <v>0</v>
          </cell>
          <cell r="EN176">
            <v>0</v>
          </cell>
          <cell r="EO176" t="str">
            <v>持平</v>
          </cell>
          <cell r="EP176">
            <v>0</v>
          </cell>
          <cell r="EQ176" t="str">
            <v>持平</v>
          </cell>
          <cell r="ER176">
            <v>0</v>
          </cell>
          <cell r="ES176">
            <v>0</v>
          </cell>
          <cell r="ET176" t="str">
            <v>持平</v>
          </cell>
          <cell r="EU176">
            <v>2</v>
          </cell>
          <cell r="EV176" t="str">
            <v>少2人</v>
          </cell>
          <cell r="EW176">
            <v>0</v>
          </cell>
          <cell r="EX176" t="str">
            <v/>
          </cell>
          <cell r="EY176" t="str">
            <v/>
          </cell>
          <cell r="EZ176" t="str">
            <v/>
          </cell>
          <cell r="FA176" t="str">
            <v/>
          </cell>
        </row>
        <row r="177">
          <cell r="A177" t="str">
            <v>两抢</v>
          </cell>
          <cell r="B177" t="str">
            <v>郁南县</v>
          </cell>
        </row>
        <row r="177">
          <cell r="AM177">
            <v>2</v>
          </cell>
          <cell r="AN177">
            <v>0</v>
          </cell>
          <cell r="AO177" t="str">
            <v>多2起</v>
          </cell>
          <cell r="AP177">
            <v>0</v>
          </cell>
          <cell r="AQ177" t="str">
            <v>多2起</v>
          </cell>
          <cell r="AR177">
            <v>1</v>
          </cell>
          <cell r="AS177" t="str">
            <v/>
          </cell>
          <cell r="AT177">
            <v>2</v>
          </cell>
          <cell r="AU177">
            <v>0</v>
          </cell>
          <cell r="AV177" t="str">
            <v>多2起</v>
          </cell>
          <cell r="AW177">
            <v>0</v>
          </cell>
          <cell r="AX177" t="str">
            <v>多2起</v>
          </cell>
          <cell r="AY177">
            <v>2</v>
          </cell>
          <cell r="AZ177">
            <v>0</v>
          </cell>
          <cell r="BA177" t="str">
            <v>多2起</v>
          </cell>
          <cell r="BB177">
            <v>0</v>
          </cell>
          <cell r="BC177" t="str">
            <v>多2起</v>
          </cell>
          <cell r="BD177">
            <v>1</v>
          </cell>
          <cell r="BE177" t="str">
            <v/>
          </cell>
          <cell r="BF177">
            <v>0</v>
          </cell>
          <cell r="BG177">
            <v>0</v>
          </cell>
          <cell r="BH177" t="str">
            <v>持平</v>
          </cell>
          <cell r="BI177">
            <v>0</v>
          </cell>
          <cell r="BJ177" t="str">
            <v>持平</v>
          </cell>
          <cell r="BK177">
            <v>0</v>
          </cell>
          <cell r="BL177">
            <v>0</v>
          </cell>
          <cell r="BM177">
            <v>0</v>
          </cell>
          <cell r="BN177" t="str">
            <v>持平</v>
          </cell>
          <cell r="BO177">
            <v>0</v>
          </cell>
          <cell r="BP177" t="str">
            <v>持平</v>
          </cell>
          <cell r="BQ177">
            <v>0</v>
          </cell>
          <cell r="BR177">
            <v>0</v>
          </cell>
          <cell r="BS177" t="str">
            <v>持平</v>
          </cell>
          <cell r="BT177">
            <v>0</v>
          </cell>
          <cell r="BU177" t="str">
            <v>持平</v>
          </cell>
          <cell r="BV177">
            <v>0</v>
          </cell>
          <cell r="BW177" t="str">
            <v/>
          </cell>
          <cell r="BX177">
            <v>0</v>
          </cell>
          <cell r="BY177" t="str">
            <v/>
          </cell>
          <cell r="BZ177">
            <v>0</v>
          </cell>
          <cell r="CA177">
            <v>0</v>
          </cell>
          <cell r="CB177" t="str">
            <v>持平</v>
          </cell>
          <cell r="CC177">
            <v>0</v>
          </cell>
          <cell r="CD177" t="str">
            <v>持平</v>
          </cell>
          <cell r="CE177" t="str">
            <v/>
          </cell>
          <cell r="CF177" t="str">
            <v/>
          </cell>
          <cell r="CG177">
            <v>1</v>
          </cell>
          <cell r="CH177">
            <v>0</v>
          </cell>
          <cell r="CI177" t="str">
            <v>多1人</v>
          </cell>
          <cell r="CJ177">
            <v>0</v>
          </cell>
          <cell r="CK177" t="str">
            <v>多1人</v>
          </cell>
          <cell r="CL177">
            <v>50</v>
          </cell>
          <cell r="CM177" t="str">
            <v/>
          </cell>
          <cell r="CN177" t="str">
            <v/>
          </cell>
          <cell r="CO177">
            <v>2</v>
          </cell>
          <cell r="CP177">
            <v>0</v>
          </cell>
          <cell r="CQ177" t="str">
            <v>多2人</v>
          </cell>
          <cell r="CR177">
            <v>0</v>
          </cell>
          <cell r="CS177" t="str">
            <v>多2人</v>
          </cell>
          <cell r="CT177">
            <v>2</v>
          </cell>
          <cell r="CU177" t="str">
            <v/>
          </cell>
          <cell r="CV177">
            <v>100</v>
          </cell>
          <cell r="CW177" t="str">
            <v/>
          </cell>
          <cell r="CX177" t="str">
            <v/>
          </cell>
          <cell r="CY177">
            <v>2</v>
          </cell>
          <cell r="CZ177">
            <v>0</v>
          </cell>
          <cell r="DA177" t="str">
            <v>多2人</v>
          </cell>
          <cell r="DB177">
            <v>0</v>
          </cell>
          <cell r="DC177" t="str">
            <v>多2人</v>
          </cell>
          <cell r="DD177">
            <v>2</v>
          </cell>
          <cell r="DE177" t="str">
            <v/>
          </cell>
          <cell r="DF177">
            <v>100</v>
          </cell>
          <cell r="DG177" t="str">
            <v/>
          </cell>
          <cell r="DH177" t="str">
            <v/>
          </cell>
          <cell r="DI177">
            <v>1</v>
          </cell>
          <cell r="DJ177">
            <v>0</v>
          </cell>
          <cell r="DK177" t="str">
            <v>多1人</v>
          </cell>
          <cell r="DL177">
            <v>0</v>
          </cell>
          <cell r="DM177" t="str">
            <v>多1人</v>
          </cell>
          <cell r="DN177">
            <v>0</v>
          </cell>
          <cell r="DO177">
            <v>0</v>
          </cell>
          <cell r="DP177" t="str">
            <v>持平</v>
          </cell>
          <cell r="DQ177">
            <v>0</v>
          </cell>
          <cell r="DR177" t="str">
            <v>持平</v>
          </cell>
          <cell r="DS177">
            <v>0</v>
          </cell>
          <cell r="DT177">
            <v>0</v>
          </cell>
          <cell r="DU177" t="str">
            <v>持平</v>
          </cell>
          <cell r="DV177">
            <v>0</v>
          </cell>
          <cell r="DW177" t="str">
            <v>持平</v>
          </cell>
          <cell r="DX177">
            <v>0</v>
          </cell>
          <cell r="DY177">
            <v>0</v>
          </cell>
          <cell r="DZ177" t="str">
            <v>持平</v>
          </cell>
          <cell r="EA177">
            <v>0</v>
          </cell>
          <cell r="EB177" t="str">
            <v>持平</v>
          </cell>
          <cell r="EC177">
            <v>0</v>
          </cell>
          <cell r="ED177">
            <v>0</v>
          </cell>
          <cell r="EE177" t="str">
            <v>持平</v>
          </cell>
          <cell r="EF177">
            <v>0</v>
          </cell>
          <cell r="EG177" t="str">
            <v>持平</v>
          </cell>
          <cell r="EH177">
            <v>0</v>
          </cell>
          <cell r="EI177" t="str">
            <v/>
          </cell>
          <cell r="EJ177">
            <v>0</v>
          </cell>
          <cell r="EK177" t="str">
            <v/>
          </cell>
          <cell r="EL177" t="str">
            <v/>
          </cell>
          <cell r="EM177">
            <v>0</v>
          </cell>
          <cell r="EN177">
            <v>0</v>
          </cell>
          <cell r="EO177" t="str">
            <v>持平</v>
          </cell>
          <cell r="EP177">
            <v>0</v>
          </cell>
          <cell r="EQ177" t="str">
            <v>持平</v>
          </cell>
          <cell r="ER177">
            <v>0</v>
          </cell>
          <cell r="ES177">
            <v>0</v>
          </cell>
          <cell r="ET177" t="str">
            <v>持平</v>
          </cell>
          <cell r="EU177">
            <v>0</v>
          </cell>
          <cell r="EV177" t="str">
            <v>持平</v>
          </cell>
          <cell r="EW177">
            <v>0</v>
          </cell>
          <cell r="EX177" t="str">
            <v/>
          </cell>
          <cell r="EY177">
            <v>0</v>
          </cell>
          <cell r="EZ177" t="str">
            <v/>
          </cell>
          <cell r="FA177" t="str">
            <v/>
          </cell>
        </row>
        <row r="178">
          <cell r="A178" t="str">
            <v>两抢</v>
          </cell>
          <cell r="B178" t="str">
            <v>罗定市</v>
          </cell>
        </row>
        <row r="178">
          <cell r="AM178">
            <v>0</v>
          </cell>
          <cell r="AN178">
            <v>0</v>
          </cell>
          <cell r="AO178" t="str">
            <v>持平</v>
          </cell>
          <cell r="AP178">
            <v>0</v>
          </cell>
          <cell r="AQ178" t="str">
            <v>持平</v>
          </cell>
          <cell r="AR178" t="str">
            <v/>
          </cell>
          <cell r="AS178" t="str">
            <v/>
          </cell>
          <cell r="AT178">
            <v>0</v>
          </cell>
          <cell r="AU178">
            <v>0</v>
          </cell>
          <cell r="AV178" t="str">
            <v>持平</v>
          </cell>
          <cell r="AW178">
            <v>0</v>
          </cell>
          <cell r="AX178" t="str">
            <v>持平</v>
          </cell>
          <cell r="AY178">
            <v>0</v>
          </cell>
          <cell r="AZ178">
            <v>0</v>
          </cell>
          <cell r="BA178" t="str">
            <v>持平</v>
          </cell>
          <cell r="BB178">
            <v>0</v>
          </cell>
          <cell r="BC178" t="str">
            <v>持平</v>
          </cell>
          <cell r="BD178" t="str">
            <v/>
          </cell>
          <cell r="BE178" t="str">
            <v/>
          </cell>
          <cell r="BF178">
            <v>0</v>
          </cell>
          <cell r="BG178">
            <v>0</v>
          </cell>
          <cell r="BH178" t="str">
            <v>持平</v>
          </cell>
          <cell r="BI178">
            <v>0</v>
          </cell>
          <cell r="BJ178" t="str">
            <v>持平</v>
          </cell>
          <cell r="BK178" t="str">
            <v/>
          </cell>
          <cell r="BL178">
            <v>0</v>
          </cell>
          <cell r="BM178">
            <v>0</v>
          </cell>
          <cell r="BN178" t="str">
            <v>持平</v>
          </cell>
          <cell r="BO178">
            <v>0</v>
          </cell>
          <cell r="BP178" t="str">
            <v>持平</v>
          </cell>
          <cell r="BQ178">
            <v>0</v>
          </cell>
          <cell r="BR178">
            <v>0</v>
          </cell>
          <cell r="BS178" t="str">
            <v>持平</v>
          </cell>
          <cell r="BT178">
            <v>1</v>
          </cell>
          <cell r="BU178" t="str">
            <v>少1起</v>
          </cell>
          <cell r="BV178" t="str">
            <v/>
          </cell>
          <cell r="BW178" t="str">
            <v/>
          </cell>
          <cell r="BX178" t="str">
            <v/>
          </cell>
          <cell r="BY178" t="str">
            <v/>
          </cell>
          <cell r="BZ178">
            <v>0</v>
          </cell>
          <cell r="CA178">
            <v>0</v>
          </cell>
          <cell r="CB178" t="str">
            <v>持平</v>
          </cell>
          <cell r="CC178">
            <v>0</v>
          </cell>
          <cell r="CD178" t="str">
            <v>持平</v>
          </cell>
          <cell r="CE178" t="str">
            <v/>
          </cell>
          <cell r="CF178" t="str">
            <v/>
          </cell>
          <cell r="CG178">
            <v>0</v>
          </cell>
          <cell r="CH178">
            <v>0</v>
          </cell>
          <cell r="CI178" t="str">
            <v>持平</v>
          </cell>
          <cell r="CJ178">
            <v>0</v>
          </cell>
          <cell r="CK178" t="str">
            <v>持平</v>
          </cell>
          <cell r="CL178" t="str">
            <v/>
          </cell>
          <cell r="CM178" t="str">
            <v/>
          </cell>
          <cell r="CN178" t="str">
            <v/>
          </cell>
          <cell r="CO178">
            <v>0</v>
          </cell>
          <cell r="CP178">
            <v>0</v>
          </cell>
          <cell r="CQ178" t="str">
            <v>持平</v>
          </cell>
          <cell r="CR178">
            <v>0</v>
          </cell>
          <cell r="CS178" t="str">
            <v>持平</v>
          </cell>
          <cell r="CT178" t="str">
            <v/>
          </cell>
          <cell r="CU178" t="str">
            <v/>
          </cell>
          <cell r="CV178" t="str">
            <v/>
          </cell>
          <cell r="CW178" t="str">
            <v/>
          </cell>
          <cell r="CX178" t="str">
            <v/>
          </cell>
          <cell r="CY178">
            <v>0</v>
          </cell>
          <cell r="CZ178">
            <v>0</v>
          </cell>
          <cell r="DA178" t="str">
            <v>持平</v>
          </cell>
          <cell r="DB178">
            <v>0</v>
          </cell>
          <cell r="DC178" t="str">
            <v>持平</v>
          </cell>
          <cell r="DD178" t="str">
            <v/>
          </cell>
          <cell r="DE178" t="str">
            <v/>
          </cell>
          <cell r="DF178" t="str">
            <v/>
          </cell>
          <cell r="DG178" t="str">
            <v/>
          </cell>
          <cell r="DH178" t="str">
            <v/>
          </cell>
          <cell r="DI178">
            <v>0</v>
          </cell>
          <cell r="DJ178">
            <v>0</v>
          </cell>
          <cell r="DK178" t="str">
            <v>持平</v>
          </cell>
          <cell r="DL178">
            <v>0</v>
          </cell>
          <cell r="DM178" t="str">
            <v>持平</v>
          </cell>
          <cell r="DN178">
            <v>0</v>
          </cell>
          <cell r="DO178">
            <v>0</v>
          </cell>
          <cell r="DP178" t="str">
            <v>持平</v>
          </cell>
          <cell r="DQ178">
            <v>0</v>
          </cell>
          <cell r="DR178" t="str">
            <v>持平</v>
          </cell>
          <cell r="DS178">
            <v>0</v>
          </cell>
          <cell r="DT178">
            <v>0</v>
          </cell>
          <cell r="DU178" t="str">
            <v>持平</v>
          </cell>
          <cell r="DV178">
            <v>0</v>
          </cell>
          <cell r="DW178" t="str">
            <v>持平</v>
          </cell>
          <cell r="DX178">
            <v>0</v>
          </cell>
          <cell r="DY178">
            <v>0</v>
          </cell>
          <cell r="DZ178" t="str">
            <v>持平</v>
          </cell>
          <cell r="EA178">
            <v>0</v>
          </cell>
          <cell r="EB178" t="str">
            <v>持平</v>
          </cell>
          <cell r="EC178">
            <v>0</v>
          </cell>
          <cell r="ED178">
            <v>0</v>
          </cell>
          <cell r="EE178" t="str">
            <v>持平</v>
          </cell>
          <cell r="EF178">
            <v>1</v>
          </cell>
          <cell r="EG178" t="str">
            <v>少1人</v>
          </cell>
          <cell r="EH178" t="str">
            <v/>
          </cell>
          <cell r="EI178" t="str">
            <v/>
          </cell>
          <cell r="EJ178" t="str">
            <v/>
          </cell>
          <cell r="EK178" t="str">
            <v/>
          </cell>
          <cell r="EL178" t="str">
            <v/>
          </cell>
          <cell r="EM178">
            <v>0</v>
          </cell>
          <cell r="EN178">
            <v>0</v>
          </cell>
          <cell r="EO178" t="str">
            <v>持平</v>
          </cell>
          <cell r="EP178">
            <v>1</v>
          </cell>
          <cell r="EQ178" t="str">
            <v>少1人</v>
          </cell>
          <cell r="ER178">
            <v>0</v>
          </cell>
          <cell r="ES178">
            <v>0</v>
          </cell>
          <cell r="ET178" t="str">
            <v>持平</v>
          </cell>
          <cell r="EU178">
            <v>1</v>
          </cell>
          <cell r="EV178" t="str">
            <v>少1人</v>
          </cell>
          <cell r="EW178" t="str">
            <v/>
          </cell>
          <cell r="EX178" t="str">
            <v/>
          </cell>
          <cell r="EY178" t="str">
            <v/>
          </cell>
          <cell r="EZ178" t="str">
            <v/>
          </cell>
          <cell r="FA178" t="str">
            <v/>
          </cell>
        </row>
        <row r="179">
          <cell r="A179" t="str">
            <v>抢劫</v>
          </cell>
          <cell r="B179" t="str">
            <v>全省</v>
          </cell>
        </row>
        <row r="179">
          <cell r="AM179">
            <v>56</v>
          </cell>
          <cell r="AN179">
            <v>53</v>
          </cell>
          <cell r="AO179">
            <v>0.0566</v>
          </cell>
          <cell r="AP179">
            <v>68</v>
          </cell>
          <cell r="AQ179">
            <v>-0.1765</v>
          </cell>
          <cell r="AR179">
            <v>1.1429</v>
          </cell>
          <cell r="AS179">
            <v>0.1429</v>
          </cell>
          <cell r="AT179">
            <v>43</v>
          </cell>
          <cell r="AU179">
            <v>41</v>
          </cell>
          <cell r="AV179">
            <v>0.0488</v>
          </cell>
          <cell r="AW179">
            <v>49</v>
          </cell>
          <cell r="AX179">
            <v>-0.1224</v>
          </cell>
          <cell r="AY179">
            <v>42</v>
          </cell>
          <cell r="AZ179">
            <v>38</v>
          </cell>
          <cell r="BA179">
            <v>0.1053</v>
          </cell>
          <cell r="BB179">
            <v>53</v>
          </cell>
          <cell r="BC179">
            <v>-0.2075</v>
          </cell>
          <cell r="BD179">
            <v>0.9767</v>
          </cell>
          <cell r="BE179">
            <v>0.0499</v>
          </cell>
          <cell r="BF179">
            <v>6</v>
          </cell>
          <cell r="BG179">
            <v>12</v>
          </cell>
          <cell r="BH179">
            <v>-0.5</v>
          </cell>
          <cell r="BI179">
            <v>5</v>
          </cell>
          <cell r="BJ179">
            <v>0.2</v>
          </cell>
          <cell r="BK179">
            <v>0.1224</v>
          </cell>
          <cell r="BL179">
            <v>14</v>
          </cell>
          <cell r="BM179">
            <v>15</v>
          </cell>
          <cell r="BN179">
            <v>-0.0667</v>
          </cell>
          <cell r="BO179">
            <v>15</v>
          </cell>
          <cell r="BP179">
            <v>-0.0667</v>
          </cell>
          <cell r="BQ179">
            <v>34</v>
          </cell>
          <cell r="BR179">
            <v>29</v>
          </cell>
          <cell r="BS179">
            <v>0.1724</v>
          </cell>
          <cell r="BT179">
            <v>51</v>
          </cell>
          <cell r="BU179">
            <v>-0.3333</v>
          </cell>
          <cell r="BV179">
            <v>0.6939</v>
          </cell>
          <cell r="BW179">
            <v>0.1467</v>
          </cell>
          <cell r="BX179">
            <v>0.7907</v>
          </cell>
          <cell r="BY179">
            <v>0.0834</v>
          </cell>
          <cell r="BZ179">
            <v>0</v>
          </cell>
          <cell r="CA179">
            <v>1</v>
          </cell>
          <cell r="CB179" t="str">
            <v>少1起</v>
          </cell>
          <cell r="CC179">
            <v>0</v>
          </cell>
          <cell r="CD179" t="str">
            <v>持平</v>
          </cell>
          <cell r="CE179" t="str">
            <v/>
          </cell>
          <cell r="CF179" t="str">
            <v/>
          </cell>
          <cell r="CG179">
            <v>117</v>
          </cell>
          <cell r="CH179">
            <v>108</v>
          </cell>
          <cell r="CI179">
            <v>0.0833</v>
          </cell>
          <cell r="CJ179">
            <v>113</v>
          </cell>
          <cell r="CK179">
            <v>0.0354</v>
          </cell>
          <cell r="CL179">
            <v>239</v>
          </cell>
          <cell r="CM179">
            <v>35</v>
          </cell>
          <cell r="CN179">
            <v>0.1718</v>
          </cell>
          <cell r="CO179">
            <v>125</v>
          </cell>
          <cell r="CP179">
            <v>100</v>
          </cell>
          <cell r="CQ179">
            <v>0.25</v>
          </cell>
          <cell r="CR179">
            <v>119</v>
          </cell>
          <cell r="CS179">
            <v>0.0504</v>
          </cell>
          <cell r="CT179">
            <v>1.0684</v>
          </cell>
          <cell r="CU179">
            <v>0.1425</v>
          </cell>
          <cell r="CV179">
            <v>255</v>
          </cell>
          <cell r="CW179">
            <v>66</v>
          </cell>
          <cell r="CX179">
            <v>0.352</v>
          </cell>
          <cell r="CY179">
            <v>131</v>
          </cell>
          <cell r="CZ179">
            <v>105</v>
          </cell>
          <cell r="DA179">
            <v>0.2476</v>
          </cell>
          <cell r="DB179">
            <v>129</v>
          </cell>
          <cell r="DC179">
            <v>0.0155</v>
          </cell>
          <cell r="DD179">
            <v>1.1197</v>
          </cell>
          <cell r="DE179">
            <v>0.1474</v>
          </cell>
          <cell r="DF179">
            <v>267</v>
          </cell>
          <cell r="DG179">
            <v>69</v>
          </cell>
          <cell r="DH179">
            <v>0.3495</v>
          </cell>
          <cell r="DI179">
            <v>115</v>
          </cell>
          <cell r="DJ179">
            <v>105</v>
          </cell>
          <cell r="DK179">
            <v>0.0952</v>
          </cell>
          <cell r="DL179">
            <v>135</v>
          </cell>
          <cell r="DM179">
            <v>-0.1481</v>
          </cell>
          <cell r="DN179">
            <v>42</v>
          </cell>
          <cell r="DO179">
            <v>37</v>
          </cell>
          <cell r="DP179">
            <v>0.1351</v>
          </cell>
          <cell r="DQ179">
            <v>37</v>
          </cell>
          <cell r="DR179">
            <v>0.1351</v>
          </cell>
          <cell r="DS179">
            <v>42</v>
          </cell>
          <cell r="DT179">
            <v>37</v>
          </cell>
          <cell r="DU179">
            <v>0.1351</v>
          </cell>
          <cell r="DV179">
            <v>37</v>
          </cell>
          <cell r="DW179">
            <v>0.1351</v>
          </cell>
          <cell r="DX179">
            <v>117</v>
          </cell>
          <cell r="DY179">
            <v>105</v>
          </cell>
          <cell r="DZ179">
            <v>0.1143</v>
          </cell>
          <cell r="EA179">
            <v>130</v>
          </cell>
          <cell r="EB179">
            <v>-0.1</v>
          </cell>
          <cell r="EC179">
            <v>74</v>
          </cell>
          <cell r="ED179">
            <v>58</v>
          </cell>
          <cell r="EE179">
            <v>0.2759</v>
          </cell>
          <cell r="EF179">
            <v>89</v>
          </cell>
          <cell r="EG179">
            <v>-0.1685</v>
          </cell>
          <cell r="EH179">
            <v>0.592</v>
          </cell>
          <cell r="EI179">
            <v>0.012</v>
          </cell>
          <cell r="EJ179">
            <v>151</v>
          </cell>
          <cell r="EK179">
            <v>42</v>
          </cell>
          <cell r="EL179">
            <v>0.38</v>
          </cell>
          <cell r="EM179">
            <v>76</v>
          </cell>
          <cell r="EN179">
            <v>58</v>
          </cell>
          <cell r="EO179">
            <v>0.3103</v>
          </cell>
          <cell r="EP179">
            <v>88</v>
          </cell>
          <cell r="EQ179">
            <v>-0.1364</v>
          </cell>
          <cell r="ER179">
            <v>68</v>
          </cell>
          <cell r="ES179">
            <v>49</v>
          </cell>
          <cell r="ET179">
            <v>0.3878</v>
          </cell>
          <cell r="EU179">
            <v>106</v>
          </cell>
          <cell r="EV179">
            <v>-0.3585</v>
          </cell>
          <cell r="EW179">
            <v>0.544</v>
          </cell>
          <cell r="EX179">
            <v>0.054</v>
          </cell>
          <cell r="EY179">
            <v>139</v>
          </cell>
          <cell r="EZ179">
            <v>46</v>
          </cell>
          <cell r="FA179">
            <v>0.501</v>
          </cell>
        </row>
        <row r="180">
          <cell r="A180" t="str">
            <v>抢劫</v>
          </cell>
          <cell r="B180" t="str">
            <v>云浮</v>
          </cell>
        </row>
        <row r="180">
          <cell r="AM180">
            <v>2</v>
          </cell>
          <cell r="AN180">
            <v>1</v>
          </cell>
          <cell r="AO180">
            <v>1</v>
          </cell>
          <cell r="AP180">
            <v>0</v>
          </cell>
          <cell r="AQ180" t="str">
            <v>多2起</v>
          </cell>
          <cell r="AR180">
            <v>1</v>
          </cell>
          <cell r="AS180">
            <v>0</v>
          </cell>
          <cell r="AT180">
            <v>2</v>
          </cell>
          <cell r="AU180">
            <v>1</v>
          </cell>
          <cell r="AV180">
            <v>1</v>
          </cell>
          <cell r="AW180">
            <v>0</v>
          </cell>
          <cell r="AX180" t="str">
            <v>多2起</v>
          </cell>
          <cell r="AY180">
            <v>2</v>
          </cell>
          <cell r="AZ180">
            <v>1</v>
          </cell>
          <cell r="BA180">
            <v>1</v>
          </cell>
          <cell r="BB180">
            <v>0</v>
          </cell>
          <cell r="BC180" t="str">
            <v>多2起</v>
          </cell>
          <cell r="BD180">
            <v>1</v>
          </cell>
          <cell r="BE180">
            <v>0</v>
          </cell>
          <cell r="BF180">
            <v>0</v>
          </cell>
          <cell r="BG180">
            <v>0</v>
          </cell>
          <cell r="BH180" t="str">
            <v>持平</v>
          </cell>
          <cell r="BI180">
            <v>0</v>
          </cell>
          <cell r="BJ180" t="str">
            <v>持平</v>
          </cell>
          <cell r="BK180">
            <v>0</v>
          </cell>
          <cell r="BL180">
            <v>0</v>
          </cell>
          <cell r="BM180">
            <v>0</v>
          </cell>
          <cell r="BN180" t="str">
            <v>持平</v>
          </cell>
          <cell r="BO180">
            <v>0</v>
          </cell>
          <cell r="BP180" t="str">
            <v>持平</v>
          </cell>
          <cell r="BQ180">
            <v>0</v>
          </cell>
          <cell r="BR180">
            <v>0</v>
          </cell>
          <cell r="BS180" t="str">
            <v>持平</v>
          </cell>
          <cell r="BT180">
            <v>3</v>
          </cell>
          <cell r="BU180" t="str">
            <v>少3起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 t="str">
            <v>持平</v>
          </cell>
          <cell r="CC180">
            <v>0</v>
          </cell>
          <cell r="CD180" t="str">
            <v>持平</v>
          </cell>
          <cell r="CE180" t="str">
            <v/>
          </cell>
          <cell r="CF180" t="str">
            <v/>
          </cell>
          <cell r="CG180">
            <v>2</v>
          </cell>
          <cell r="CH180">
            <v>2</v>
          </cell>
          <cell r="CI180">
            <v>0</v>
          </cell>
          <cell r="CJ180">
            <v>0</v>
          </cell>
          <cell r="CK180" t="str">
            <v>多2人</v>
          </cell>
          <cell r="CL180">
            <v>100</v>
          </cell>
          <cell r="CM180">
            <v>-100</v>
          </cell>
          <cell r="CN180">
            <v>-0.5</v>
          </cell>
          <cell r="CO180">
            <v>3</v>
          </cell>
          <cell r="CP180">
            <v>1</v>
          </cell>
          <cell r="CQ180">
            <v>2</v>
          </cell>
          <cell r="CR180">
            <v>1</v>
          </cell>
          <cell r="CS180">
            <v>2</v>
          </cell>
          <cell r="CT180">
            <v>1.5</v>
          </cell>
          <cell r="CU180">
            <v>1</v>
          </cell>
          <cell r="CV180">
            <v>150</v>
          </cell>
          <cell r="CW180">
            <v>50</v>
          </cell>
          <cell r="CX180">
            <v>0.5</v>
          </cell>
          <cell r="CY180">
            <v>3</v>
          </cell>
          <cell r="CZ180">
            <v>1</v>
          </cell>
          <cell r="DA180">
            <v>2</v>
          </cell>
          <cell r="DB180">
            <v>1</v>
          </cell>
          <cell r="DC180">
            <v>2</v>
          </cell>
          <cell r="DD180">
            <v>1.5</v>
          </cell>
          <cell r="DE180">
            <v>1</v>
          </cell>
          <cell r="DF180">
            <v>150</v>
          </cell>
          <cell r="DG180">
            <v>50</v>
          </cell>
          <cell r="DH180">
            <v>0.5</v>
          </cell>
          <cell r="DI180">
            <v>3</v>
          </cell>
          <cell r="DJ180">
            <v>1</v>
          </cell>
          <cell r="DK180">
            <v>2</v>
          </cell>
          <cell r="DL180">
            <v>0</v>
          </cell>
          <cell r="DM180" t="str">
            <v>多3人</v>
          </cell>
          <cell r="DN180">
            <v>0</v>
          </cell>
          <cell r="DO180">
            <v>1</v>
          </cell>
          <cell r="DP180" t="str">
            <v>少1人</v>
          </cell>
          <cell r="DQ180">
            <v>0</v>
          </cell>
          <cell r="DR180" t="str">
            <v>持平</v>
          </cell>
          <cell r="DS180">
            <v>0</v>
          </cell>
          <cell r="DT180">
            <v>1</v>
          </cell>
          <cell r="DU180" t="str">
            <v>少1人</v>
          </cell>
          <cell r="DV180">
            <v>0</v>
          </cell>
          <cell r="DW180" t="str">
            <v>持平</v>
          </cell>
          <cell r="DX180">
            <v>1</v>
          </cell>
          <cell r="DY180">
            <v>0</v>
          </cell>
          <cell r="DZ180" t="str">
            <v>多1人</v>
          </cell>
          <cell r="EA180">
            <v>4</v>
          </cell>
          <cell r="EB180">
            <v>-0.75</v>
          </cell>
          <cell r="EC180">
            <v>0</v>
          </cell>
          <cell r="ED180">
            <v>0</v>
          </cell>
          <cell r="EE180" t="str">
            <v>持平</v>
          </cell>
          <cell r="EF180">
            <v>5</v>
          </cell>
          <cell r="EG180" t="str">
            <v>少5人</v>
          </cell>
          <cell r="EH180">
            <v>0</v>
          </cell>
          <cell r="EI180">
            <v>0</v>
          </cell>
          <cell r="EJ180">
            <v>0</v>
          </cell>
          <cell r="EK180">
            <v>0</v>
          </cell>
          <cell r="EL180" t="str">
            <v/>
          </cell>
          <cell r="EM180">
            <v>0</v>
          </cell>
          <cell r="EN180">
            <v>0</v>
          </cell>
          <cell r="EO180" t="str">
            <v>持平</v>
          </cell>
          <cell r="EP180">
            <v>5</v>
          </cell>
          <cell r="EQ180" t="str">
            <v>少5人</v>
          </cell>
          <cell r="ER180">
            <v>0</v>
          </cell>
          <cell r="ES180">
            <v>0</v>
          </cell>
          <cell r="ET180" t="str">
            <v>持平</v>
          </cell>
          <cell r="EU180">
            <v>7</v>
          </cell>
          <cell r="EV180" t="str">
            <v>少7人</v>
          </cell>
          <cell r="EW180">
            <v>0</v>
          </cell>
          <cell r="EX180">
            <v>0</v>
          </cell>
          <cell r="EY180">
            <v>0</v>
          </cell>
          <cell r="EZ180">
            <v>0</v>
          </cell>
          <cell r="FA180" t="str">
            <v/>
          </cell>
        </row>
        <row r="181">
          <cell r="A181" t="str">
            <v>抢劫</v>
          </cell>
          <cell r="B181" t="str">
            <v>云城区</v>
          </cell>
        </row>
        <row r="181">
          <cell r="AM181">
            <v>1</v>
          </cell>
          <cell r="AN181">
            <v>1</v>
          </cell>
          <cell r="AO181">
            <v>0</v>
          </cell>
          <cell r="AP181">
            <v>0</v>
          </cell>
          <cell r="AQ181" t="str">
            <v>多1起</v>
          </cell>
          <cell r="AR181">
            <v>1</v>
          </cell>
          <cell r="AS181">
            <v>0</v>
          </cell>
          <cell r="AT181">
            <v>1</v>
          </cell>
          <cell r="AU181">
            <v>1</v>
          </cell>
          <cell r="AV181">
            <v>0</v>
          </cell>
          <cell r="AW181">
            <v>0</v>
          </cell>
          <cell r="AX181" t="str">
            <v>多1起</v>
          </cell>
          <cell r="AY181">
            <v>1</v>
          </cell>
          <cell r="AZ181">
            <v>1</v>
          </cell>
          <cell r="BA181">
            <v>0</v>
          </cell>
          <cell r="BB181">
            <v>0</v>
          </cell>
          <cell r="BC181" t="str">
            <v>多1起</v>
          </cell>
          <cell r="BD181">
            <v>1</v>
          </cell>
          <cell r="BE181">
            <v>0</v>
          </cell>
          <cell r="BF181">
            <v>0</v>
          </cell>
          <cell r="BG181">
            <v>0</v>
          </cell>
          <cell r="BH181" t="str">
            <v>持平</v>
          </cell>
          <cell r="BI181">
            <v>0</v>
          </cell>
          <cell r="BJ181" t="str">
            <v>持平</v>
          </cell>
          <cell r="BK181">
            <v>0</v>
          </cell>
          <cell r="BL181">
            <v>0</v>
          </cell>
          <cell r="BM181">
            <v>0</v>
          </cell>
          <cell r="BN181" t="str">
            <v>持平</v>
          </cell>
          <cell r="BO181">
            <v>0</v>
          </cell>
          <cell r="BP181" t="str">
            <v>持平</v>
          </cell>
          <cell r="BQ181">
            <v>0</v>
          </cell>
          <cell r="BR181">
            <v>0</v>
          </cell>
          <cell r="BS181" t="str">
            <v>持平</v>
          </cell>
          <cell r="BT181">
            <v>1</v>
          </cell>
          <cell r="BU181" t="str">
            <v>少1起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 t="str">
            <v>持平</v>
          </cell>
          <cell r="CC181">
            <v>0</v>
          </cell>
          <cell r="CD181" t="str">
            <v>持平</v>
          </cell>
          <cell r="CE181" t="str">
            <v/>
          </cell>
          <cell r="CF181" t="str">
            <v/>
          </cell>
          <cell r="CG181">
            <v>1</v>
          </cell>
          <cell r="CH181">
            <v>2</v>
          </cell>
          <cell r="CI181">
            <v>-0.5</v>
          </cell>
          <cell r="CJ181">
            <v>0</v>
          </cell>
          <cell r="CK181" t="str">
            <v>多1人</v>
          </cell>
          <cell r="CL181">
            <v>100</v>
          </cell>
          <cell r="CM181">
            <v>-100</v>
          </cell>
          <cell r="CN181">
            <v>-0.5</v>
          </cell>
          <cell r="CO181">
            <v>1</v>
          </cell>
          <cell r="CP181">
            <v>1</v>
          </cell>
          <cell r="CQ181">
            <v>0</v>
          </cell>
          <cell r="CR181">
            <v>1</v>
          </cell>
          <cell r="CS181">
            <v>0</v>
          </cell>
          <cell r="CT181">
            <v>1</v>
          </cell>
          <cell r="CU181">
            <v>0.5</v>
          </cell>
          <cell r="CV181">
            <v>100</v>
          </cell>
          <cell r="CW181">
            <v>0</v>
          </cell>
          <cell r="CX181">
            <v>0</v>
          </cell>
          <cell r="CY181">
            <v>1</v>
          </cell>
          <cell r="CZ181">
            <v>1</v>
          </cell>
          <cell r="DA181">
            <v>0</v>
          </cell>
          <cell r="DB181">
            <v>1</v>
          </cell>
          <cell r="DC181">
            <v>0</v>
          </cell>
          <cell r="DD181">
            <v>1</v>
          </cell>
          <cell r="DE181">
            <v>0.5</v>
          </cell>
          <cell r="DF181">
            <v>100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 t="str">
            <v>持平</v>
          </cell>
          <cell r="DL181">
            <v>0</v>
          </cell>
          <cell r="DM181" t="str">
            <v>持平</v>
          </cell>
          <cell r="DN181">
            <v>0</v>
          </cell>
          <cell r="DO181">
            <v>1</v>
          </cell>
          <cell r="DP181" t="str">
            <v>少1人</v>
          </cell>
          <cell r="DQ181">
            <v>0</v>
          </cell>
          <cell r="DR181" t="str">
            <v>持平</v>
          </cell>
          <cell r="DS181">
            <v>0</v>
          </cell>
          <cell r="DT181">
            <v>1</v>
          </cell>
          <cell r="DU181" t="str">
            <v>少1人</v>
          </cell>
          <cell r="DV181">
            <v>0</v>
          </cell>
          <cell r="DW181" t="str">
            <v>持平</v>
          </cell>
          <cell r="DX181">
            <v>1</v>
          </cell>
          <cell r="DY181">
            <v>0</v>
          </cell>
          <cell r="DZ181" t="str">
            <v>多1人</v>
          </cell>
          <cell r="EA181">
            <v>4</v>
          </cell>
          <cell r="EB181">
            <v>-0.75</v>
          </cell>
          <cell r="EC181">
            <v>0</v>
          </cell>
          <cell r="ED181">
            <v>0</v>
          </cell>
          <cell r="EE181" t="str">
            <v>持平</v>
          </cell>
          <cell r="EF181">
            <v>4</v>
          </cell>
          <cell r="EG181" t="str">
            <v>少4人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 t="str">
            <v/>
          </cell>
          <cell r="EM181">
            <v>0</v>
          </cell>
          <cell r="EN181">
            <v>0</v>
          </cell>
          <cell r="EO181" t="str">
            <v>持平</v>
          </cell>
          <cell r="EP181">
            <v>4</v>
          </cell>
          <cell r="EQ181" t="str">
            <v>少4人</v>
          </cell>
          <cell r="ER181">
            <v>0</v>
          </cell>
          <cell r="ES181">
            <v>0</v>
          </cell>
          <cell r="ET181" t="str">
            <v>持平</v>
          </cell>
          <cell r="EU181">
            <v>4</v>
          </cell>
          <cell r="EV181" t="str">
            <v>少4人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 t="str">
            <v/>
          </cell>
        </row>
        <row r="182">
          <cell r="A182" t="str">
            <v>抢劫</v>
          </cell>
          <cell r="B182" t="str">
            <v>云安区</v>
          </cell>
        </row>
        <row r="182">
          <cell r="AM182">
            <v>0</v>
          </cell>
          <cell r="AN182">
            <v>0</v>
          </cell>
          <cell r="AO182" t="str">
            <v>持平</v>
          </cell>
          <cell r="AP182">
            <v>0</v>
          </cell>
          <cell r="AQ182" t="str">
            <v>持平</v>
          </cell>
          <cell r="AR182" t="str">
            <v/>
          </cell>
          <cell r="AS182" t="str">
            <v/>
          </cell>
          <cell r="AT182">
            <v>0</v>
          </cell>
          <cell r="AU182">
            <v>0</v>
          </cell>
          <cell r="AV182" t="str">
            <v>持平</v>
          </cell>
          <cell r="AW182">
            <v>0</v>
          </cell>
          <cell r="AX182" t="str">
            <v>持平</v>
          </cell>
          <cell r="AY182">
            <v>0</v>
          </cell>
          <cell r="AZ182">
            <v>0</v>
          </cell>
          <cell r="BA182" t="str">
            <v>持平</v>
          </cell>
          <cell r="BB182">
            <v>0</v>
          </cell>
          <cell r="BC182" t="str">
            <v>持平</v>
          </cell>
          <cell r="BD182" t="str">
            <v/>
          </cell>
          <cell r="BE182" t="str">
            <v/>
          </cell>
          <cell r="BF182">
            <v>0</v>
          </cell>
          <cell r="BG182">
            <v>0</v>
          </cell>
          <cell r="BH182" t="str">
            <v>持平</v>
          </cell>
          <cell r="BI182">
            <v>0</v>
          </cell>
          <cell r="BJ182" t="str">
            <v>持平</v>
          </cell>
          <cell r="BK182" t="str">
            <v/>
          </cell>
          <cell r="BL182">
            <v>0</v>
          </cell>
          <cell r="BM182">
            <v>0</v>
          </cell>
          <cell r="BN182" t="str">
            <v>持平</v>
          </cell>
          <cell r="BO182">
            <v>0</v>
          </cell>
          <cell r="BP182" t="str">
            <v>持平</v>
          </cell>
          <cell r="BQ182">
            <v>0</v>
          </cell>
          <cell r="BR182">
            <v>0</v>
          </cell>
          <cell r="BS182" t="str">
            <v>持平</v>
          </cell>
          <cell r="BT182">
            <v>0</v>
          </cell>
          <cell r="BU182" t="str">
            <v>持平</v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>
            <v>0</v>
          </cell>
          <cell r="CA182">
            <v>0</v>
          </cell>
          <cell r="CB182" t="str">
            <v>持平</v>
          </cell>
          <cell r="CC182">
            <v>0</v>
          </cell>
          <cell r="CD182" t="str">
            <v>持平</v>
          </cell>
          <cell r="CE182" t="str">
            <v/>
          </cell>
          <cell r="CF182" t="str">
            <v/>
          </cell>
          <cell r="CG182">
            <v>0</v>
          </cell>
          <cell r="CH182">
            <v>0</v>
          </cell>
          <cell r="CI182" t="str">
            <v>持平</v>
          </cell>
          <cell r="CJ182">
            <v>0</v>
          </cell>
          <cell r="CK182" t="str">
            <v>持平</v>
          </cell>
          <cell r="CL182" t="str">
            <v/>
          </cell>
          <cell r="CM182" t="str">
            <v/>
          </cell>
          <cell r="CN182" t="str">
            <v/>
          </cell>
          <cell r="CO182">
            <v>0</v>
          </cell>
          <cell r="CP182">
            <v>0</v>
          </cell>
          <cell r="CQ182" t="str">
            <v>持平</v>
          </cell>
          <cell r="CR182">
            <v>0</v>
          </cell>
          <cell r="CS182" t="str">
            <v>持平</v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>
            <v>0</v>
          </cell>
          <cell r="CZ182">
            <v>0</v>
          </cell>
          <cell r="DA182" t="str">
            <v>持平</v>
          </cell>
          <cell r="DB182">
            <v>0</v>
          </cell>
          <cell r="DC182" t="str">
            <v>持平</v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>
            <v>0</v>
          </cell>
          <cell r="DJ182">
            <v>0</v>
          </cell>
          <cell r="DK182" t="str">
            <v>持平</v>
          </cell>
          <cell r="DL182">
            <v>0</v>
          </cell>
          <cell r="DM182" t="str">
            <v>持平</v>
          </cell>
          <cell r="DN182">
            <v>0</v>
          </cell>
          <cell r="DO182">
            <v>0</v>
          </cell>
          <cell r="DP182" t="str">
            <v>持平</v>
          </cell>
          <cell r="DQ182">
            <v>0</v>
          </cell>
          <cell r="DR182" t="str">
            <v>持平</v>
          </cell>
          <cell r="DS182">
            <v>0</v>
          </cell>
          <cell r="DT182">
            <v>0</v>
          </cell>
          <cell r="DU182" t="str">
            <v>持平</v>
          </cell>
          <cell r="DV182">
            <v>0</v>
          </cell>
          <cell r="DW182" t="str">
            <v>持平</v>
          </cell>
          <cell r="DX182">
            <v>0</v>
          </cell>
          <cell r="DY182">
            <v>0</v>
          </cell>
          <cell r="DZ182" t="str">
            <v>持平</v>
          </cell>
          <cell r="EA182">
            <v>0</v>
          </cell>
          <cell r="EB182" t="str">
            <v>持平</v>
          </cell>
          <cell r="EC182">
            <v>0</v>
          </cell>
          <cell r="ED182">
            <v>0</v>
          </cell>
          <cell r="EE182" t="str">
            <v>持平</v>
          </cell>
          <cell r="EF182">
            <v>0</v>
          </cell>
          <cell r="EG182" t="str">
            <v>持平</v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>
            <v>0</v>
          </cell>
          <cell r="EN182">
            <v>0</v>
          </cell>
          <cell r="EO182" t="str">
            <v>持平</v>
          </cell>
          <cell r="EP182">
            <v>0</v>
          </cell>
          <cell r="EQ182" t="str">
            <v>持平</v>
          </cell>
          <cell r="ER182">
            <v>0</v>
          </cell>
          <cell r="ES182">
            <v>0</v>
          </cell>
          <cell r="ET182" t="str">
            <v>持平</v>
          </cell>
          <cell r="EU182">
            <v>0</v>
          </cell>
          <cell r="EV182" t="str">
            <v>持平</v>
          </cell>
          <cell r="EW182" t="str">
            <v/>
          </cell>
          <cell r="EX182" t="str">
            <v/>
          </cell>
          <cell r="EY182" t="str">
            <v/>
          </cell>
          <cell r="EZ182" t="str">
            <v/>
          </cell>
          <cell r="FA182" t="str">
            <v/>
          </cell>
        </row>
        <row r="183">
          <cell r="A183" t="str">
            <v>抢劫</v>
          </cell>
          <cell r="B183" t="str">
            <v>新兴县</v>
          </cell>
        </row>
        <row r="183">
          <cell r="AM183">
            <v>0</v>
          </cell>
          <cell r="AN183">
            <v>0</v>
          </cell>
          <cell r="AO183" t="str">
            <v>持平</v>
          </cell>
          <cell r="AP183">
            <v>0</v>
          </cell>
          <cell r="AQ183" t="str">
            <v>持平</v>
          </cell>
          <cell r="AR183" t="str">
            <v/>
          </cell>
          <cell r="AS183" t="str">
            <v/>
          </cell>
          <cell r="AT183">
            <v>0</v>
          </cell>
          <cell r="AU183">
            <v>0</v>
          </cell>
          <cell r="AV183" t="str">
            <v>持平</v>
          </cell>
          <cell r="AW183">
            <v>0</v>
          </cell>
          <cell r="AX183" t="str">
            <v>持平</v>
          </cell>
          <cell r="AY183">
            <v>0</v>
          </cell>
          <cell r="AZ183">
            <v>0</v>
          </cell>
          <cell r="BA183" t="str">
            <v>持平</v>
          </cell>
          <cell r="BB183">
            <v>0</v>
          </cell>
          <cell r="BC183" t="str">
            <v>持平</v>
          </cell>
          <cell r="BD183" t="str">
            <v/>
          </cell>
          <cell r="BE183" t="str">
            <v/>
          </cell>
          <cell r="BF183">
            <v>0</v>
          </cell>
          <cell r="BG183">
            <v>0</v>
          </cell>
          <cell r="BH183" t="str">
            <v>持平</v>
          </cell>
          <cell r="BI183">
            <v>0</v>
          </cell>
          <cell r="BJ183" t="str">
            <v>持平</v>
          </cell>
          <cell r="BK183" t="str">
            <v/>
          </cell>
          <cell r="BL183">
            <v>0</v>
          </cell>
          <cell r="BM183">
            <v>0</v>
          </cell>
          <cell r="BN183" t="str">
            <v>持平</v>
          </cell>
          <cell r="BO183">
            <v>0</v>
          </cell>
          <cell r="BP183" t="str">
            <v>持平</v>
          </cell>
          <cell r="BQ183">
            <v>0</v>
          </cell>
          <cell r="BR183">
            <v>0</v>
          </cell>
          <cell r="BS183" t="str">
            <v>持平</v>
          </cell>
          <cell r="BT183">
            <v>1</v>
          </cell>
          <cell r="BU183" t="str">
            <v>少1起</v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>
            <v>0</v>
          </cell>
          <cell r="CA183">
            <v>0</v>
          </cell>
          <cell r="CB183" t="str">
            <v>持平</v>
          </cell>
          <cell r="CC183">
            <v>0</v>
          </cell>
          <cell r="CD183" t="str">
            <v>持平</v>
          </cell>
          <cell r="CE183" t="str">
            <v/>
          </cell>
          <cell r="CF183" t="str">
            <v/>
          </cell>
          <cell r="CG183">
            <v>0</v>
          </cell>
          <cell r="CH183">
            <v>0</v>
          </cell>
          <cell r="CI183" t="str">
            <v>持平</v>
          </cell>
          <cell r="CJ183">
            <v>0</v>
          </cell>
          <cell r="CK183" t="str">
            <v>持平</v>
          </cell>
          <cell r="CL183" t="str">
            <v/>
          </cell>
          <cell r="CM183" t="str">
            <v/>
          </cell>
          <cell r="CN183" t="str">
            <v/>
          </cell>
          <cell r="CO183">
            <v>1</v>
          </cell>
          <cell r="CP183">
            <v>0</v>
          </cell>
          <cell r="CQ183" t="str">
            <v>多1人</v>
          </cell>
          <cell r="CR183">
            <v>0</v>
          </cell>
          <cell r="CS183" t="str">
            <v>多1人</v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>
            <v>1</v>
          </cell>
          <cell r="CZ183">
            <v>0</v>
          </cell>
          <cell r="DA183" t="str">
            <v>多1人</v>
          </cell>
          <cell r="DB183">
            <v>0</v>
          </cell>
          <cell r="DC183" t="str">
            <v>多1人</v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>
            <v>1</v>
          </cell>
          <cell r="DJ183">
            <v>0</v>
          </cell>
          <cell r="DK183" t="str">
            <v>多1人</v>
          </cell>
          <cell r="DL183">
            <v>0</v>
          </cell>
          <cell r="DM183" t="str">
            <v>多1人</v>
          </cell>
          <cell r="DN183">
            <v>0</v>
          </cell>
          <cell r="DO183">
            <v>0</v>
          </cell>
          <cell r="DP183" t="str">
            <v>持平</v>
          </cell>
          <cell r="DQ183">
            <v>0</v>
          </cell>
          <cell r="DR183" t="str">
            <v>持平</v>
          </cell>
          <cell r="DS183">
            <v>0</v>
          </cell>
          <cell r="DT183">
            <v>0</v>
          </cell>
          <cell r="DU183" t="str">
            <v>持平</v>
          </cell>
          <cell r="DV183">
            <v>0</v>
          </cell>
          <cell r="DW183" t="str">
            <v>持平</v>
          </cell>
          <cell r="DX183">
            <v>0</v>
          </cell>
          <cell r="DY183">
            <v>0</v>
          </cell>
          <cell r="DZ183" t="str">
            <v>持平</v>
          </cell>
          <cell r="EA183">
            <v>0</v>
          </cell>
          <cell r="EB183" t="str">
            <v>持平</v>
          </cell>
          <cell r="EC183">
            <v>0</v>
          </cell>
          <cell r="ED183">
            <v>0</v>
          </cell>
          <cell r="EE183" t="str">
            <v>持平</v>
          </cell>
          <cell r="EF183">
            <v>0</v>
          </cell>
          <cell r="EG183" t="str">
            <v>持平</v>
          </cell>
          <cell r="EH183">
            <v>0</v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>
            <v>0</v>
          </cell>
          <cell r="EN183">
            <v>0</v>
          </cell>
          <cell r="EO183" t="str">
            <v>持平</v>
          </cell>
          <cell r="EP183">
            <v>0</v>
          </cell>
          <cell r="EQ183" t="str">
            <v>持平</v>
          </cell>
          <cell r="ER183">
            <v>0</v>
          </cell>
          <cell r="ES183">
            <v>0</v>
          </cell>
          <cell r="ET183" t="str">
            <v>持平</v>
          </cell>
          <cell r="EU183">
            <v>2</v>
          </cell>
          <cell r="EV183" t="str">
            <v>少2人</v>
          </cell>
          <cell r="EW183">
            <v>0</v>
          </cell>
          <cell r="EX183" t="str">
            <v/>
          </cell>
          <cell r="EY183" t="str">
            <v/>
          </cell>
          <cell r="EZ183" t="str">
            <v/>
          </cell>
          <cell r="FA183" t="str">
            <v/>
          </cell>
        </row>
        <row r="184">
          <cell r="A184" t="str">
            <v>抢劫</v>
          </cell>
          <cell r="B184" t="str">
            <v>郁南县</v>
          </cell>
        </row>
        <row r="184">
          <cell r="AM184">
            <v>1</v>
          </cell>
          <cell r="AN184">
            <v>0</v>
          </cell>
          <cell r="AO184" t="str">
            <v>多1起</v>
          </cell>
          <cell r="AP184">
            <v>0</v>
          </cell>
          <cell r="AQ184" t="str">
            <v>多1起</v>
          </cell>
          <cell r="AR184">
            <v>1</v>
          </cell>
          <cell r="AS184" t="str">
            <v/>
          </cell>
          <cell r="AT184">
            <v>1</v>
          </cell>
          <cell r="AU184">
            <v>0</v>
          </cell>
          <cell r="AV184" t="str">
            <v>多1起</v>
          </cell>
          <cell r="AW184">
            <v>0</v>
          </cell>
          <cell r="AX184" t="str">
            <v>多1起</v>
          </cell>
          <cell r="AY184">
            <v>1</v>
          </cell>
          <cell r="AZ184">
            <v>0</v>
          </cell>
          <cell r="BA184" t="str">
            <v>多1起</v>
          </cell>
          <cell r="BB184">
            <v>0</v>
          </cell>
          <cell r="BC184" t="str">
            <v>多1起</v>
          </cell>
          <cell r="BD184">
            <v>1</v>
          </cell>
          <cell r="BE184" t="str">
            <v/>
          </cell>
          <cell r="BF184">
            <v>0</v>
          </cell>
          <cell r="BG184">
            <v>0</v>
          </cell>
          <cell r="BH184" t="str">
            <v>持平</v>
          </cell>
          <cell r="BI184">
            <v>0</v>
          </cell>
          <cell r="BJ184" t="str">
            <v>持平</v>
          </cell>
          <cell r="BK184">
            <v>0</v>
          </cell>
          <cell r="BL184">
            <v>0</v>
          </cell>
          <cell r="BM184">
            <v>0</v>
          </cell>
          <cell r="BN184" t="str">
            <v>持平</v>
          </cell>
          <cell r="BO184">
            <v>0</v>
          </cell>
          <cell r="BP184" t="str">
            <v>持平</v>
          </cell>
          <cell r="BQ184">
            <v>0</v>
          </cell>
          <cell r="BR184">
            <v>0</v>
          </cell>
          <cell r="BS184" t="str">
            <v>持平</v>
          </cell>
          <cell r="BT184">
            <v>0</v>
          </cell>
          <cell r="BU184" t="str">
            <v>持平</v>
          </cell>
          <cell r="BV184">
            <v>0</v>
          </cell>
          <cell r="BW184" t="str">
            <v/>
          </cell>
          <cell r="BX184">
            <v>0</v>
          </cell>
          <cell r="BY184" t="str">
            <v/>
          </cell>
          <cell r="BZ184">
            <v>0</v>
          </cell>
          <cell r="CA184">
            <v>0</v>
          </cell>
          <cell r="CB184" t="str">
            <v>持平</v>
          </cell>
          <cell r="CC184">
            <v>0</v>
          </cell>
          <cell r="CD184" t="str">
            <v>持平</v>
          </cell>
          <cell r="CE184" t="str">
            <v/>
          </cell>
          <cell r="CF184" t="str">
            <v/>
          </cell>
          <cell r="CG184">
            <v>1</v>
          </cell>
          <cell r="CH184">
            <v>0</v>
          </cell>
          <cell r="CI184" t="str">
            <v>多1人</v>
          </cell>
          <cell r="CJ184">
            <v>0</v>
          </cell>
          <cell r="CK184" t="str">
            <v>多1人</v>
          </cell>
          <cell r="CL184">
            <v>100</v>
          </cell>
          <cell r="CM184" t="str">
            <v/>
          </cell>
          <cell r="CN184" t="str">
            <v/>
          </cell>
          <cell r="CO184">
            <v>1</v>
          </cell>
          <cell r="CP184">
            <v>0</v>
          </cell>
          <cell r="CQ184" t="str">
            <v>多1人</v>
          </cell>
          <cell r="CR184">
            <v>0</v>
          </cell>
          <cell r="CS184" t="str">
            <v>多1人</v>
          </cell>
          <cell r="CT184">
            <v>1</v>
          </cell>
          <cell r="CU184" t="str">
            <v/>
          </cell>
          <cell r="CV184">
            <v>100</v>
          </cell>
          <cell r="CW184" t="str">
            <v/>
          </cell>
          <cell r="CX184" t="str">
            <v/>
          </cell>
          <cell r="CY184">
            <v>1</v>
          </cell>
          <cell r="CZ184">
            <v>0</v>
          </cell>
          <cell r="DA184" t="str">
            <v>多1人</v>
          </cell>
          <cell r="DB184">
            <v>0</v>
          </cell>
          <cell r="DC184" t="str">
            <v>多1人</v>
          </cell>
          <cell r="DD184">
            <v>1</v>
          </cell>
          <cell r="DE184" t="str">
            <v/>
          </cell>
          <cell r="DF184">
            <v>100</v>
          </cell>
          <cell r="DG184" t="str">
            <v/>
          </cell>
          <cell r="DH184" t="str">
            <v/>
          </cell>
          <cell r="DI184">
            <v>1</v>
          </cell>
          <cell r="DJ184">
            <v>0</v>
          </cell>
          <cell r="DK184" t="str">
            <v>多1人</v>
          </cell>
          <cell r="DL184">
            <v>0</v>
          </cell>
          <cell r="DM184" t="str">
            <v>多1人</v>
          </cell>
          <cell r="DN184">
            <v>0</v>
          </cell>
          <cell r="DO184">
            <v>0</v>
          </cell>
          <cell r="DP184" t="str">
            <v>持平</v>
          </cell>
          <cell r="DQ184">
            <v>0</v>
          </cell>
          <cell r="DR184" t="str">
            <v>持平</v>
          </cell>
          <cell r="DS184">
            <v>0</v>
          </cell>
          <cell r="DT184">
            <v>0</v>
          </cell>
          <cell r="DU184" t="str">
            <v>持平</v>
          </cell>
          <cell r="DV184">
            <v>0</v>
          </cell>
          <cell r="DW184" t="str">
            <v>持平</v>
          </cell>
          <cell r="DX184">
            <v>0</v>
          </cell>
          <cell r="DY184">
            <v>0</v>
          </cell>
          <cell r="DZ184" t="str">
            <v>持平</v>
          </cell>
          <cell r="EA184">
            <v>0</v>
          </cell>
          <cell r="EB184" t="str">
            <v>持平</v>
          </cell>
          <cell r="EC184">
            <v>0</v>
          </cell>
          <cell r="ED184">
            <v>0</v>
          </cell>
          <cell r="EE184" t="str">
            <v>持平</v>
          </cell>
          <cell r="EF184">
            <v>0</v>
          </cell>
          <cell r="EG184" t="str">
            <v>持平</v>
          </cell>
          <cell r="EH184">
            <v>0</v>
          </cell>
          <cell r="EI184" t="str">
            <v/>
          </cell>
          <cell r="EJ184">
            <v>0</v>
          </cell>
          <cell r="EK184" t="str">
            <v/>
          </cell>
          <cell r="EL184" t="str">
            <v/>
          </cell>
          <cell r="EM184">
            <v>0</v>
          </cell>
          <cell r="EN184">
            <v>0</v>
          </cell>
          <cell r="EO184" t="str">
            <v>持平</v>
          </cell>
          <cell r="EP184">
            <v>0</v>
          </cell>
          <cell r="EQ184" t="str">
            <v>持平</v>
          </cell>
          <cell r="ER184">
            <v>0</v>
          </cell>
          <cell r="ES184">
            <v>0</v>
          </cell>
          <cell r="ET184" t="str">
            <v>持平</v>
          </cell>
          <cell r="EU184">
            <v>0</v>
          </cell>
          <cell r="EV184" t="str">
            <v>持平</v>
          </cell>
          <cell r="EW184">
            <v>0</v>
          </cell>
          <cell r="EX184" t="str">
            <v/>
          </cell>
          <cell r="EY184">
            <v>0</v>
          </cell>
          <cell r="EZ184" t="str">
            <v/>
          </cell>
          <cell r="FA184" t="str">
            <v/>
          </cell>
        </row>
        <row r="185">
          <cell r="A185" t="str">
            <v>抢劫</v>
          </cell>
          <cell r="B185" t="str">
            <v>罗定市</v>
          </cell>
        </row>
        <row r="185">
          <cell r="AM185">
            <v>0</v>
          </cell>
          <cell r="AN185">
            <v>0</v>
          </cell>
          <cell r="AO185" t="str">
            <v>持平</v>
          </cell>
          <cell r="AP185">
            <v>0</v>
          </cell>
          <cell r="AQ185" t="str">
            <v>持平</v>
          </cell>
          <cell r="AR185" t="str">
            <v/>
          </cell>
          <cell r="AS185" t="str">
            <v/>
          </cell>
          <cell r="AT185">
            <v>0</v>
          </cell>
          <cell r="AU185">
            <v>0</v>
          </cell>
          <cell r="AV185" t="str">
            <v>持平</v>
          </cell>
          <cell r="AW185">
            <v>0</v>
          </cell>
          <cell r="AX185" t="str">
            <v>持平</v>
          </cell>
          <cell r="AY185">
            <v>0</v>
          </cell>
          <cell r="AZ185">
            <v>0</v>
          </cell>
          <cell r="BA185" t="str">
            <v>持平</v>
          </cell>
          <cell r="BB185">
            <v>0</v>
          </cell>
          <cell r="BC185" t="str">
            <v>持平</v>
          </cell>
          <cell r="BD185" t="str">
            <v/>
          </cell>
          <cell r="BE185" t="str">
            <v/>
          </cell>
          <cell r="BF185">
            <v>0</v>
          </cell>
          <cell r="BG185">
            <v>0</v>
          </cell>
          <cell r="BH185" t="str">
            <v>持平</v>
          </cell>
          <cell r="BI185">
            <v>0</v>
          </cell>
          <cell r="BJ185" t="str">
            <v>持平</v>
          </cell>
          <cell r="BK185" t="str">
            <v/>
          </cell>
          <cell r="BL185">
            <v>0</v>
          </cell>
          <cell r="BM185">
            <v>0</v>
          </cell>
          <cell r="BN185" t="str">
            <v>持平</v>
          </cell>
          <cell r="BO185">
            <v>0</v>
          </cell>
          <cell r="BP185" t="str">
            <v>持平</v>
          </cell>
          <cell r="BQ185">
            <v>0</v>
          </cell>
          <cell r="BR185">
            <v>0</v>
          </cell>
          <cell r="BS185" t="str">
            <v>持平</v>
          </cell>
          <cell r="BT185">
            <v>1</v>
          </cell>
          <cell r="BU185" t="str">
            <v>少1起</v>
          </cell>
          <cell r="BV185" t="str">
            <v/>
          </cell>
          <cell r="BW185" t="str">
            <v/>
          </cell>
          <cell r="BX185" t="str">
            <v/>
          </cell>
          <cell r="BY185" t="str">
            <v/>
          </cell>
          <cell r="BZ185">
            <v>0</v>
          </cell>
          <cell r="CA185">
            <v>0</v>
          </cell>
          <cell r="CB185" t="str">
            <v>持平</v>
          </cell>
          <cell r="CC185">
            <v>0</v>
          </cell>
          <cell r="CD185" t="str">
            <v>持平</v>
          </cell>
          <cell r="CE185" t="str">
            <v/>
          </cell>
          <cell r="CF185" t="str">
            <v/>
          </cell>
          <cell r="CG185">
            <v>0</v>
          </cell>
          <cell r="CH185">
            <v>0</v>
          </cell>
          <cell r="CI185" t="str">
            <v>持平</v>
          </cell>
          <cell r="CJ185">
            <v>0</v>
          </cell>
          <cell r="CK185" t="str">
            <v>持平</v>
          </cell>
          <cell r="CL185" t="str">
            <v/>
          </cell>
          <cell r="CM185" t="str">
            <v/>
          </cell>
          <cell r="CN185" t="str">
            <v/>
          </cell>
          <cell r="CO185">
            <v>0</v>
          </cell>
          <cell r="CP185">
            <v>0</v>
          </cell>
          <cell r="CQ185" t="str">
            <v>持平</v>
          </cell>
          <cell r="CR185">
            <v>0</v>
          </cell>
          <cell r="CS185" t="str">
            <v>持平</v>
          </cell>
          <cell r="CT185" t="str">
            <v/>
          </cell>
          <cell r="CU185" t="str">
            <v/>
          </cell>
          <cell r="CV185" t="str">
            <v/>
          </cell>
          <cell r="CW185" t="str">
            <v/>
          </cell>
          <cell r="CX185" t="str">
            <v/>
          </cell>
          <cell r="CY185">
            <v>0</v>
          </cell>
          <cell r="CZ185">
            <v>0</v>
          </cell>
          <cell r="DA185" t="str">
            <v>持平</v>
          </cell>
          <cell r="DB185">
            <v>0</v>
          </cell>
          <cell r="DC185" t="str">
            <v>持平</v>
          </cell>
          <cell r="DD185" t="str">
            <v/>
          </cell>
          <cell r="DE185" t="str">
            <v/>
          </cell>
          <cell r="DF185" t="str">
            <v/>
          </cell>
          <cell r="DG185" t="str">
            <v/>
          </cell>
          <cell r="DH185" t="str">
            <v/>
          </cell>
          <cell r="DI185">
            <v>0</v>
          </cell>
          <cell r="DJ185">
            <v>0</v>
          </cell>
          <cell r="DK185" t="str">
            <v>持平</v>
          </cell>
          <cell r="DL185">
            <v>0</v>
          </cell>
          <cell r="DM185" t="str">
            <v>持平</v>
          </cell>
          <cell r="DN185">
            <v>0</v>
          </cell>
          <cell r="DO185">
            <v>0</v>
          </cell>
          <cell r="DP185" t="str">
            <v>持平</v>
          </cell>
          <cell r="DQ185">
            <v>0</v>
          </cell>
          <cell r="DR185" t="str">
            <v>持平</v>
          </cell>
          <cell r="DS185">
            <v>0</v>
          </cell>
          <cell r="DT185">
            <v>0</v>
          </cell>
          <cell r="DU185" t="str">
            <v>持平</v>
          </cell>
          <cell r="DV185">
            <v>0</v>
          </cell>
          <cell r="DW185" t="str">
            <v>持平</v>
          </cell>
          <cell r="DX185">
            <v>0</v>
          </cell>
          <cell r="DY185">
            <v>0</v>
          </cell>
          <cell r="DZ185" t="str">
            <v>持平</v>
          </cell>
          <cell r="EA185">
            <v>0</v>
          </cell>
          <cell r="EB185" t="str">
            <v>持平</v>
          </cell>
          <cell r="EC185">
            <v>0</v>
          </cell>
          <cell r="ED185">
            <v>0</v>
          </cell>
          <cell r="EE185" t="str">
            <v>持平</v>
          </cell>
          <cell r="EF185">
            <v>1</v>
          </cell>
          <cell r="EG185" t="str">
            <v>少1人</v>
          </cell>
          <cell r="EH185" t="str">
            <v/>
          </cell>
          <cell r="EI185" t="str">
            <v/>
          </cell>
          <cell r="EJ185" t="str">
            <v/>
          </cell>
          <cell r="EK185" t="str">
            <v/>
          </cell>
          <cell r="EL185" t="str">
            <v/>
          </cell>
          <cell r="EM185">
            <v>0</v>
          </cell>
          <cell r="EN185">
            <v>0</v>
          </cell>
          <cell r="EO185" t="str">
            <v>持平</v>
          </cell>
          <cell r="EP185">
            <v>1</v>
          </cell>
          <cell r="EQ185" t="str">
            <v>少1人</v>
          </cell>
          <cell r="ER185">
            <v>0</v>
          </cell>
          <cell r="ES185">
            <v>0</v>
          </cell>
          <cell r="ET185" t="str">
            <v>持平</v>
          </cell>
          <cell r="EU185">
            <v>1</v>
          </cell>
          <cell r="EV185" t="str">
            <v>少1人</v>
          </cell>
          <cell r="EW185" t="str">
            <v/>
          </cell>
          <cell r="EX185" t="str">
            <v/>
          </cell>
          <cell r="EY185" t="str">
            <v/>
          </cell>
          <cell r="EZ185" t="str">
            <v/>
          </cell>
          <cell r="FA185" t="str">
            <v/>
          </cell>
        </row>
        <row r="186">
          <cell r="A186" t="str">
            <v>抢夺</v>
          </cell>
          <cell r="B186" t="str">
            <v>全省</v>
          </cell>
        </row>
        <row r="186">
          <cell r="AM186">
            <v>15</v>
          </cell>
          <cell r="AN186">
            <v>14</v>
          </cell>
          <cell r="AO186">
            <v>0.0714</v>
          </cell>
          <cell r="AP186">
            <v>13</v>
          </cell>
          <cell r="AQ186">
            <v>0.1538</v>
          </cell>
          <cell r="AR186">
            <v>1</v>
          </cell>
          <cell r="AS186">
            <v>0.1765</v>
          </cell>
          <cell r="AT186">
            <v>14</v>
          </cell>
          <cell r="AU186">
            <v>14</v>
          </cell>
          <cell r="AV186">
            <v>0</v>
          </cell>
          <cell r="AW186">
            <v>12</v>
          </cell>
          <cell r="AX186">
            <v>0.1667</v>
          </cell>
          <cell r="AY186">
            <v>14</v>
          </cell>
          <cell r="AZ186">
            <v>12</v>
          </cell>
          <cell r="BA186">
            <v>0.1667</v>
          </cell>
          <cell r="BB186">
            <v>12</v>
          </cell>
          <cell r="BC186">
            <v>0.1667</v>
          </cell>
          <cell r="BD186">
            <v>1</v>
          </cell>
          <cell r="BE186">
            <v>0.1429</v>
          </cell>
          <cell r="BF186">
            <v>1</v>
          </cell>
          <cell r="BG186">
            <v>3</v>
          </cell>
          <cell r="BH186">
            <v>-0.6667</v>
          </cell>
          <cell r="BI186">
            <v>0</v>
          </cell>
          <cell r="BJ186" t="str">
            <v>多1起</v>
          </cell>
          <cell r="BK186">
            <v>0.0667</v>
          </cell>
          <cell r="BL186">
            <v>1</v>
          </cell>
          <cell r="BM186">
            <v>2</v>
          </cell>
          <cell r="BN186">
            <v>-0.5</v>
          </cell>
          <cell r="BO186">
            <v>1</v>
          </cell>
          <cell r="BP186">
            <v>0</v>
          </cell>
          <cell r="BQ186">
            <v>8</v>
          </cell>
          <cell r="BR186">
            <v>11</v>
          </cell>
          <cell r="BS186">
            <v>-0.2727</v>
          </cell>
          <cell r="BT186">
            <v>9</v>
          </cell>
          <cell r="BU186">
            <v>-0.1111</v>
          </cell>
          <cell r="BV186">
            <v>0.5333</v>
          </cell>
          <cell r="BW186">
            <v>-0.1137</v>
          </cell>
          <cell r="BX186">
            <v>0.5714</v>
          </cell>
          <cell r="BY186">
            <v>-0.2143</v>
          </cell>
          <cell r="BZ186">
            <v>0</v>
          </cell>
          <cell r="CA186">
            <v>0</v>
          </cell>
          <cell r="CB186" t="str">
            <v>持平</v>
          </cell>
          <cell r="CC186">
            <v>2</v>
          </cell>
          <cell r="CD186" t="str">
            <v>少2起</v>
          </cell>
          <cell r="CE186" t="str">
            <v/>
          </cell>
          <cell r="CF186" t="str">
            <v/>
          </cell>
          <cell r="CG186">
            <v>27</v>
          </cell>
          <cell r="CH186">
            <v>33</v>
          </cell>
          <cell r="CI186">
            <v>-0.1818</v>
          </cell>
          <cell r="CJ186">
            <v>27</v>
          </cell>
          <cell r="CK186">
            <v>0</v>
          </cell>
          <cell r="CL186">
            <v>180</v>
          </cell>
          <cell r="CM186">
            <v>-14</v>
          </cell>
          <cell r="CN186">
            <v>-0.0727</v>
          </cell>
          <cell r="CO186">
            <v>19</v>
          </cell>
          <cell r="CP186">
            <v>18</v>
          </cell>
          <cell r="CQ186">
            <v>0.0556</v>
          </cell>
          <cell r="CR186">
            <v>15</v>
          </cell>
          <cell r="CS186">
            <v>0.2667</v>
          </cell>
          <cell r="CT186">
            <v>0.7037</v>
          </cell>
          <cell r="CU186">
            <v>0.1582</v>
          </cell>
          <cell r="CV186">
            <v>127</v>
          </cell>
          <cell r="CW186">
            <v>21</v>
          </cell>
          <cell r="CX186">
            <v>0.1963</v>
          </cell>
          <cell r="CY186">
            <v>22</v>
          </cell>
          <cell r="CZ186">
            <v>20</v>
          </cell>
          <cell r="DA186">
            <v>0.1</v>
          </cell>
          <cell r="DB186">
            <v>19</v>
          </cell>
          <cell r="DC186">
            <v>0.1579</v>
          </cell>
          <cell r="DD186">
            <v>0.8148</v>
          </cell>
          <cell r="DE186">
            <v>0.2088</v>
          </cell>
          <cell r="DF186">
            <v>147</v>
          </cell>
          <cell r="DG186">
            <v>29</v>
          </cell>
          <cell r="DH186">
            <v>0.2467</v>
          </cell>
          <cell r="DI186">
            <v>23</v>
          </cell>
          <cell r="DJ186">
            <v>25</v>
          </cell>
          <cell r="DK186">
            <v>-0.08</v>
          </cell>
          <cell r="DL186">
            <v>19</v>
          </cell>
          <cell r="DM186">
            <v>0.2105</v>
          </cell>
          <cell r="DN186">
            <v>9</v>
          </cell>
          <cell r="DO186">
            <v>5</v>
          </cell>
          <cell r="DP186">
            <v>0.8</v>
          </cell>
          <cell r="DQ186">
            <v>10</v>
          </cell>
          <cell r="DR186">
            <v>-0.1</v>
          </cell>
          <cell r="DS186">
            <v>9</v>
          </cell>
          <cell r="DT186">
            <v>5</v>
          </cell>
          <cell r="DU186">
            <v>0.8</v>
          </cell>
          <cell r="DV186">
            <v>10</v>
          </cell>
          <cell r="DW186">
            <v>-0.1</v>
          </cell>
          <cell r="DX186">
            <v>16</v>
          </cell>
          <cell r="DY186">
            <v>13</v>
          </cell>
          <cell r="DZ186">
            <v>0.2308</v>
          </cell>
          <cell r="EA186">
            <v>11</v>
          </cell>
          <cell r="EB186">
            <v>0.4545</v>
          </cell>
          <cell r="EC186">
            <v>7</v>
          </cell>
          <cell r="ED186">
            <v>9</v>
          </cell>
          <cell r="EE186">
            <v>-0.2222</v>
          </cell>
          <cell r="EF186">
            <v>8</v>
          </cell>
          <cell r="EG186">
            <v>-0.125</v>
          </cell>
          <cell r="EH186">
            <v>0.3684</v>
          </cell>
          <cell r="EI186">
            <v>-0.1316</v>
          </cell>
          <cell r="EJ186">
            <v>47</v>
          </cell>
          <cell r="EK186">
            <v>-6</v>
          </cell>
          <cell r="EL186">
            <v>-0.1185</v>
          </cell>
          <cell r="EM186">
            <v>6</v>
          </cell>
          <cell r="EN186">
            <v>11</v>
          </cell>
          <cell r="EO186">
            <v>-0.4545</v>
          </cell>
          <cell r="EP186">
            <v>8</v>
          </cell>
          <cell r="EQ186">
            <v>-0.25</v>
          </cell>
          <cell r="ER186">
            <v>11</v>
          </cell>
          <cell r="ES186">
            <v>20</v>
          </cell>
          <cell r="ET186">
            <v>-0.45</v>
          </cell>
          <cell r="EU186">
            <v>11</v>
          </cell>
          <cell r="EV186">
            <v>0</v>
          </cell>
          <cell r="EW186">
            <v>0.5789</v>
          </cell>
          <cell r="EX186">
            <v>-0.5322</v>
          </cell>
          <cell r="EY186">
            <v>73</v>
          </cell>
          <cell r="EZ186">
            <v>-44</v>
          </cell>
          <cell r="FA186">
            <v>-0.3767</v>
          </cell>
        </row>
        <row r="187">
          <cell r="A187" t="str">
            <v>抢夺</v>
          </cell>
          <cell r="B187" t="str">
            <v>云浮</v>
          </cell>
        </row>
        <row r="187">
          <cell r="AM187">
            <v>1</v>
          </cell>
          <cell r="AN187">
            <v>1</v>
          </cell>
          <cell r="AO187">
            <v>0</v>
          </cell>
          <cell r="AP187">
            <v>0</v>
          </cell>
          <cell r="AQ187" t="str">
            <v>多1起</v>
          </cell>
          <cell r="AR187">
            <v>1</v>
          </cell>
          <cell r="AS187">
            <v>0</v>
          </cell>
          <cell r="AT187">
            <v>1</v>
          </cell>
          <cell r="AU187">
            <v>1</v>
          </cell>
          <cell r="AV187">
            <v>0</v>
          </cell>
          <cell r="AW187">
            <v>0</v>
          </cell>
          <cell r="AX187" t="str">
            <v>多1起</v>
          </cell>
          <cell r="AY187">
            <v>1</v>
          </cell>
          <cell r="AZ187">
            <v>1</v>
          </cell>
          <cell r="BA187">
            <v>0</v>
          </cell>
          <cell r="BB187">
            <v>0</v>
          </cell>
          <cell r="BC187" t="str">
            <v>多1起</v>
          </cell>
          <cell r="BD187">
            <v>1</v>
          </cell>
          <cell r="BE187">
            <v>0</v>
          </cell>
          <cell r="BF187">
            <v>0</v>
          </cell>
          <cell r="BG187">
            <v>0</v>
          </cell>
          <cell r="BH187" t="str">
            <v>持平</v>
          </cell>
          <cell r="BI187">
            <v>0</v>
          </cell>
          <cell r="BJ187" t="str">
            <v>持平</v>
          </cell>
          <cell r="BK187">
            <v>0</v>
          </cell>
          <cell r="BL187">
            <v>0</v>
          </cell>
          <cell r="BM187">
            <v>0</v>
          </cell>
          <cell r="BN187" t="str">
            <v>持平</v>
          </cell>
          <cell r="BO187">
            <v>0</v>
          </cell>
          <cell r="BP187" t="str">
            <v>持平</v>
          </cell>
          <cell r="BQ187">
            <v>0</v>
          </cell>
          <cell r="BR187">
            <v>0</v>
          </cell>
          <cell r="BS187" t="str">
            <v>持平</v>
          </cell>
          <cell r="BT187">
            <v>0</v>
          </cell>
          <cell r="BU187" t="str">
            <v>持平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 t="str">
            <v>持平</v>
          </cell>
          <cell r="CC187">
            <v>0</v>
          </cell>
          <cell r="CD187" t="str">
            <v>持平</v>
          </cell>
          <cell r="CE187" t="str">
            <v/>
          </cell>
          <cell r="CF187" t="str">
            <v/>
          </cell>
          <cell r="CG187">
            <v>0</v>
          </cell>
          <cell r="CH187">
            <v>1</v>
          </cell>
          <cell r="CI187" t="str">
            <v>少1人</v>
          </cell>
          <cell r="CJ187">
            <v>0</v>
          </cell>
          <cell r="CK187" t="str">
            <v>持平</v>
          </cell>
          <cell r="CL187">
            <v>0</v>
          </cell>
          <cell r="CM187">
            <v>-100</v>
          </cell>
          <cell r="CN187">
            <v>-1</v>
          </cell>
          <cell r="CO187">
            <v>1</v>
          </cell>
          <cell r="CP187">
            <v>1</v>
          </cell>
          <cell r="CQ187">
            <v>0</v>
          </cell>
          <cell r="CR187">
            <v>0</v>
          </cell>
          <cell r="CS187" t="str">
            <v>多1人</v>
          </cell>
          <cell r="CT187" t="str">
            <v/>
          </cell>
          <cell r="CU187" t="str">
            <v/>
          </cell>
          <cell r="CV187">
            <v>100</v>
          </cell>
          <cell r="CW187">
            <v>0</v>
          </cell>
          <cell r="CX187">
            <v>0</v>
          </cell>
          <cell r="CY187">
            <v>1</v>
          </cell>
          <cell r="CZ187">
            <v>1</v>
          </cell>
          <cell r="DA187">
            <v>0</v>
          </cell>
          <cell r="DB187">
            <v>0</v>
          </cell>
          <cell r="DC187" t="str">
            <v>多1人</v>
          </cell>
          <cell r="DD187" t="str">
            <v/>
          </cell>
          <cell r="DE187" t="str">
            <v/>
          </cell>
          <cell r="DF187">
            <v>100</v>
          </cell>
          <cell r="DG187">
            <v>0</v>
          </cell>
          <cell r="DH187">
            <v>0</v>
          </cell>
          <cell r="DI187">
            <v>1</v>
          </cell>
          <cell r="DJ187">
            <v>1</v>
          </cell>
          <cell r="DK187">
            <v>0</v>
          </cell>
          <cell r="DL187">
            <v>0</v>
          </cell>
          <cell r="DM187" t="str">
            <v>多1人</v>
          </cell>
          <cell r="DN187">
            <v>0</v>
          </cell>
          <cell r="DO187">
            <v>0</v>
          </cell>
          <cell r="DP187" t="str">
            <v>持平</v>
          </cell>
          <cell r="DQ187">
            <v>0</v>
          </cell>
          <cell r="DR187" t="str">
            <v>持平</v>
          </cell>
          <cell r="DS187">
            <v>0</v>
          </cell>
          <cell r="DT187">
            <v>0</v>
          </cell>
          <cell r="DU187" t="str">
            <v>持平</v>
          </cell>
          <cell r="DV187">
            <v>0</v>
          </cell>
          <cell r="DW187" t="str">
            <v>持平</v>
          </cell>
          <cell r="DX187">
            <v>0</v>
          </cell>
          <cell r="DY187">
            <v>1</v>
          </cell>
          <cell r="DZ187" t="str">
            <v>少1人</v>
          </cell>
          <cell r="EA187">
            <v>0</v>
          </cell>
          <cell r="EB187" t="str">
            <v>持平</v>
          </cell>
          <cell r="EC187">
            <v>0</v>
          </cell>
          <cell r="ED187">
            <v>1</v>
          </cell>
          <cell r="EE187" t="str">
            <v>少1人</v>
          </cell>
          <cell r="EF187">
            <v>0</v>
          </cell>
          <cell r="EG187" t="str">
            <v>持平</v>
          </cell>
          <cell r="EH187">
            <v>0</v>
          </cell>
          <cell r="EI187">
            <v>-1</v>
          </cell>
          <cell r="EJ187">
            <v>0</v>
          </cell>
          <cell r="EK187">
            <v>-100</v>
          </cell>
          <cell r="EL187">
            <v>-1</v>
          </cell>
          <cell r="EM187">
            <v>0</v>
          </cell>
          <cell r="EN187">
            <v>1</v>
          </cell>
          <cell r="EO187" t="str">
            <v>少1人</v>
          </cell>
          <cell r="EP187">
            <v>0</v>
          </cell>
          <cell r="EQ187" t="str">
            <v>持平</v>
          </cell>
          <cell r="ER187">
            <v>0</v>
          </cell>
          <cell r="ES187">
            <v>0</v>
          </cell>
          <cell r="ET187" t="str">
            <v>持平</v>
          </cell>
          <cell r="EU187">
            <v>0</v>
          </cell>
          <cell r="EV187" t="str">
            <v>持平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 t="str">
            <v/>
          </cell>
        </row>
        <row r="188">
          <cell r="A188" t="str">
            <v>抢夺</v>
          </cell>
          <cell r="B188" t="str">
            <v>云城区</v>
          </cell>
        </row>
        <row r="188">
          <cell r="AM188">
            <v>0</v>
          </cell>
          <cell r="AN188">
            <v>1</v>
          </cell>
          <cell r="AO188" t="str">
            <v>少1起</v>
          </cell>
          <cell r="AP188">
            <v>0</v>
          </cell>
          <cell r="AQ188" t="str">
            <v>持平</v>
          </cell>
          <cell r="AR188" t="str">
            <v/>
          </cell>
          <cell r="AS188" t="str">
            <v/>
          </cell>
          <cell r="AT188">
            <v>0</v>
          </cell>
          <cell r="AU188">
            <v>1</v>
          </cell>
          <cell r="AV188" t="str">
            <v>少1起</v>
          </cell>
          <cell r="AW188">
            <v>0</v>
          </cell>
          <cell r="AX188" t="str">
            <v>持平</v>
          </cell>
          <cell r="AY188">
            <v>0</v>
          </cell>
          <cell r="AZ188">
            <v>1</v>
          </cell>
          <cell r="BA188" t="str">
            <v>少1起</v>
          </cell>
          <cell r="BB188">
            <v>0</v>
          </cell>
          <cell r="BC188" t="str">
            <v>持平</v>
          </cell>
          <cell r="BD188" t="str">
            <v/>
          </cell>
          <cell r="BE188" t="str">
            <v/>
          </cell>
          <cell r="BF188">
            <v>0</v>
          </cell>
          <cell r="BG188">
            <v>0</v>
          </cell>
          <cell r="BH188" t="str">
            <v>持平</v>
          </cell>
          <cell r="BI188">
            <v>0</v>
          </cell>
          <cell r="BJ188" t="str">
            <v>持平</v>
          </cell>
          <cell r="BK188" t="str">
            <v/>
          </cell>
          <cell r="BL188">
            <v>0</v>
          </cell>
          <cell r="BM188">
            <v>0</v>
          </cell>
          <cell r="BN188" t="str">
            <v>持平</v>
          </cell>
          <cell r="BO188">
            <v>0</v>
          </cell>
          <cell r="BP188" t="str">
            <v>持平</v>
          </cell>
          <cell r="BQ188">
            <v>0</v>
          </cell>
          <cell r="BR188">
            <v>0</v>
          </cell>
          <cell r="BS188" t="str">
            <v>持平</v>
          </cell>
          <cell r="BT188">
            <v>0</v>
          </cell>
          <cell r="BU188" t="str">
            <v>持平</v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>
            <v>0</v>
          </cell>
          <cell r="CA188">
            <v>0</v>
          </cell>
          <cell r="CB188" t="str">
            <v>持平</v>
          </cell>
          <cell r="CC188">
            <v>0</v>
          </cell>
          <cell r="CD188" t="str">
            <v>持平</v>
          </cell>
          <cell r="CE188" t="str">
            <v/>
          </cell>
          <cell r="CF188" t="str">
            <v/>
          </cell>
          <cell r="CG188">
            <v>0</v>
          </cell>
          <cell r="CH188">
            <v>1</v>
          </cell>
          <cell r="CI188" t="str">
            <v>少1人</v>
          </cell>
          <cell r="CJ188">
            <v>0</v>
          </cell>
          <cell r="CK188" t="str">
            <v>持平</v>
          </cell>
          <cell r="CL188" t="str">
            <v/>
          </cell>
          <cell r="CM188" t="str">
            <v/>
          </cell>
          <cell r="CN188" t="str">
            <v/>
          </cell>
          <cell r="CO188">
            <v>0</v>
          </cell>
          <cell r="CP188">
            <v>1</v>
          </cell>
          <cell r="CQ188" t="str">
            <v>少1人</v>
          </cell>
          <cell r="CR188">
            <v>0</v>
          </cell>
          <cell r="CS188" t="str">
            <v>持平</v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>
            <v>0</v>
          </cell>
          <cell r="CZ188">
            <v>1</v>
          </cell>
          <cell r="DA188" t="str">
            <v>少1人</v>
          </cell>
          <cell r="DB188">
            <v>0</v>
          </cell>
          <cell r="DC188" t="str">
            <v>持平</v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>
            <v>0</v>
          </cell>
          <cell r="DJ188">
            <v>0</v>
          </cell>
          <cell r="DK188" t="str">
            <v>持平</v>
          </cell>
          <cell r="DL188">
            <v>0</v>
          </cell>
          <cell r="DM188" t="str">
            <v>持平</v>
          </cell>
          <cell r="DN188">
            <v>0</v>
          </cell>
          <cell r="DO188">
            <v>0</v>
          </cell>
          <cell r="DP188" t="str">
            <v>持平</v>
          </cell>
          <cell r="DQ188">
            <v>0</v>
          </cell>
          <cell r="DR188" t="str">
            <v>持平</v>
          </cell>
          <cell r="DS188">
            <v>0</v>
          </cell>
          <cell r="DT188">
            <v>0</v>
          </cell>
          <cell r="DU188" t="str">
            <v>持平</v>
          </cell>
          <cell r="DV188">
            <v>0</v>
          </cell>
          <cell r="DW188" t="str">
            <v>持平</v>
          </cell>
          <cell r="DX188">
            <v>0</v>
          </cell>
          <cell r="DY188">
            <v>1</v>
          </cell>
          <cell r="DZ188" t="str">
            <v>少1人</v>
          </cell>
          <cell r="EA188">
            <v>0</v>
          </cell>
          <cell r="EB188" t="str">
            <v>持平</v>
          </cell>
          <cell r="EC188">
            <v>0</v>
          </cell>
          <cell r="ED188">
            <v>1</v>
          </cell>
          <cell r="EE188" t="str">
            <v>少1人</v>
          </cell>
          <cell r="EF188">
            <v>0</v>
          </cell>
          <cell r="EG188" t="str">
            <v>持平</v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>
            <v>0</v>
          </cell>
          <cell r="EN188">
            <v>1</v>
          </cell>
          <cell r="EO188" t="str">
            <v>少1人</v>
          </cell>
          <cell r="EP188">
            <v>0</v>
          </cell>
          <cell r="EQ188" t="str">
            <v>持平</v>
          </cell>
          <cell r="ER188">
            <v>0</v>
          </cell>
          <cell r="ES188">
            <v>0</v>
          </cell>
          <cell r="ET188" t="str">
            <v>持平</v>
          </cell>
          <cell r="EU188">
            <v>0</v>
          </cell>
          <cell r="EV188" t="str">
            <v>持平</v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</row>
        <row r="189">
          <cell r="A189" t="str">
            <v>抢夺</v>
          </cell>
          <cell r="B189" t="str">
            <v>云安区</v>
          </cell>
        </row>
        <row r="189">
          <cell r="AM189">
            <v>0</v>
          </cell>
          <cell r="AN189">
            <v>0</v>
          </cell>
          <cell r="AO189" t="str">
            <v>持平</v>
          </cell>
          <cell r="AP189">
            <v>0</v>
          </cell>
          <cell r="AQ189" t="str">
            <v>持平</v>
          </cell>
          <cell r="AR189" t="str">
            <v/>
          </cell>
          <cell r="AS189" t="str">
            <v/>
          </cell>
          <cell r="AT189">
            <v>0</v>
          </cell>
          <cell r="AU189">
            <v>0</v>
          </cell>
          <cell r="AV189" t="str">
            <v>持平</v>
          </cell>
          <cell r="AW189">
            <v>0</v>
          </cell>
          <cell r="AX189" t="str">
            <v>持平</v>
          </cell>
          <cell r="AY189">
            <v>0</v>
          </cell>
          <cell r="AZ189">
            <v>0</v>
          </cell>
          <cell r="BA189" t="str">
            <v>持平</v>
          </cell>
          <cell r="BB189">
            <v>0</v>
          </cell>
          <cell r="BC189" t="str">
            <v>持平</v>
          </cell>
          <cell r="BD189" t="str">
            <v/>
          </cell>
          <cell r="BE189" t="str">
            <v/>
          </cell>
          <cell r="BF189">
            <v>0</v>
          </cell>
          <cell r="BG189">
            <v>0</v>
          </cell>
          <cell r="BH189" t="str">
            <v>持平</v>
          </cell>
          <cell r="BI189">
            <v>0</v>
          </cell>
          <cell r="BJ189" t="str">
            <v>持平</v>
          </cell>
          <cell r="BK189" t="str">
            <v/>
          </cell>
          <cell r="BL189">
            <v>0</v>
          </cell>
          <cell r="BM189">
            <v>0</v>
          </cell>
          <cell r="BN189" t="str">
            <v>持平</v>
          </cell>
          <cell r="BO189">
            <v>0</v>
          </cell>
          <cell r="BP189" t="str">
            <v>持平</v>
          </cell>
          <cell r="BQ189">
            <v>0</v>
          </cell>
          <cell r="BR189">
            <v>0</v>
          </cell>
          <cell r="BS189" t="str">
            <v>持平</v>
          </cell>
          <cell r="BT189">
            <v>0</v>
          </cell>
          <cell r="BU189" t="str">
            <v>持平</v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>
            <v>0</v>
          </cell>
          <cell r="CA189">
            <v>0</v>
          </cell>
          <cell r="CB189" t="str">
            <v>持平</v>
          </cell>
          <cell r="CC189">
            <v>0</v>
          </cell>
          <cell r="CD189" t="str">
            <v>持平</v>
          </cell>
          <cell r="CE189" t="str">
            <v/>
          </cell>
          <cell r="CF189" t="str">
            <v/>
          </cell>
          <cell r="CG189">
            <v>0</v>
          </cell>
          <cell r="CH189">
            <v>0</v>
          </cell>
          <cell r="CI189" t="str">
            <v>持平</v>
          </cell>
          <cell r="CJ189">
            <v>0</v>
          </cell>
          <cell r="CK189" t="str">
            <v>持平</v>
          </cell>
          <cell r="CL189" t="str">
            <v/>
          </cell>
          <cell r="CM189" t="str">
            <v/>
          </cell>
          <cell r="CN189" t="str">
            <v/>
          </cell>
          <cell r="CO189">
            <v>0</v>
          </cell>
          <cell r="CP189">
            <v>0</v>
          </cell>
          <cell r="CQ189" t="str">
            <v>持平</v>
          </cell>
          <cell r="CR189">
            <v>0</v>
          </cell>
          <cell r="CS189" t="str">
            <v>持平</v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>
            <v>0</v>
          </cell>
          <cell r="CZ189">
            <v>0</v>
          </cell>
          <cell r="DA189" t="str">
            <v>持平</v>
          </cell>
          <cell r="DB189">
            <v>0</v>
          </cell>
          <cell r="DC189" t="str">
            <v>持平</v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>
            <v>0</v>
          </cell>
          <cell r="DJ189">
            <v>0</v>
          </cell>
          <cell r="DK189" t="str">
            <v>持平</v>
          </cell>
          <cell r="DL189">
            <v>0</v>
          </cell>
          <cell r="DM189" t="str">
            <v>持平</v>
          </cell>
          <cell r="DN189">
            <v>0</v>
          </cell>
          <cell r="DO189">
            <v>0</v>
          </cell>
          <cell r="DP189" t="str">
            <v>持平</v>
          </cell>
          <cell r="DQ189">
            <v>0</v>
          </cell>
          <cell r="DR189" t="str">
            <v>持平</v>
          </cell>
          <cell r="DS189">
            <v>0</v>
          </cell>
          <cell r="DT189">
            <v>0</v>
          </cell>
          <cell r="DU189" t="str">
            <v>持平</v>
          </cell>
          <cell r="DV189">
            <v>0</v>
          </cell>
          <cell r="DW189" t="str">
            <v>持平</v>
          </cell>
          <cell r="DX189">
            <v>0</v>
          </cell>
          <cell r="DY189">
            <v>0</v>
          </cell>
          <cell r="DZ189" t="str">
            <v>持平</v>
          </cell>
          <cell r="EA189">
            <v>0</v>
          </cell>
          <cell r="EB189" t="str">
            <v>持平</v>
          </cell>
          <cell r="EC189">
            <v>0</v>
          </cell>
          <cell r="ED189">
            <v>0</v>
          </cell>
          <cell r="EE189" t="str">
            <v>持平</v>
          </cell>
          <cell r="EF189">
            <v>0</v>
          </cell>
          <cell r="EG189" t="str">
            <v>持平</v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>
            <v>0</v>
          </cell>
          <cell r="EN189">
            <v>0</v>
          </cell>
          <cell r="EO189" t="str">
            <v>持平</v>
          </cell>
          <cell r="EP189">
            <v>0</v>
          </cell>
          <cell r="EQ189" t="str">
            <v>持平</v>
          </cell>
          <cell r="ER189">
            <v>0</v>
          </cell>
          <cell r="ES189">
            <v>0</v>
          </cell>
          <cell r="ET189" t="str">
            <v>持平</v>
          </cell>
          <cell r="EU189">
            <v>0</v>
          </cell>
          <cell r="EV189" t="str">
            <v>持平</v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</row>
        <row r="190">
          <cell r="A190" t="str">
            <v>抢夺</v>
          </cell>
          <cell r="B190" t="str">
            <v>新兴县</v>
          </cell>
        </row>
        <row r="190">
          <cell r="AM190">
            <v>0</v>
          </cell>
          <cell r="AN190">
            <v>0</v>
          </cell>
          <cell r="AO190" t="str">
            <v>持平</v>
          </cell>
          <cell r="AP190">
            <v>0</v>
          </cell>
          <cell r="AQ190" t="str">
            <v>持平</v>
          </cell>
          <cell r="AR190" t="str">
            <v/>
          </cell>
          <cell r="AS190" t="str">
            <v/>
          </cell>
          <cell r="AT190">
            <v>0</v>
          </cell>
          <cell r="AU190">
            <v>0</v>
          </cell>
          <cell r="AV190" t="str">
            <v>持平</v>
          </cell>
          <cell r="AW190">
            <v>0</v>
          </cell>
          <cell r="AX190" t="str">
            <v>持平</v>
          </cell>
          <cell r="AY190">
            <v>0</v>
          </cell>
          <cell r="AZ190">
            <v>0</v>
          </cell>
          <cell r="BA190" t="str">
            <v>持平</v>
          </cell>
          <cell r="BB190">
            <v>0</v>
          </cell>
          <cell r="BC190" t="str">
            <v>持平</v>
          </cell>
          <cell r="BD190" t="str">
            <v/>
          </cell>
          <cell r="BE190" t="str">
            <v/>
          </cell>
          <cell r="BF190">
            <v>0</v>
          </cell>
          <cell r="BG190">
            <v>0</v>
          </cell>
          <cell r="BH190" t="str">
            <v>持平</v>
          </cell>
          <cell r="BI190">
            <v>0</v>
          </cell>
          <cell r="BJ190" t="str">
            <v>持平</v>
          </cell>
          <cell r="BK190" t="str">
            <v/>
          </cell>
          <cell r="BL190">
            <v>0</v>
          </cell>
          <cell r="BM190">
            <v>0</v>
          </cell>
          <cell r="BN190" t="str">
            <v>持平</v>
          </cell>
          <cell r="BO190">
            <v>0</v>
          </cell>
          <cell r="BP190" t="str">
            <v>持平</v>
          </cell>
          <cell r="BQ190">
            <v>0</v>
          </cell>
          <cell r="BR190">
            <v>0</v>
          </cell>
          <cell r="BS190" t="str">
            <v>持平</v>
          </cell>
          <cell r="BT190">
            <v>0</v>
          </cell>
          <cell r="BU190" t="str">
            <v>持平</v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>
            <v>0</v>
          </cell>
          <cell r="CA190">
            <v>0</v>
          </cell>
          <cell r="CB190" t="str">
            <v>持平</v>
          </cell>
          <cell r="CC190">
            <v>0</v>
          </cell>
          <cell r="CD190" t="str">
            <v>持平</v>
          </cell>
          <cell r="CE190" t="str">
            <v/>
          </cell>
          <cell r="CF190" t="str">
            <v/>
          </cell>
          <cell r="CG190">
            <v>0</v>
          </cell>
          <cell r="CH190">
            <v>0</v>
          </cell>
          <cell r="CI190" t="str">
            <v>持平</v>
          </cell>
          <cell r="CJ190">
            <v>0</v>
          </cell>
          <cell r="CK190" t="str">
            <v>持平</v>
          </cell>
          <cell r="CL190" t="str">
            <v/>
          </cell>
          <cell r="CM190" t="str">
            <v/>
          </cell>
          <cell r="CN190" t="str">
            <v/>
          </cell>
          <cell r="CO190">
            <v>0</v>
          </cell>
          <cell r="CP190">
            <v>0</v>
          </cell>
          <cell r="CQ190" t="str">
            <v>持平</v>
          </cell>
          <cell r="CR190">
            <v>0</v>
          </cell>
          <cell r="CS190" t="str">
            <v>持平</v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>
            <v>0</v>
          </cell>
          <cell r="CZ190">
            <v>0</v>
          </cell>
          <cell r="DA190" t="str">
            <v>持平</v>
          </cell>
          <cell r="DB190">
            <v>0</v>
          </cell>
          <cell r="DC190" t="str">
            <v>持平</v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>
            <v>0</v>
          </cell>
          <cell r="DJ190">
            <v>0</v>
          </cell>
          <cell r="DK190" t="str">
            <v>持平</v>
          </cell>
          <cell r="DL190">
            <v>0</v>
          </cell>
          <cell r="DM190" t="str">
            <v>持平</v>
          </cell>
          <cell r="DN190">
            <v>0</v>
          </cell>
          <cell r="DO190">
            <v>0</v>
          </cell>
          <cell r="DP190" t="str">
            <v>持平</v>
          </cell>
          <cell r="DQ190">
            <v>0</v>
          </cell>
          <cell r="DR190" t="str">
            <v>持平</v>
          </cell>
          <cell r="DS190">
            <v>0</v>
          </cell>
          <cell r="DT190">
            <v>0</v>
          </cell>
          <cell r="DU190" t="str">
            <v>持平</v>
          </cell>
          <cell r="DV190">
            <v>0</v>
          </cell>
          <cell r="DW190" t="str">
            <v>持平</v>
          </cell>
          <cell r="DX190">
            <v>0</v>
          </cell>
          <cell r="DY190">
            <v>0</v>
          </cell>
          <cell r="DZ190" t="str">
            <v>持平</v>
          </cell>
          <cell r="EA190">
            <v>0</v>
          </cell>
          <cell r="EB190" t="str">
            <v>持平</v>
          </cell>
          <cell r="EC190">
            <v>0</v>
          </cell>
          <cell r="ED190">
            <v>0</v>
          </cell>
          <cell r="EE190" t="str">
            <v>持平</v>
          </cell>
          <cell r="EF190">
            <v>0</v>
          </cell>
          <cell r="EG190" t="str">
            <v>持平</v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>
            <v>0</v>
          </cell>
          <cell r="EN190">
            <v>0</v>
          </cell>
          <cell r="EO190" t="str">
            <v>持平</v>
          </cell>
          <cell r="EP190">
            <v>0</v>
          </cell>
          <cell r="EQ190" t="str">
            <v>持平</v>
          </cell>
          <cell r="ER190">
            <v>0</v>
          </cell>
          <cell r="ES190">
            <v>0</v>
          </cell>
          <cell r="ET190" t="str">
            <v>持平</v>
          </cell>
          <cell r="EU190">
            <v>0</v>
          </cell>
          <cell r="EV190" t="str">
            <v>持平</v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</row>
        <row r="191">
          <cell r="A191" t="str">
            <v>抢夺</v>
          </cell>
          <cell r="B191" t="str">
            <v>郁南县</v>
          </cell>
        </row>
        <row r="191">
          <cell r="AM191">
            <v>1</v>
          </cell>
          <cell r="AN191">
            <v>0</v>
          </cell>
          <cell r="AO191" t="str">
            <v>多1起</v>
          </cell>
          <cell r="AP191">
            <v>0</v>
          </cell>
          <cell r="AQ191" t="str">
            <v>多1起</v>
          </cell>
          <cell r="AR191">
            <v>1</v>
          </cell>
          <cell r="AS191" t="str">
            <v/>
          </cell>
          <cell r="AT191">
            <v>1</v>
          </cell>
          <cell r="AU191">
            <v>0</v>
          </cell>
          <cell r="AV191" t="str">
            <v>多1起</v>
          </cell>
          <cell r="AW191">
            <v>0</v>
          </cell>
          <cell r="AX191" t="str">
            <v>多1起</v>
          </cell>
          <cell r="AY191">
            <v>1</v>
          </cell>
          <cell r="AZ191">
            <v>0</v>
          </cell>
          <cell r="BA191" t="str">
            <v>多1起</v>
          </cell>
          <cell r="BB191">
            <v>0</v>
          </cell>
          <cell r="BC191" t="str">
            <v>多1起</v>
          </cell>
          <cell r="BD191">
            <v>1</v>
          </cell>
          <cell r="BE191" t="str">
            <v/>
          </cell>
          <cell r="BF191">
            <v>0</v>
          </cell>
          <cell r="BG191">
            <v>0</v>
          </cell>
          <cell r="BH191" t="str">
            <v>持平</v>
          </cell>
          <cell r="BI191">
            <v>0</v>
          </cell>
          <cell r="BJ191" t="str">
            <v>持平</v>
          </cell>
          <cell r="BK191">
            <v>0</v>
          </cell>
          <cell r="BL191">
            <v>0</v>
          </cell>
          <cell r="BM191">
            <v>0</v>
          </cell>
          <cell r="BN191" t="str">
            <v>持平</v>
          </cell>
          <cell r="BO191">
            <v>0</v>
          </cell>
          <cell r="BP191" t="str">
            <v>持平</v>
          </cell>
          <cell r="BQ191">
            <v>0</v>
          </cell>
          <cell r="BR191">
            <v>0</v>
          </cell>
          <cell r="BS191" t="str">
            <v>持平</v>
          </cell>
          <cell r="BT191">
            <v>0</v>
          </cell>
          <cell r="BU191" t="str">
            <v>持平</v>
          </cell>
          <cell r="BV191">
            <v>0</v>
          </cell>
          <cell r="BW191" t="str">
            <v/>
          </cell>
          <cell r="BX191">
            <v>0</v>
          </cell>
          <cell r="BY191" t="str">
            <v/>
          </cell>
          <cell r="BZ191">
            <v>0</v>
          </cell>
          <cell r="CA191">
            <v>0</v>
          </cell>
          <cell r="CB191" t="str">
            <v>持平</v>
          </cell>
          <cell r="CC191">
            <v>0</v>
          </cell>
          <cell r="CD191" t="str">
            <v>持平</v>
          </cell>
          <cell r="CE191" t="str">
            <v/>
          </cell>
          <cell r="CF191" t="str">
            <v/>
          </cell>
          <cell r="CG191">
            <v>0</v>
          </cell>
          <cell r="CH191">
            <v>0</v>
          </cell>
          <cell r="CI191" t="str">
            <v>持平</v>
          </cell>
          <cell r="CJ191">
            <v>0</v>
          </cell>
          <cell r="CK191" t="str">
            <v>持平</v>
          </cell>
          <cell r="CL191">
            <v>0</v>
          </cell>
          <cell r="CM191" t="str">
            <v/>
          </cell>
          <cell r="CN191" t="str">
            <v/>
          </cell>
          <cell r="CO191">
            <v>1</v>
          </cell>
          <cell r="CP191">
            <v>0</v>
          </cell>
          <cell r="CQ191" t="str">
            <v>多1人</v>
          </cell>
          <cell r="CR191">
            <v>0</v>
          </cell>
          <cell r="CS191" t="str">
            <v>多1人</v>
          </cell>
          <cell r="CT191" t="str">
            <v/>
          </cell>
          <cell r="CU191" t="str">
            <v/>
          </cell>
          <cell r="CV191">
            <v>100</v>
          </cell>
          <cell r="CW191" t="str">
            <v/>
          </cell>
          <cell r="CX191" t="str">
            <v/>
          </cell>
          <cell r="CY191">
            <v>1</v>
          </cell>
          <cell r="CZ191">
            <v>0</v>
          </cell>
          <cell r="DA191" t="str">
            <v>多1人</v>
          </cell>
          <cell r="DB191">
            <v>0</v>
          </cell>
          <cell r="DC191" t="str">
            <v>多1人</v>
          </cell>
          <cell r="DD191" t="str">
            <v/>
          </cell>
          <cell r="DE191" t="str">
            <v/>
          </cell>
          <cell r="DF191">
            <v>100</v>
          </cell>
          <cell r="DG191" t="str">
            <v/>
          </cell>
          <cell r="DH191" t="str">
            <v/>
          </cell>
          <cell r="DI191">
            <v>0</v>
          </cell>
          <cell r="DJ191">
            <v>0</v>
          </cell>
          <cell r="DK191" t="str">
            <v>持平</v>
          </cell>
          <cell r="DL191">
            <v>0</v>
          </cell>
          <cell r="DM191" t="str">
            <v>持平</v>
          </cell>
          <cell r="DN191">
            <v>0</v>
          </cell>
          <cell r="DO191">
            <v>0</v>
          </cell>
          <cell r="DP191" t="str">
            <v>持平</v>
          </cell>
          <cell r="DQ191">
            <v>0</v>
          </cell>
          <cell r="DR191" t="str">
            <v>持平</v>
          </cell>
          <cell r="DS191">
            <v>0</v>
          </cell>
          <cell r="DT191">
            <v>0</v>
          </cell>
          <cell r="DU191" t="str">
            <v>持平</v>
          </cell>
          <cell r="DV191">
            <v>0</v>
          </cell>
          <cell r="DW191" t="str">
            <v>持平</v>
          </cell>
          <cell r="DX191">
            <v>0</v>
          </cell>
          <cell r="DY191">
            <v>0</v>
          </cell>
          <cell r="DZ191" t="str">
            <v>持平</v>
          </cell>
          <cell r="EA191">
            <v>0</v>
          </cell>
          <cell r="EB191" t="str">
            <v>持平</v>
          </cell>
          <cell r="EC191">
            <v>0</v>
          </cell>
          <cell r="ED191">
            <v>0</v>
          </cell>
          <cell r="EE191" t="str">
            <v>持平</v>
          </cell>
          <cell r="EF191">
            <v>0</v>
          </cell>
          <cell r="EG191" t="str">
            <v>持平</v>
          </cell>
          <cell r="EH191">
            <v>0</v>
          </cell>
          <cell r="EI191" t="str">
            <v/>
          </cell>
          <cell r="EJ191">
            <v>0</v>
          </cell>
          <cell r="EK191" t="str">
            <v/>
          </cell>
          <cell r="EL191" t="str">
            <v/>
          </cell>
          <cell r="EM191">
            <v>0</v>
          </cell>
          <cell r="EN191">
            <v>0</v>
          </cell>
          <cell r="EO191" t="str">
            <v>持平</v>
          </cell>
          <cell r="EP191">
            <v>0</v>
          </cell>
          <cell r="EQ191" t="str">
            <v>持平</v>
          </cell>
          <cell r="ER191">
            <v>0</v>
          </cell>
          <cell r="ES191">
            <v>0</v>
          </cell>
          <cell r="ET191" t="str">
            <v>持平</v>
          </cell>
          <cell r="EU191">
            <v>0</v>
          </cell>
          <cell r="EV191" t="str">
            <v>持平</v>
          </cell>
          <cell r="EW191">
            <v>0</v>
          </cell>
          <cell r="EX191" t="str">
            <v/>
          </cell>
          <cell r="EY191">
            <v>0</v>
          </cell>
          <cell r="EZ191" t="str">
            <v/>
          </cell>
          <cell r="FA191" t="str">
            <v/>
          </cell>
        </row>
        <row r="192">
          <cell r="A192" t="str">
            <v>抢夺</v>
          </cell>
          <cell r="B192" t="str">
            <v>罗定市</v>
          </cell>
        </row>
        <row r="192">
          <cell r="AM192">
            <v>0</v>
          </cell>
          <cell r="AN192">
            <v>0</v>
          </cell>
          <cell r="AO192" t="str">
            <v>持平</v>
          </cell>
          <cell r="AP192">
            <v>0</v>
          </cell>
          <cell r="AQ192" t="str">
            <v>持平</v>
          </cell>
          <cell r="AR192" t="str">
            <v/>
          </cell>
          <cell r="AS192" t="str">
            <v/>
          </cell>
          <cell r="AT192">
            <v>0</v>
          </cell>
          <cell r="AU192">
            <v>0</v>
          </cell>
          <cell r="AV192" t="str">
            <v>持平</v>
          </cell>
          <cell r="AW192">
            <v>0</v>
          </cell>
          <cell r="AX192" t="str">
            <v>持平</v>
          </cell>
          <cell r="AY192">
            <v>0</v>
          </cell>
          <cell r="AZ192">
            <v>0</v>
          </cell>
          <cell r="BA192" t="str">
            <v>持平</v>
          </cell>
          <cell r="BB192">
            <v>0</v>
          </cell>
          <cell r="BC192" t="str">
            <v>持平</v>
          </cell>
          <cell r="BD192" t="str">
            <v/>
          </cell>
          <cell r="BE192" t="str">
            <v/>
          </cell>
          <cell r="BF192">
            <v>0</v>
          </cell>
          <cell r="BG192">
            <v>0</v>
          </cell>
          <cell r="BH192" t="str">
            <v>持平</v>
          </cell>
          <cell r="BI192">
            <v>0</v>
          </cell>
          <cell r="BJ192" t="str">
            <v>持平</v>
          </cell>
          <cell r="BK192" t="str">
            <v/>
          </cell>
          <cell r="BL192">
            <v>0</v>
          </cell>
          <cell r="BM192">
            <v>0</v>
          </cell>
          <cell r="BN192" t="str">
            <v>持平</v>
          </cell>
          <cell r="BO192">
            <v>0</v>
          </cell>
          <cell r="BP192" t="str">
            <v>持平</v>
          </cell>
          <cell r="BQ192">
            <v>0</v>
          </cell>
          <cell r="BR192">
            <v>0</v>
          </cell>
          <cell r="BS192" t="str">
            <v>持平</v>
          </cell>
          <cell r="BT192">
            <v>0</v>
          </cell>
          <cell r="BU192" t="str">
            <v>持平</v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>
            <v>0</v>
          </cell>
          <cell r="CA192">
            <v>0</v>
          </cell>
          <cell r="CB192" t="str">
            <v>持平</v>
          </cell>
          <cell r="CC192">
            <v>0</v>
          </cell>
          <cell r="CD192" t="str">
            <v>持平</v>
          </cell>
          <cell r="CE192" t="str">
            <v/>
          </cell>
          <cell r="CF192" t="str">
            <v/>
          </cell>
          <cell r="CG192">
            <v>0</v>
          </cell>
          <cell r="CH192">
            <v>0</v>
          </cell>
          <cell r="CI192" t="str">
            <v>持平</v>
          </cell>
          <cell r="CJ192">
            <v>0</v>
          </cell>
          <cell r="CK192" t="str">
            <v>持平</v>
          </cell>
          <cell r="CL192" t="str">
            <v/>
          </cell>
          <cell r="CM192" t="str">
            <v/>
          </cell>
          <cell r="CN192" t="str">
            <v/>
          </cell>
          <cell r="CO192">
            <v>0</v>
          </cell>
          <cell r="CP192">
            <v>0</v>
          </cell>
          <cell r="CQ192" t="str">
            <v>持平</v>
          </cell>
          <cell r="CR192">
            <v>0</v>
          </cell>
          <cell r="CS192" t="str">
            <v>持平</v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>
            <v>0</v>
          </cell>
          <cell r="CZ192">
            <v>0</v>
          </cell>
          <cell r="DA192" t="str">
            <v>持平</v>
          </cell>
          <cell r="DB192">
            <v>0</v>
          </cell>
          <cell r="DC192" t="str">
            <v>持平</v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>
            <v>0</v>
          </cell>
          <cell r="DJ192">
            <v>0</v>
          </cell>
          <cell r="DK192" t="str">
            <v>持平</v>
          </cell>
          <cell r="DL192">
            <v>0</v>
          </cell>
          <cell r="DM192" t="str">
            <v>持平</v>
          </cell>
          <cell r="DN192">
            <v>0</v>
          </cell>
          <cell r="DO192">
            <v>0</v>
          </cell>
          <cell r="DP192" t="str">
            <v>持平</v>
          </cell>
          <cell r="DQ192">
            <v>0</v>
          </cell>
          <cell r="DR192" t="str">
            <v>持平</v>
          </cell>
          <cell r="DS192">
            <v>0</v>
          </cell>
          <cell r="DT192">
            <v>0</v>
          </cell>
          <cell r="DU192" t="str">
            <v>持平</v>
          </cell>
          <cell r="DV192">
            <v>0</v>
          </cell>
          <cell r="DW192" t="str">
            <v>持平</v>
          </cell>
          <cell r="DX192">
            <v>0</v>
          </cell>
          <cell r="DY192">
            <v>0</v>
          </cell>
          <cell r="DZ192" t="str">
            <v>持平</v>
          </cell>
          <cell r="EA192">
            <v>0</v>
          </cell>
          <cell r="EB192" t="str">
            <v>持平</v>
          </cell>
          <cell r="EC192">
            <v>0</v>
          </cell>
          <cell r="ED192">
            <v>0</v>
          </cell>
          <cell r="EE192" t="str">
            <v>持平</v>
          </cell>
          <cell r="EF192">
            <v>0</v>
          </cell>
          <cell r="EG192" t="str">
            <v>持平</v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>
            <v>0</v>
          </cell>
          <cell r="EN192">
            <v>0</v>
          </cell>
          <cell r="EO192" t="str">
            <v>持平</v>
          </cell>
          <cell r="EP192">
            <v>0</v>
          </cell>
          <cell r="EQ192" t="str">
            <v>持平</v>
          </cell>
          <cell r="ER192">
            <v>0</v>
          </cell>
          <cell r="ES192">
            <v>0</v>
          </cell>
          <cell r="ET192" t="str">
            <v>持平</v>
          </cell>
          <cell r="EU192">
            <v>0</v>
          </cell>
          <cell r="EV192" t="str">
            <v>持平</v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</row>
        <row r="193">
          <cell r="A193" t="str">
            <v>性侵</v>
          </cell>
          <cell r="B193" t="str">
            <v>全省</v>
          </cell>
        </row>
        <row r="193">
          <cell r="AM193">
            <v>804</v>
          </cell>
          <cell r="AN193">
            <v>532</v>
          </cell>
          <cell r="AO193">
            <v>0.5113</v>
          </cell>
          <cell r="AP193">
            <v>956</v>
          </cell>
          <cell r="AQ193">
            <v>-0.159</v>
          </cell>
          <cell r="AR193">
            <v>0.9349</v>
          </cell>
          <cell r="AS193">
            <v>0.0081</v>
          </cell>
          <cell r="AT193">
            <v>634</v>
          </cell>
          <cell r="AU193">
            <v>432</v>
          </cell>
          <cell r="AV193">
            <v>0.4676</v>
          </cell>
          <cell r="AW193">
            <v>801</v>
          </cell>
          <cell r="AX193">
            <v>-0.2085</v>
          </cell>
          <cell r="AY193">
            <v>592</v>
          </cell>
          <cell r="AZ193">
            <v>386</v>
          </cell>
          <cell r="BA193">
            <v>0.5337</v>
          </cell>
          <cell r="BB193">
            <v>869</v>
          </cell>
          <cell r="BC193">
            <v>-0.3188</v>
          </cell>
          <cell r="BD193">
            <v>0.9338</v>
          </cell>
          <cell r="BE193">
            <v>0.0402</v>
          </cell>
          <cell r="BF193">
            <v>226</v>
          </cell>
          <cell r="BG193">
            <v>142</v>
          </cell>
          <cell r="BH193">
            <v>0.5915</v>
          </cell>
          <cell r="BI193">
            <v>42</v>
          </cell>
          <cell r="BJ193">
            <v>4.381</v>
          </cell>
          <cell r="BK193">
            <v>0.2628</v>
          </cell>
          <cell r="BL193">
            <v>212</v>
          </cell>
          <cell r="BM193">
            <v>146</v>
          </cell>
          <cell r="BN193">
            <v>0.4521</v>
          </cell>
          <cell r="BO193">
            <v>87</v>
          </cell>
          <cell r="BP193">
            <v>1.4368</v>
          </cell>
          <cell r="BQ193">
            <v>450</v>
          </cell>
          <cell r="BR193">
            <v>349</v>
          </cell>
          <cell r="BS193">
            <v>0.2894</v>
          </cell>
          <cell r="BT193">
            <v>815</v>
          </cell>
          <cell r="BU193">
            <v>-0.4479</v>
          </cell>
          <cell r="BV193">
            <v>0.5233</v>
          </cell>
          <cell r="BW193">
            <v>-0.0848</v>
          </cell>
          <cell r="BX193">
            <v>0.7098</v>
          </cell>
          <cell r="BY193">
            <v>-0.0981</v>
          </cell>
          <cell r="BZ193">
            <v>3</v>
          </cell>
          <cell r="CA193">
            <v>1</v>
          </cell>
          <cell r="CB193">
            <v>2</v>
          </cell>
          <cell r="CC193">
            <v>15</v>
          </cell>
          <cell r="CD193">
            <v>-0.8</v>
          </cell>
          <cell r="CE193" t="str">
            <v/>
          </cell>
          <cell r="CF193" t="str">
            <v/>
          </cell>
          <cell r="CG193">
            <v>949</v>
          </cell>
          <cell r="CH193">
            <v>650</v>
          </cell>
          <cell r="CI193">
            <v>0.46</v>
          </cell>
          <cell r="CJ193">
            <v>971</v>
          </cell>
          <cell r="CK193">
            <v>-0.0227</v>
          </cell>
          <cell r="CL193">
            <v>110</v>
          </cell>
          <cell r="CM193">
            <v>-3</v>
          </cell>
          <cell r="CN193">
            <v>-0.0255</v>
          </cell>
          <cell r="CO193">
            <v>732</v>
          </cell>
          <cell r="CP193">
            <v>419</v>
          </cell>
          <cell r="CQ193">
            <v>0.747</v>
          </cell>
          <cell r="CR193">
            <v>770</v>
          </cell>
          <cell r="CS193">
            <v>-0.0494</v>
          </cell>
          <cell r="CT193">
            <v>0.7713</v>
          </cell>
          <cell r="CU193">
            <v>0.1267</v>
          </cell>
          <cell r="CV193">
            <v>85</v>
          </cell>
          <cell r="CW193">
            <v>12</v>
          </cell>
          <cell r="CX193">
            <v>0.166</v>
          </cell>
          <cell r="CY193">
            <v>879</v>
          </cell>
          <cell r="CZ193">
            <v>561</v>
          </cell>
          <cell r="DA193">
            <v>0.5668</v>
          </cell>
          <cell r="DB193">
            <v>927</v>
          </cell>
          <cell r="DC193">
            <v>-0.0518</v>
          </cell>
          <cell r="DD193">
            <v>0.9262</v>
          </cell>
          <cell r="DE193">
            <v>0.0632</v>
          </cell>
          <cell r="DF193">
            <v>102</v>
          </cell>
          <cell r="DG193">
            <v>4</v>
          </cell>
          <cell r="DH193">
            <v>0.0458</v>
          </cell>
          <cell r="DI193">
            <v>854</v>
          </cell>
          <cell r="DJ193">
            <v>577</v>
          </cell>
          <cell r="DK193">
            <v>0.4801</v>
          </cell>
          <cell r="DL193">
            <v>958</v>
          </cell>
          <cell r="DM193">
            <v>-0.1086</v>
          </cell>
          <cell r="DN193">
            <v>353</v>
          </cell>
          <cell r="DO193">
            <v>264</v>
          </cell>
          <cell r="DP193">
            <v>0.3371</v>
          </cell>
          <cell r="DQ193">
            <v>466</v>
          </cell>
          <cell r="DR193">
            <v>-0.2425</v>
          </cell>
          <cell r="DS193">
            <v>353</v>
          </cell>
          <cell r="DT193">
            <v>264</v>
          </cell>
          <cell r="DU193">
            <v>0.3371</v>
          </cell>
          <cell r="DV193">
            <v>466</v>
          </cell>
          <cell r="DW193">
            <v>-0.2425</v>
          </cell>
          <cell r="DX193">
            <v>763</v>
          </cell>
          <cell r="DY193">
            <v>573</v>
          </cell>
          <cell r="DZ193">
            <v>0.3316</v>
          </cell>
          <cell r="EA193">
            <v>852</v>
          </cell>
          <cell r="EB193">
            <v>-0.1045</v>
          </cell>
          <cell r="EC193">
            <v>466</v>
          </cell>
          <cell r="ED193">
            <v>404</v>
          </cell>
          <cell r="EE193">
            <v>0.1535</v>
          </cell>
          <cell r="EF193">
            <v>580</v>
          </cell>
          <cell r="EG193">
            <v>-0.1966</v>
          </cell>
          <cell r="EH193">
            <v>0.6366</v>
          </cell>
          <cell r="EI193">
            <v>-0.3276</v>
          </cell>
          <cell r="EJ193">
            <v>54</v>
          </cell>
          <cell r="EK193">
            <v>-16</v>
          </cell>
          <cell r="EL193">
            <v>-0.2301</v>
          </cell>
          <cell r="EM193">
            <v>485</v>
          </cell>
          <cell r="EN193">
            <v>406</v>
          </cell>
          <cell r="EO193">
            <v>0.1946</v>
          </cell>
          <cell r="EP193">
            <v>577</v>
          </cell>
          <cell r="EQ193">
            <v>-0.1594</v>
          </cell>
          <cell r="ER193">
            <v>517</v>
          </cell>
          <cell r="ES193">
            <v>386</v>
          </cell>
          <cell r="ET193">
            <v>0.3394</v>
          </cell>
          <cell r="EU193">
            <v>873</v>
          </cell>
          <cell r="EV193">
            <v>-0.4078</v>
          </cell>
          <cell r="EW193">
            <v>0.7063</v>
          </cell>
          <cell r="EX193">
            <v>-0.215</v>
          </cell>
          <cell r="EY193">
            <v>60</v>
          </cell>
          <cell r="EZ193">
            <v>-7</v>
          </cell>
          <cell r="FA193">
            <v>-0.106</v>
          </cell>
        </row>
        <row r="194">
          <cell r="A194" t="str">
            <v>性侵</v>
          </cell>
          <cell r="B194" t="str">
            <v>云浮</v>
          </cell>
        </row>
        <row r="194">
          <cell r="AM194">
            <v>10</v>
          </cell>
          <cell r="AN194">
            <v>9</v>
          </cell>
          <cell r="AO194">
            <v>0.1111</v>
          </cell>
          <cell r="AP194">
            <v>9</v>
          </cell>
          <cell r="AQ194">
            <v>0.1111</v>
          </cell>
          <cell r="AR194">
            <v>0.7692</v>
          </cell>
          <cell r="AS194">
            <v>-0.1308</v>
          </cell>
          <cell r="AT194">
            <v>8</v>
          </cell>
          <cell r="AU194">
            <v>7</v>
          </cell>
          <cell r="AV194">
            <v>0.1429</v>
          </cell>
          <cell r="AW194">
            <v>6</v>
          </cell>
          <cell r="AX194">
            <v>0.3333</v>
          </cell>
          <cell r="AY194">
            <v>7</v>
          </cell>
          <cell r="AZ194">
            <v>7</v>
          </cell>
          <cell r="BA194">
            <v>0</v>
          </cell>
          <cell r="BB194">
            <v>7</v>
          </cell>
          <cell r="BC194">
            <v>0</v>
          </cell>
          <cell r="BD194">
            <v>0.875</v>
          </cell>
          <cell r="BE194">
            <v>-0.125</v>
          </cell>
          <cell r="BF194">
            <v>5</v>
          </cell>
          <cell r="BG194">
            <v>3</v>
          </cell>
          <cell r="BH194">
            <v>0.6667</v>
          </cell>
          <cell r="BI194">
            <v>0</v>
          </cell>
          <cell r="BJ194" t="str">
            <v>多5起</v>
          </cell>
          <cell r="BK194">
            <v>0.3846</v>
          </cell>
          <cell r="BL194">
            <v>3</v>
          </cell>
          <cell r="BM194">
            <v>2</v>
          </cell>
          <cell r="BN194">
            <v>0.5</v>
          </cell>
          <cell r="BO194">
            <v>2</v>
          </cell>
          <cell r="BP194">
            <v>0.5</v>
          </cell>
          <cell r="BQ194">
            <v>0</v>
          </cell>
          <cell r="BR194">
            <v>0</v>
          </cell>
          <cell r="BS194" t="str">
            <v>持平</v>
          </cell>
          <cell r="BT194">
            <v>11</v>
          </cell>
          <cell r="BU194" t="str">
            <v>少11起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 t="str">
            <v>持平</v>
          </cell>
          <cell r="CC194">
            <v>0</v>
          </cell>
          <cell r="CD194" t="str">
            <v>持平</v>
          </cell>
          <cell r="CE194" t="str">
            <v/>
          </cell>
          <cell r="CF194" t="str">
            <v/>
          </cell>
          <cell r="CG194">
            <v>12</v>
          </cell>
          <cell r="CH194">
            <v>13</v>
          </cell>
          <cell r="CI194">
            <v>-0.0769</v>
          </cell>
          <cell r="CJ194">
            <v>7</v>
          </cell>
          <cell r="CK194">
            <v>0.7143</v>
          </cell>
          <cell r="CL194">
            <v>92</v>
          </cell>
          <cell r="CM194">
            <v>-38</v>
          </cell>
          <cell r="CN194">
            <v>-0.2899</v>
          </cell>
          <cell r="CO194">
            <v>11</v>
          </cell>
          <cell r="CP194">
            <v>9</v>
          </cell>
          <cell r="CQ194">
            <v>0.2222</v>
          </cell>
          <cell r="CR194">
            <v>4</v>
          </cell>
          <cell r="CS194">
            <v>1.75</v>
          </cell>
          <cell r="CT194">
            <v>0.9167</v>
          </cell>
          <cell r="CU194">
            <v>0.2244</v>
          </cell>
          <cell r="CV194">
            <v>85</v>
          </cell>
          <cell r="CW194">
            <v>-5</v>
          </cell>
          <cell r="CX194">
            <v>-0.0598</v>
          </cell>
          <cell r="CY194">
            <v>12</v>
          </cell>
          <cell r="CZ194">
            <v>9</v>
          </cell>
          <cell r="DA194">
            <v>0.3333</v>
          </cell>
          <cell r="DB194">
            <v>4</v>
          </cell>
          <cell r="DC194">
            <v>2</v>
          </cell>
          <cell r="DD194">
            <v>1</v>
          </cell>
          <cell r="DE194">
            <v>0.3077</v>
          </cell>
          <cell r="DF194">
            <v>92</v>
          </cell>
          <cell r="DG194">
            <v>2</v>
          </cell>
          <cell r="DH194">
            <v>0.0256</v>
          </cell>
          <cell r="DI194">
            <v>15</v>
          </cell>
          <cell r="DJ194">
            <v>9</v>
          </cell>
          <cell r="DK194">
            <v>0.6667</v>
          </cell>
          <cell r="DL194">
            <v>4</v>
          </cell>
          <cell r="DM194">
            <v>2.75</v>
          </cell>
          <cell r="DN194">
            <v>1</v>
          </cell>
          <cell r="DO194">
            <v>0</v>
          </cell>
          <cell r="DP194" t="str">
            <v>多1人</v>
          </cell>
          <cell r="DQ194">
            <v>0</v>
          </cell>
          <cell r="DR194" t="str">
            <v>多1人</v>
          </cell>
          <cell r="DS194">
            <v>1</v>
          </cell>
          <cell r="DT194">
            <v>0</v>
          </cell>
          <cell r="DU194" t="str">
            <v>多1人</v>
          </cell>
          <cell r="DV194">
            <v>0</v>
          </cell>
          <cell r="DW194" t="str">
            <v>多1人</v>
          </cell>
          <cell r="DX194">
            <v>10</v>
          </cell>
          <cell r="DY194">
            <v>10</v>
          </cell>
          <cell r="DZ194">
            <v>0</v>
          </cell>
          <cell r="EA194">
            <v>7</v>
          </cell>
          <cell r="EB194">
            <v>0.4286</v>
          </cell>
          <cell r="EC194">
            <v>4</v>
          </cell>
          <cell r="ED194">
            <v>8</v>
          </cell>
          <cell r="EE194">
            <v>-0.5</v>
          </cell>
          <cell r="EF194">
            <v>7</v>
          </cell>
          <cell r="EG194">
            <v>-0.4286</v>
          </cell>
          <cell r="EH194">
            <v>0.3636</v>
          </cell>
          <cell r="EI194">
            <v>-0.5253</v>
          </cell>
          <cell r="EJ194">
            <v>31</v>
          </cell>
          <cell r="EK194">
            <v>-49</v>
          </cell>
          <cell r="EL194">
            <v>-0.6154</v>
          </cell>
          <cell r="EM194">
            <v>4</v>
          </cell>
          <cell r="EN194">
            <v>8</v>
          </cell>
          <cell r="EO194">
            <v>-0.5</v>
          </cell>
          <cell r="EP194">
            <v>7</v>
          </cell>
          <cell r="EQ194">
            <v>-0.4286</v>
          </cell>
          <cell r="ER194">
            <v>0</v>
          </cell>
          <cell r="ES194">
            <v>0</v>
          </cell>
          <cell r="ET194" t="str">
            <v>持平</v>
          </cell>
          <cell r="EU194">
            <v>11</v>
          </cell>
          <cell r="EV194" t="str">
            <v>少11人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 t="str">
            <v/>
          </cell>
        </row>
        <row r="195">
          <cell r="A195" t="str">
            <v>性侵</v>
          </cell>
          <cell r="B195" t="str">
            <v>云城区</v>
          </cell>
        </row>
        <row r="195">
          <cell r="AM195">
            <v>3</v>
          </cell>
          <cell r="AN195">
            <v>3</v>
          </cell>
          <cell r="AO195">
            <v>0</v>
          </cell>
          <cell r="AP195">
            <v>1</v>
          </cell>
          <cell r="AQ195">
            <v>2</v>
          </cell>
          <cell r="AR195">
            <v>1</v>
          </cell>
          <cell r="AS195">
            <v>0</v>
          </cell>
          <cell r="AT195">
            <v>2</v>
          </cell>
          <cell r="AU195">
            <v>3</v>
          </cell>
          <cell r="AV195">
            <v>-0.3333</v>
          </cell>
          <cell r="AW195">
            <v>1</v>
          </cell>
          <cell r="AX195">
            <v>1</v>
          </cell>
          <cell r="AY195">
            <v>2</v>
          </cell>
          <cell r="AZ195">
            <v>3</v>
          </cell>
          <cell r="BA195">
            <v>-0.3333</v>
          </cell>
          <cell r="BB195">
            <v>1</v>
          </cell>
          <cell r="BC195">
            <v>1</v>
          </cell>
          <cell r="BD195">
            <v>1</v>
          </cell>
          <cell r="BE195">
            <v>0</v>
          </cell>
          <cell r="BF195">
            <v>1</v>
          </cell>
          <cell r="BG195">
            <v>0</v>
          </cell>
          <cell r="BH195" t="str">
            <v>多1起</v>
          </cell>
          <cell r="BI195">
            <v>0</v>
          </cell>
          <cell r="BJ195" t="str">
            <v>多1起</v>
          </cell>
          <cell r="BK195">
            <v>0.3333</v>
          </cell>
          <cell r="BL195">
            <v>1</v>
          </cell>
          <cell r="BM195">
            <v>0</v>
          </cell>
          <cell r="BN195" t="str">
            <v>多1起</v>
          </cell>
          <cell r="BO195">
            <v>0</v>
          </cell>
          <cell r="BP195" t="str">
            <v>多1起</v>
          </cell>
          <cell r="BQ195">
            <v>0</v>
          </cell>
          <cell r="BR195">
            <v>0</v>
          </cell>
          <cell r="BS195" t="str">
            <v>持平</v>
          </cell>
          <cell r="BT195">
            <v>3</v>
          </cell>
          <cell r="BU195" t="str">
            <v>少3起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 t="str">
            <v>持平</v>
          </cell>
          <cell r="CC195">
            <v>0</v>
          </cell>
          <cell r="CD195" t="str">
            <v>持平</v>
          </cell>
          <cell r="CE195" t="str">
            <v/>
          </cell>
          <cell r="CF195" t="str">
            <v/>
          </cell>
          <cell r="CG195">
            <v>1</v>
          </cell>
          <cell r="CH195">
            <v>4</v>
          </cell>
          <cell r="CI195">
            <v>-0.75</v>
          </cell>
          <cell r="CJ195">
            <v>2</v>
          </cell>
          <cell r="CK195">
            <v>-0.5</v>
          </cell>
          <cell r="CL195">
            <v>33</v>
          </cell>
          <cell r="CM195">
            <v>-100</v>
          </cell>
          <cell r="CN195">
            <v>-0.75</v>
          </cell>
          <cell r="CO195">
            <v>2</v>
          </cell>
          <cell r="CP195">
            <v>3</v>
          </cell>
          <cell r="CQ195">
            <v>-0.3333</v>
          </cell>
          <cell r="CR195">
            <v>1</v>
          </cell>
          <cell r="CS195">
            <v>1</v>
          </cell>
          <cell r="CT195">
            <v>2</v>
          </cell>
          <cell r="CU195">
            <v>1.25</v>
          </cell>
          <cell r="CV195">
            <v>67</v>
          </cell>
          <cell r="CW195">
            <v>-33</v>
          </cell>
          <cell r="CX195">
            <v>-0.3333</v>
          </cell>
          <cell r="CY195">
            <v>2</v>
          </cell>
          <cell r="CZ195">
            <v>3</v>
          </cell>
          <cell r="DA195">
            <v>-0.3333</v>
          </cell>
          <cell r="DB195">
            <v>1</v>
          </cell>
          <cell r="DC195">
            <v>1</v>
          </cell>
          <cell r="DD195">
            <v>2</v>
          </cell>
          <cell r="DE195">
            <v>1.25</v>
          </cell>
          <cell r="DF195">
            <v>67</v>
          </cell>
          <cell r="DG195">
            <v>-33</v>
          </cell>
          <cell r="DH195">
            <v>-0.3333</v>
          </cell>
          <cell r="DI195">
            <v>0</v>
          </cell>
          <cell r="DJ195">
            <v>0</v>
          </cell>
          <cell r="DK195" t="str">
            <v>持平</v>
          </cell>
          <cell r="DL195">
            <v>0</v>
          </cell>
          <cell r="DM195" t="str">
            <v>持平</v>
          </cell>
          <cell r="DN195">
            <v>0</v>
          </cell>
          <cell r="DO195">
            <v>0</v>
          </cell>
          <cell r="DP195" t="str">
            <v>持平</v>
          </cell>
          <cell r="DQ195">
            <v>0</v>
          </cell>
          <cell r="DR195" t="str">
            <v>持平</v>
          </cell>
          <cell r="DS195">
            <v>0</v>
          </cell>
          <cell r="DT195">
            <v>0</v>
          </cell>
          <cell r="DU195" t="str">
            <v>持平</v>
          </cell>
          <cell r="DV195">
            <v>0</v>
          </cell>
          <cell r="DW195" t="str">
            <v>持平</v>
          </cell>
          <cell r="DX195">
            <v>1</v>
          </cell>
          <cell r="DY195">
            <v>6</v>
          </cell>
          <cell r="DZ195">
            <v>-0.8333</v>
          </cell>
          <cell r="EA195">
            <v>1</v>
          </cell>
          <cell r="EB195">
            <v>0</v>
          </cell>
          <cell r="EC195">
            <v>1</v>
          </cell>
          <cell r="ED195">
            <v>6</v>
          </cell>
          <cell r="EE195">
            <v>-0.8333</v>
          </cell>
          <cell r="EF195">
            <v>1</v>
          </cell>
          <cell r="EG195">
            <v>0</v>
          </cell>
          <cell r="EH195">
            <v>0.5</v>
          </cell>
          <cell r="EI195">
            <v>-1.5</v>
          </cell>
          <cell r="EJ195">
            <v>33</v>
          </cell>
          <cell r="EK195">
            <v>-167</v>
          </cell>
          <cell r="EL195">
            <v>-0.8333</v>
          </cell>
          <cell r="EM195">
            <v>1</v>
          </cell>
          <cell r="EN195">
            <v>6</v>
          </cell>
          <cell r="EO195">
            <v>-0.8333</v>
          </cell>
          <cell r="EP195">
            <v>1</v>
          </cell>
          <cell r="EQ195">
            <v>0</v>
          </cell>
          <cell r="ER195">
            <v>0</v>
          </cell>
          <cell r="ES195">
            <v>0</v>
          </cell>
          <cell r="ET195" t="str">
            <v>持平</v>
          </cell>
          <cell r="EU195">
            <v>3</v>
          </cell>
          <cell r="EV195" t="str">
            <v>少3人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 t="str">
            <v/>
          </cell>
        </row>
        <row r="196">
          <cell r="A196" t="str">
            <v>性侵</v>
          </cell>
          <cell r="B196" t="str">
            <v>云安区</v>
          </cell>
        </row>
        <row r="196">
          <cell r="AM196">
            <v>2</v>
          </cell>
          <cell r="AN196">
            <v>0</v>
          </cell>
          <cell r="AO196" t="str">
            <v>多2起</v>
          </cell>
          <cell r="AP196">
            <v>0</v>
          </cell>
          <cell r="AQ196" t="str">
            <v>多2起</v>
          </cell>
          <cell r="AR196">
            <v>1</v>
          </cell>
          <cell r="AS196" t="str">
            <v/>
          </cell>
          <cell r="AT196">
            <v>2</v>
          </cell>
          <cell r="AU196">
            <v>0</v>
          </cell>
          <cell r="AV196" t="str">
            <v>多2起</v>
          </cell>
          <cell r="AW196">
            <v>0</v>
          </cell>
          <cell r="AX196" t="str">
            <v>多2起</v>
          </cell>
          <cell r="AY196">
            <v>2</v>
          </cell>
          <cell r="AZ196">
            <v>0</v>
          </cell>
          <cell r="BA196" t="str">
            <v>多2起</v>
          </cell>
          <cell r="BB196">
            <v>0</v>
          </cell>
          <cell r="BC196" t="str">
            <v>多2起</v>
          </cell>
          <cell r="BD196">
            <v>1</v>
          </cell>
          <cell r="BE196" t="str">
            <v/>
          </cell>
          <cell r="BF196">
            <v>0</v>
          </cell>
          <cell r="BG196">
            <v>0</v>
          </cell>
          <cell r="BH196" t="str">
            <v>持平</v>
          </cell>
          <cell r="BI196">
            <v>0</v>
          </cell>
          <cell r="BJ196" t="str">
            <v>持平</v>
          </cell>
          <cell r="BK196">
            <v>0</v>
          </cell>
          <cell r="BL196">
            <v>0</v>
          </cell>
          <cell r="BM196">
            <v>0</v>
          </cell>
          <cell r="BN196" t="str">
            <v>持平</v>
          </cell>
          <cell r="BO196">
            <v>0</v>
          </cell>
          <cell r="BP196" t="str">
            <v>持平</v>
          </cell>
          <cell r="BQ196">
            <v>0</v>
          </cell>
          <cell r="BR196">
            <v>0</v>
          </cell>
          <cell r="BS196" t="str">
            <v>持平</v>
          </cell>
          <cell r="BT196">
            <v>0</v>
          </cell>
          <cell r="BU196" t="str">
            <v>持平</v>
          </cell>
          <cell r="BV196">
            <v>0</v>
          </cell>
          <cell r="BW196" t="str">
            <v/>
          </cell>
          <cell r="BX196">
            <v>0</v>
          </cell>
          <cell r="BY196" t="str">
            <v/>
          </cell>
          <cell r="BZ196">
            <v>0</v>
          </cell>
          <cell r="CA196">
            <v>0</v>
          </cell>
          <cell r="CB196" t="str">
            <v>持平</v>
          </cell>
          <cell r="CC196">
            <v>0</v>
          </cell>
          <cell r="CD196" t="str">
            <v>持平</v>
          </cell>
          <cell r="CE196" t="str">
            <v/>
          </cell>
          <cell r="CF196" t="str">
            <v/>
          </cell>
          <cell r="CG196">
            <v>2</v>
          </cell>
          <cell r="CH196">
            <v>0</v>
          </cell>
          <cell r="CI196" t="str">
            <v>多2人</v>
          </cell>
          <cell r="CJ196">
            <v>0</v>
          </cell>
          <cell r="CK196" t="str">
            <v>多2人</v>
          </cell>
          <cell r="CL196">
            <v>100</v>
          </cell>
          <cell r="CM196" t="str">
            <v/>
          </cell>
          <cell r="CN196" t="str">
            <v/>
          </cell>
          <cell r="CO196">
            <v>2</v>
          </cell>
          <cell r="CP196">
            <v>0</v>
          </cell>
          <cell r="CQ196" t="str">
            <v>多2人</v>
          </cell>
          <cell r="CR196">
            <v>0</v>
          </cell>
          <cell r="CS196" t="str">
            <v>多2人</v>
          </cell>
          <cell r="CT196">
            <v>1</v>
          </cell>
          <cell r="CU196" t="str">
            <v/>
          </cell>
          <cell r="CV196">
            <v>100</v>
          </cell>
          <cell r="CW196" t="str">
            <v/>
          </cell>
          <cell r="CX196" t="str">
            <v/>
          </cell>
          <cell r="CY196">
            <v>2</v>
          </cell>
          <cell r="CZ196">
            <v>0</v>
          </cell>
          <cell r="DA196" t="str">
            <v>多2人</v>
          </cell>
          <cell r="DB196">
            <v>0</v>
          </cell>
          <cell r="DC196" t="str">
            <v>多2人</v>
          </cell>
          <cell r="DD196">
            <v>1</v>
          </cell>
          <cell r="DE196" t="str">
            <v/>
          </cell>
          <cell r="DF196">
            <v>100</v>
          </cell>
          <cell r="DG196" t="str">
            <v/>
          </cell>
          <cell r="DH196" t="str">
            <v/>
          </cell>
          <cell r="DI196">
            <v>0</v>
          </cell>
          <cell r="DJ196">
            <v>0</v>
          </cell>
          <cell r="DK196" t="str">
            <v>持平</v>
          </cell>
          <cell r="DL196">
            <v>0</v>
          </cell>
          <cell r="DM196" t="str">
            <v>持平</v>
          </cell>
          <cell r="DN196">
            <v>1</v>
          </cell>
          <cell r="DO196">
            <v>0</v>
          </cell>
          <cell r="DP196" t="str">
            <v>多1人</v>
          </cell>
          <cell r="DQ196">
            <v>0</v>
          </cell>
          <cell r="DR196" t="str">
            <v>多1人</v>
          </cell>
          <cell r="DS196">
            <v>1</v>
          </cell>
          <cell r="DT196">
            <v>0</v>
          </cell>
          <cell r="DU196" t="str">
            <v>多1人</v>
          </cell>
          <cell r="DV196">
            <v>0</v>
          </cell>
          <cell r="DW196" t="str">
            <v>多1人</v>
          </cell>
          <cell r="DX196">
            <v>2</v>
          </cell>
          <cell r="DY196">
            <v>0</v>
          </cell>
          <cell r="DZ196" t="str">
            <v>多2人</v>
          </cell>
          <cell r="EA196">
            <v>0</v>
          </cell>
          <cell r="EB196" t="str">
            <v>多2人</v>
          </cell>
          <cell r="EC196">
            <v>1</v>
          </cell>
          <cell r="ED196">
            <v>0</v>
          </cell>
          <cell r="EE196" t="str">
            <v>多1人</v>
          </cell>
          <cell r="EF196">
            <v>0</v>
          </cell>
          <cell r="EG196" t="str">
            <v>多1人</v>
          </cell>
          <cell r="EH196">
            <v>0.5</v>
          </cell>
          <cell r="EI196" t="str">
            <v/>
          </cell>
          <cell r="EJ196">
            <v>50</v>
          </cell>
          <cell r="EK196" t="str">
            <v/>
          </cell>
          <cell r="EL196" t="str">
            <v/>
          </cell>
          <cell r="EM196">
            <v>1</v>
          </cell>
          <cell r="EN196">
            <v>0</v>
          </cell>
          <cell r="EO196" t="str">
            <v>多1人</v>
          </cell>
          <cell r="EP196">
            <v>0</v>
          </cell>
          <cell r="EQ196" t="str">
            <v>多1人</v>
          </cell>
          <cell r="ER196">
            <v>0</v>
          </cell>
          <cell r="ES196">
            <v>0</v>
          </cell>
          <cell r="ET196" t="str">
            <v>持平</v>
          </cell>
          <cell r="EU196">
            <v>0</v>
          </cell>
          <cell r="EV196" t="str">
            <v>持平</v>
          </cell>
          <cell r="EW196">
            <v>0</v>
          </cell>
          <cell r="EX196" t="str">
            <v/>
          </cell>
          <cell r="EY196">
            <v>0</v>
          </cell>
          <cell r="EZ196" t="str">
            <v/>
          </cell>
          <cell r="FA196" t="str">
            <v/>
          </cell>
        </row>
        <row r="197">
          <cell r="A197" t="str">
            <v>性侵</v>
          </cell>
          <cell r="B197" t="str">
            <v>新兴县</v>
          </cell>
        </row>
        <row r="197">
          <cell r="AM197">
            <v>1</v>
          </cell>
          <cell r="AN197">
            <v>2</v>
          </cell>
          <cell r="AO197">
            <v>-0.5</v>
          </cell>
          <cell r="AP197">
            <v>3</v>
          </cell>
          <cell r="AQ197">
            <v>-0.6667</v>
          </cell>
          <cell r="AR197">
            <v>0.3333</v>
          </cell>
          <cell r="AS197">
            <v>-0.3333</v>
          </cell>
          <cell r="AT197">
            <v>1</v>
          </cell>
          <cell r="AU197">
            <v>1</v>
          </cell>
          <cell r="AV197">
            <v>0</v>
          </cell>
          <cell r="AW197">
            <v>1</v>
          </cell>
          <cell r="AX197">
            <v>0</v>
          </cell>
          <cell r="AY197">
            <v>1</v>
          </cell>
          <cell r="AZ197">
            <v>1</v>
          </cell>
          <cell r="BA197">
            <v>0</v>
          </cell>
          <cell r="BB197">
            <v>2</v>
          </cell>
          <cell r="BC197">
            <v>-0.5</v>
          </cell>
          <cell r="BD197">
            <v>1</v>
          </cell>
          <cell r="BE197">
            <v>0</v>
          </cell>
          <cell r="BF197">
            <v>2</v>
          </cell>
          <cell r="BG197">
            <v>2</v>
          </cell>
          <cell r="BH197">
            <v>0</v>
          </cell>
          <cell r="BI197">
            <v>0</v>
          </cell>
          <cell r="BJ197" t="str">
            <v>多2起</v>
          </cell>
          <cell r="BK197">
            <v>0.6667</v>
          </cell>
          <cell r="BL197">
            <v>0</v>
          </cell>
          <cell r="BM197">
            <v>1</v>
          </cell>
          <cell r="BN197" t="str">
            <v>少1起</v>
          </cell>
          <cell r="BO197">
            <v>1</v>
          </cell>
          <cell r="BP197" t="str">
            <v>少1起</v>
          </cell>
          <cell r="BQ197">
            <v>0</v>
          </cell>
          <cell r="BR197">
            <v>0</v>
          </cell>
          <cell r="BS197" t="str">
            <v>持平</v>
          </cell>
          <cell r="BT197">
            <v>2</v>
          </cell>
          <cell r="BU197" t="str">
            <v>少2起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 t="str">
            <v>持平</v>
          </cell>
          <cell r="CC197">
            <v>0</v>
          </cell>
          <cell r="CD197" t="str">
            <v>持平</v>
          </cell>
          <cell r="CE197" t="str">
            <v/>
          </cell>
          <cell r="CF197" t="str">
            <v/>
          </cell>
          <cell r="CG197">
            <v>2</v>
          </cell>
          <cell r="CH197">
            <v>2</v>
          </cell>
          <cell r="CI197">
            <v>0</v>
          </cell>
          <cell r="CJ197">
            <v>2</v>
          </cell>
          <cell r="CK197">
            <v>0</v>
          </cell>
          <cell r="CL197">
            <v>67</v>
          </cell>
          <cell r="CM197">
            <v>0</v>
          </cell>
          <cell r="CN197">
            <v>0</v>
          </cell>
          <cell r="CO197">
            <v>0</v>
          </cell>
          <cell r="CP197">
            <v>2</v>
          </cell>
          <cell r="CQ197" t="str">
            <v>少2人</v>
          </cell>
          <cell r="CR197">
            <v>0</v>
          </cell>
          <cell r="CS197" t="str">
            <v>持平</v>
          </cell>
          <cell r="CT197">
            <v>0</v>
          </cell>
          <cell r="CU197">
            <v>-1</v>
          </cell>
          <cell r="CV197">
            <v>0</v>
          </cell>
          <cell r="CW197">
            <v>-67</v>
          </cell>
          <cell r="CX197">
            <v>-1</v>
          </cell>
          <cell r="CY197">
            <v>1</v>
          </cell>
          <cell r="CZ197">
            <v>2</v>
          </cell>
          <cell r="DA197">
            <v>-0.5</v>
          </cell>
          <cell r="DB197">
            <v>0</v>
          </cell>
          <cell r="DC197" t="str">
            <v>多1人</v>
          </cell>
          <cell r="DD197">
            <v>0.5</v>
          </cell>
          <cell r="DE197">
            <v>-0.5</v>
          </cell>
          <cell r="DF197">
            <v>33</v>
          </cell>
          <cell r="DG197">
            <v>-33</v>
          </cell>
          <cell r="DH197">
            <v>-0.5</v>
          </cell>
          <cell r="DI197">
            <v>1</v>
          </cell>
          <cell r="DJ197">
            <v>2</v>
          </cell>
          <cell r="DK197">
            <v>-0.5</v>
          </cell>
          <cell r="DL197">
            <v>0</v>
          </cell>
          <cell r="DM197" t="str">
            <v>多1人</v>
          </cell>
          <cell r="DN197">
            <v>0</v>
          </cell>
          <cell r="DO197">
            <v>0</v>
          </cell>
          <cell r="DP197" t="str">
            <v>持平</v>
          </cell>
          <cell r="DQ197">
            <v>0</v>
          </cell>
          <cell r="DR197" t="str">
            <v>持平</v>
          </cell>
          <cell r="DS197">
            <v>0</v>
          </cell>
          <cell r="DT197">
            <v>0</v>
          </cell>
          <cell r="DU197" t="str">
            <v>持平</v>
          </cell>
          <cell r="DV197">
            <v>0</v>
          </cell>
          <cell r="DW197" t="str">
            <v>持平</v>
          </cell>
          <cell r="DX197">
            <v>1</v>
          </cell>
          <cell r="DY197">
            <v>2</v>
          </cell>
          <cell r="DZ197">
            <v>-0.5</v>
          </cell>
          <cell r="EA197">
            <v>1</v>
          </cell>
          <cell r="EB197">
            <v>0</v>
          </cell>
          <cell r="EC197">
            <v>0</v>
          </cell>
          <cell r="ED197">
            <v>2</v>
          </cell>
          <cell r="EE197" t="str">
            <v>少2人</v>
          </cell>
          <cell r="EF197">
            <v>2</v>
          </cell>
          <cell r="EG197" t="str">
            <v>少2人</v>
          </cell>
          <cell r="EH197" t="str">
            <v/>
          </cell>
          <cell r="EI197" t="str">
            <v/>
          </cell>
          <cell r="EJ197">
            <v>0</v>
          </cell>
          <cell r="EK197">
            <v>-67</v>
          </cell>
          <cell r="EL197">
            <v>-1</v>
          </cell>
          <cell r="EM197">
            <v>0</v>
          </cell>
          <cell r="EN197">
            <v>2</v>
          </cell>
          <cell r="EO197" t="str">
            <v>少2人</v>
          </cell>
          <cell r="EP197">
            <v>2</v>
          </cell>
          <cell r="EQ197" t="str">
            <v>少2人</v>
          </cell>
          <cell r="ER197">
            <v>0</v>
          </cell>
          <cell r="ES197">
            <v>0</v>
          </cell>
          <cell r="ET197" t="str">
            <v>持平</v>
          </cell>
          <cell r="EU197">
            <v>2</v>
          </cell>
          <cell r="EV197" t="str">
            <v>少2人</v>
          </cell>
          <cell r="EW197" t="str">
            <v/>
          </cell>
          <cell r="EX197" t="str">
            <v/>
          </cell>
          <cell r="EY197">
            <v>0</v>
          </cell>
          <cell r="EZ197">
            <v>0</v>
          </cell>
          <cell r="FA197" t="str">
            <v/>
          </cell>
        </row>
        <row r="198">
          <cell r="A198" t="str">
            <v>性侵</v>
          </cell>
          <cell r="B198" t="str">
            <v>郁南县</v>
          </cell>
        </row>
        <row r="198">
          <cell r="AM198">
            <v>2</v>
          </cell>
          <cell r="AN198">
            <v>0</v>
          </cell>
          <cell r="AO198" t="str">
            <v>多2起</v>
          </cell>
          <cell r="AP198">
            <v>2</v>
          </cell>
          <cell r="AQ198">
            <v>0</v>
          </cell>
          <cell r="AR198">
            <v>1</v>
          </cell>
          <cell r="AS198" t="str">
            <v/>
          </cell>
          <cell r="AT198">
            <v>1</v>
          </cell>
          <cell r="AU198">
            <v>0</v>
          </cell>
          <cell r="AV198" t="str">
            <v>多1起</v>
          </cell>
          <cell r="AW198">
            <v>2</v>
          </cell>
          <cell r="AX198">
            <v>-0.5</v>
          </cell>
          <cell r="AY198">
            <v>1</v>
          </cell>
          <cell r="AZ198">
            <v>0</v>
          </cell>
          <cell r="BA198" t="str">
            <v>多1起</v>
          </cell>
          <cell r="BB198">
            <v>2</v>
          </cell>
          <cell r="BC198">
            <v>-0.5</v>
          </cell>
          <cell r="BD198">
            <v>1</v>
          </cell>
          <cell r="BE198" t="str">
            <v/>
          </cell>
          <cell r="BF198">
            <v>1</v>
          </cell>
          <cell r="BG198">
            <v>0</v>
          </cell>
          <cell r="BH198" t="str">
            <v>多1起</v>
          </cell>
          <cell r="BI198">
            <v>0</v>
          </cell>
          <cell r="BJ198" t="str">
            <v>多1起</v>
          </cell>
          <cell r="BK198">
            <v>0.5</v>
          </cell>
          <cell r="BL198">
            <v>1</v>
          </cell>
          <cell r="BM198">
            <v>0</v>
          </cell>
          <cell r="BN198" t="str">
            <v>多1起</v>
          </cell>
          <cell r="BO198">
            <v>0</v>
          </cell>
          <cell r="BP198" t="str">
            <v>多1起</v>
          </cell>
          <cell r="BQ198">
            <v>0</v>
          </cell>
          <cell r="BR198">
            <v>0</v>
          </cell>
          <cell r="BS198" t="str">
            <v>持平</v>
          </cell>
          <cell r="BT198">
            <v>1</v>
          </cell>
          <cell r="BU198" t="str">
            <v>少1起</v>
          </cell>
          <cell r="BV198">
            <v>0</v>
          </cell>
          <cell r="BW198" t="str">
            <v/>
          </cell>
          <cell r="BX198">
            <v>0</v>
          </cell>
          <cell r="BY198" t="str">
            <v/>
          </cell>
          <cell r="BZ198">
            <v>0</v>
          </cell>
          <cell r="CA198">
            <v>0</v>
          </cell>
          <cell r="CB198" t="str">
            <v>持平</v>
          </cell>
          <cell r="CC198">
            <v>0</v>
          </cell>
          <cell r="CD198" t="str">
            <v>持平</v>
          </cell>
          <cell r="CE198" t="str">
            <v/>
          </cell>
          <cell r="CF198" t="str">
            <v/>
          </cell>
          <cell r="CG198">
            <v>4</v>
          </cell>
          <cell r="CH198">
            <v>0</v>
          </cell>
          <cell r="CI198" t="str">
            <v>多4人</v>
          </cell>
          <cell r="CJ198">
            <v>2</v>
          </cell>
          <cell r="CK198">
            <v>1</v>
          </cell>
          <cell r="CL198">
            <v>200</v>
          </cell>
          <cell r="CM198" t="str">
            <v/>
          </cell>
          <cell r="CN198" t="str">
            <v/>
          </cell>
          <cell r="CO198">
            <v>3</v>
          </cell>
          <cell r="CP198">
            <v>0</v>
          </cell>
          <cell r="CQ198" t="str">
            <v>多3人</v>
          </cell>
          <cell r="CR198">
            <v>2</v>
          </cell>
          <cell r="CS198">
            <v>0.5</v>
          </cell>
          <cell r="CT198">
            <v>0.75</v>
          </cell>
          <cell r="CU198" t="str">
            <v/>
          </cell>
          <cell r="CV198">
            <v>150</v>
          </cell>
          <cell r="CW198" t="str">
            <v/>
          </cell>
          <cell r="CX198" t="str">
            <v/>
          </cell>
          <cell r="CY198">
            <v>3</v>
          </cell>
          <cell r="CZ198">
            <v>0</v>
          </cell>
          <cell r="DA198" t="str">
            <v>多3人</v>
          </cell>
          <cell r="DB198">
            <v>2</v>
          </cell>
          <cell r="DC198">
            <v>0.5</v>
          </cell>
          <cell r="DD198">
            <v>0.75</v>
          </cell>
          <cell r="DE198" t="str">
            <v/>
          </cell>
          <cell r="DF198">
            <v>150</v>
          </cell>
          <cell r="DG198" t="str">
            <v/>
          </cell>
          <cell r="DH198" t="str">
            <v/>
          </cell>
          <cell r="DI198">
            <v>5</v>
          </cell>
          <cell r="DJ198">
            <v>0</v>
          </cell>
          <cell r="DK198" t="str">
            <v>多5人</v>
          </cell>
          <cell r="DL198">
            <v>2</v>
          </cell>
          <cell r="DM198">
            <v>1.5</v>
          </cell>
          <cell r="DN198">
            <v>0</v>
          </cell>
          <cell r="DO198">
            <v>0</v>
          </cell>
          <cell r="DP198" t="str">
            <v>持平</v>
          </cell>
          <cell r="DQ198">
            <v>0</v>
          </cell>
          <cell r="DR198" t="str">
            <v>持平</v>
          </cell>
          <cell r="DS198">
            <v>0</v>
          </cell>
          <cell r="DT198">
            <v>0</v>
          </cell>
          <cell r="DU198" t="str">
            <v>持平</v>
          </cell>
          <cell r="DV198">
            <v>0</v>
          </cell>
          <cell r="DW198" t="str">
            <v>持平</v>
          </cell>
          <cell r="DX198">
            <v>3</v>
          </cell>
          <cell r="DY198">
            <v>0</v>
          </cell>
          <cell r="DZ198" t="str">
            <v>多3人</v>
          </cell>
          <cell r="EA198">
            <v>3</v>
          </cell>
          <cell r="EB198">
            <v>0</v>
          </cell>
          <cell r="EC198">
            <v>1</v>
          </cell>
          <cell r="ED198">
            <v>0</v>
          </cell>
          <cell r="EE198" t="str">
            <v>多1人</v>
          </cell>
          <cell r="EF198">
            <v>3</v>
          </cell>
          <cell r="EG198">
            <v>-0.6667</v>
          </cell>
          <cell r="EH198">
            <v>0.3333</v>
          </cell>
          <cell r="EI198" t="str">
            <v/>
          </cell>
          <cell r="EJ198">
            <v>50</v>
          </cell>
          <cell r="EK198" t="str">
            <v/>
          </cell>
          <cell r="EL198" t="str">
            <v/>
          </cell>
          <cell r="EM198">
            <v>1</v>
          </cell>
          <cell r="EN198">
            <v>0</v>
          </cell>
          <cell r="EO198" t="str">
            <v>多1人</v>
          </cell>
          <cell r="EP198">
            <v>3</v>
          </cell>
          <cell r="EQ198">
            <v>-0.6667</v>
          </cell>
          <cell r="ER198">
            <v>0</v>
          </cell>
          <cell r="ES198">
            <v>0</v>
          </cell>
          <cell r="ET198" t="str">
            <v>持平</v>
          </cell>
          <cell r="EU198">
            <v>1</v>
          </cell>
          <cell r="EV198" t="str">
            <v>少1人</v>
          </cell>
          <cell r="EW198">
            <v>0</v>
          </cell>
          <cell r="EX198" t="str">
            <v/>
          </cell>
          <cell r="EY198">
            <v>0</v>
          </cell>
          <cell r="EZ198" t="str">
            <v/>
          </cell>
          <cell r="FA198" t="str">
            <v/>
          </cell>
        </row>
        <row r="199">
          <cell r="A199" t="str">
            <v>性侵</v>
          </cell>
          <cell r="B199" t="str">
            <v>罗定市</v>
          </cell>
        </row>
        <row r="199">
          <cell r="AM199">
            <v>2</v>
          </cell>
          <cell r="AN199">
            <v>4</v>
          </cell>
          <cell r="AO199">
            <v>-0.5</v>
          </cell>
          <cell r="AP199">
            <v>3</v>
          </cell>
          <cell r="AQ199">
            <v>-0.3333</v>
          </cell>
          <cell r="AR199">
            <v>0.6667</v>
          </cell>
          <cell r="AS199">
            <v>-0.3333</v>
          </cell>
          <cell r="AT199">
            <v>2</v>
          </cell>
          <cell r="AU199">
            <v>3</v>
          </cell>
          <cell r="AV199">
            <v>-0.3333</v>
          </cell>
          <cell r="AW199">
            <v>2</v>
          </cell>
          <cell r="AX199">
            <v>0</v>
          </cell>
          <cell r="AY199">
            <v>1</v>
          </cell>
          <cell r="AZ199">
            <v>3</v>
          </cell>
          <cell r="BA199">
            <v>-0.6667</v>
          </cell>
          <cell r="BB199">
            <v>2</v>
          </cell>
          <cell r="BC199">
            <v>-0.5</v>
          </cell>
          <cell r="BD199">
            <v>0.5</v>
          </cell>
          <cell r="BE199">
            <v>-0.5</v>
          </cell>
          <cell r="BF199">
            <v>1</v>
          </cell>
          <cell r="BG199">
            <v>1</v>
          </cell>
          <cell r="BH199">
            <v>0</v>
          </cell>
          <cell r="BI199">
            <v>0</v>
          </cell>
          <cell r="BJ199" t="str">
            <v>多1起</v>
          </cell>
          <cell r="BK199">
            <v>0.3333</v>
          </cell>
          <cell r="BL199">
            <v>1</v>
          </cell>
          <cell r="BM199">
            <v>1</v>
          </cell>
          <cell r="BN199">
            <v>0</v>
          </cell>
          <cell r="BO199">
            <v>1</v>
          </cell>
          <cell r="BP199">
            <v>0</v>
          </cell>
          <cell r="BQ199">
            <v>0</v>
          </cell>
          <cell r="BR199">
            <v>0</v>
          </cell>
          <cell r="BS199" t="str">
            <v>持平</v>
          </cell>
          <cell r="BT199">
            <v>5</v>
          </cell>
          <cell r="BU199" t="str">
            <v>少5起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 t="str">
            <v>持平</v>
          </cell>
          <cell r="CC199">
            <v>0</v>
          </cell>
          <cell r="CD199" t="str">
            <v>持平</v>
          </cell>
          <cell r="CE199" t="str">
            <v/>
          </cell>
          <cell r="CF199" t="str">
            <v/>
          </cell>
          <cell r="CG199">
            <v>3</v>
          </cell>
          <cell r="CH199">
            <v>7</v>
          </cell>
          <cell r="CI199">
            <v>-0.5714</v>
          </cell>
          <cell r="CJ199">
            <v>1</v>
          </cell>
          <cell r="CK199">
            <v>2</v>
          </cell>
          <cell r="CL199">
            <v>100</v>
          </cell>
          <cell r="CM199">
            <v>-75</v>
          </cell>
          <cell r="CN199">
            <v>-0.4286</v>
          </cell>
          <cell r="CO199">
            <v>4</v>
          </cell>
          <cell r="CP199">
            <v>4</v>
          </cell>
          <cell r="CQ199">
            <v>0</v>
          </cell>
          <cell r="CR199">
            <v>1</v>
          </cell>
          <cell r="CS199">
            <v>3</v>
          </cell>
          <cell r="CT199">
            <v>1.3333</v>
          </cell>
          <cell r="CU199">
            <v>0.7619</v>
          </cell>
          <cell r="CV199">
            <v>133</v>
          </cell>
          <cell r="CW199">
            <v>33</v>
          </cell>
          <cell r="CX199">
            <v>0.3333</v>
          </cell>
          <cell r="CY199">
            <v>4</v>
          </cell>
          <cell r="CZ199">
            <v>4</v>
          </cell>
          <cell r="DA199">
            <v>0</v>
          </cell>
          <cell r="DB199">
            <v>1</v>
          </cell>
          <cell r="DC199">
            <v>3</v>
          </cell>
          <cell r="DD199">
            <v>1.3333</v>
          </cell>
          <cell r="DE199">
            <v>0.7619</v>
          </cell>
          <cell r="DF199">
            <v>133</v>
          </cell>
          <cell r="DG199">
            <v>33</v>
          </cell>
          <cell r="DH199">
            <v>0.3333</v>
          </cell>
          <cell r="DI199">
            <v>4</v>
          </cell>
          <cell r="DJ199">
            <v>0</v>
          </cell>
          <cell r="DK199" t="str">
            <v>多4人</v>
          </cell>
          <cell r="DL199">
            <v>1</v>
          </cell>
          <cell r="DM199">
            <v>3</v>
          </cell>
          <cell r="DN199">
            <v>0</v>
          </cell>
          <cell r="DO199">
            <v>0</v>
          </cell>
          <cell r="DP199" t="str">
            <v>持平</v>
          </cell>
          <cell r="DQ199">
            <v>0</v>
          </cell>
          <cell r="DR199" t="str">
            <v>持平</v>
          </cell>
          <cell r="DS199">
            <v>0</v>
          </cell>
          <cell r="DT199">
            <v>0</v>
          </cell>
          <cell r="DU199" t="str">
            <v>持平</v>
          </cell>
          <cell r="DV199">
            <v>0</v>
          </cell>
          <cell r="DW199" t="str">
            <v>持平</v>
          </cell>
          <cell r="DX199">
            <v>3</v>
          </cell>
          <cell r="DY199">
            <v>2</v>
          </cell>
          <cell r="DZ199">
            <v>0.5</v>
          </cell>
          <cell r="EA199">
            <v>2</v>
          </cell>
          <cell r="EB199">
            <v>0.5</v>
          </cell>
          <cell r="EC199">
            <v>1</v>
          </cell>
          <cell r="ED199">
            <v>0</v>
          </cell>
          <cell r="EE199" t="str">
            <v>多1人</v>
          </cell>
          <cell r="EF199">
            <v>1</v>
          </cell>
          <cell r="EG199">
            <v>0</v>
          </cell>
          <cell r="EH199">
            <v>0.25</v>
          </cell>
          <cell r="EI199">
            <v>0.25</v>
          </cell>
          <cell r="EJ199">
            <v>33</v>
          </cell>
          <cell r="EK199">
            <v>33</v>
          </cell>
          <cell r="EL199" t="str">
            <v/>
          </cell>
          <cell r="EM199">
            <v>1</v>
          </cell>
          <cell r="EN199">
            <v>0</v>
          </cell>
          <cell r="EO199" t="str">
            <v>多1人</v>
          </cell>
          <cell r="EP199">
            <v>1</v>
          </cell>
          <cell r="EQ199">
            <v>0</v>
          </cell>
          <cell r="ER199">
            <v>0</v>
          </cell>
          <cell r="ES199">
            <v>0</v>
          </cell>
          <cell r="ET199" t="str">
            <v>持平</v>
          </cell>
          <cell r="EU199">
            <v>5</v>
          </cell>
          <cell r="EV199" t="str">
            <v>少5人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 t="str">
            <v/>
          </cell>
        </row>
        <row r="200">
          <cell r="A200" t="str">
            <v>强奸</v>
          </cell>
          <cell r="B200" t="str">
            <v>全省</v>
          </cell>
        </row>
        <row r="200">
          <cell r="AM200">
            <v>473</v>
          </cell>
          <cell r="AN200">
            <v>318</v>
          </cell>
          <cell r="AO200">
            <v>0.4874</v>
          </cell>
          <cell r="AP200">
            <v>568</v>
          </cell>
          <cell r="AQ200">
            <v>-0.1673</v>
          </cell>
          <cell r="AR200">
            <v>0.9293</v>
          </cell>
          <cell r="AS200">
            <v>0.0075</v>
          </cell>
          <cell r="AT200">
            <v>352</v>
          </cell>
          <cell r="AU200">
            <v>245</v>
          </cell>
          <cell r="AV200">
            <v>0.4367</v>
          </cell>
          <cell r="AW200">
            <v>464</v>
          </cell>
          <cell r="AX200">
            <v>-0.2414</v>
          </cell>
          <cell r="AY200">
            <v>328</v>
          </cell>
          <cell r="AZ200">
            <v>218</v>
          </cell>
          <cell r="BA200">
            <v>0.5046</v>
          </cell>
          <cell r="BB200">
            <v>506</v>
          </cell>
          <cell r="BC200">
            <v>-0.3518</v>
          </cell>
          <cell r="BD200">
            <v>0.9318</v>
          </cell>
          <cell r="BE200">
            <v>0.042</v>
          </cell>
          <cell r="BF200">
            <v>157</v>
          </cell>
          <cell r="BG200">
            <v>100</v>
          </cell>
          <cell r="BH200">
            <v>0.57</v>
          </cell>
          <cell r="BI200">
            <v>32</v>
          </cell>
          <cell r="BJ200">
            <v>3.9063</v>
          </cell>
          <cell r="BK200">
            <v>0.3084</v>
          </cell>
          <cell r="BL200">
            <v>145</v>
          </cell>
          <cell r="BM200">
            <v>100</v>
          </cell>
          <cell r="BN200">
            <v>0.45</v>
          </cell>
          <cell r="BO200">
            <v>62</v>
          </cell>
          <cell r="BP200">
            <v>1.3387</v>
          </cell>
          <cell r="BQ200">
            <v>246</v>
          </cell>
          <cell r="BR200">
            <v>210</v>
          </cell>
          <cell r="BS200">
            <v>0.1714</v>
          </cell>
          <cell r="BT200">
            <v>472</v>
          </cell>
          <cell r="BU200">
            <v>-0.4788</v>
          </cell>
          <cell r="BV200">
            <v>0.4833</v>
          </cell>
          <cell r="BW200">
            <v>-0.1254</v>
          </cell>
          <cell r="BX200">
            <v>0.6989</v>
          </cell>
          <cell r="BY200">
            <v>-0.1583</v>
          </cell>
          <cell r="BZ200">
            <v>1</v>
          </cell>
          <cell r="CA200">
            <v>0</v>
          </cell>
          <cell r="CB200" t="str">
            <v>多1起</v>
          </cell>
          <cell r="CC200">
            <v>11</v>
          </cell>
          <cell r="CD200">
            <v>-0.9091</v>
          </cell>
          <cell r="CE200" t="str">
            <v/>
          </cell>
          <cell r="CF200" t="str">
            <v/>
          </cell>
          <cell r="CG200">
            <v>616</v>
          </cell>
          <cell r="CH200">
            <v>412</v>
          </cell>
          <cell r="CI200">
            <v>0.4951</v>
          </cell>
          <cell r="CJ200">
            <v>622</v>
          </cell>
          <cell r="CK200">
            <v>-0.0096</v>
          </cell>
          <cell r="CL200">
            <v>121</v>
          </cell>
          <cell r="CM200">
            <v>2</v>
          </cell>
          <cell r="CN200">
            <v>0.0134</v>
          </cell>
          <cell r="CO200">
            <v>420</v>
          </cell>
          <cell r="CP200">
            <v>246</v>
          </cell>
          <cell r="CQ200">
            <v>0.7073</v>
          </cell>
          <cell r="CR200">
            <v>474</v>
          </cell>
          <cell r="CS200">
            <v>-0.1139</v>
          </cell>
          <cell r="CT200">
            <v>0.6818</v>
          </cell>
          <cell r="CU200">
            <v>0.0847</v>
          </cell>
          <cell r="CV200">
            <v>83</v>
          </cell>
          <cell r="CW200">
            <v>11</v>
          </cell>
          <cell r="CX200">
            <v>0.1572</v>
          </cell>
          <cell r="CY200">
            <v>524</v>
          </cell>
          <cell r="CZ200">
            <v>341</v>
          </cell>
          <cell r="DA200">
            <v>0.5367</v>
          </cell>
          <cell r="DB200">
            <v>571</v>
          </cell>
          <cell r="DC200">
            <v>-0.0823</v>
          </cell>
          <cell r="DD200">
            <v>0.8506</v>
          </cell>
          <cell r="DE200">
            <v>0.023</v>
          </cell>
          <cell r="DF200">
            <v>103</v>
          </cell>
          <cell r="DG200">
            <v>4</v>
          </cell>
          <cell r="DH200">
            <v>0.0415</v>
          </cell>
          <cell r="DI200">
            <v>517</v>
          </cell>
          <cell r="DJ200">
            <v>355</v>
          </cell>
          <cell r="DK200">
            <v>0.4563</v>
          </cell>
          <cell r="DL200">
            <v>582</v>
          </cell>
          <cell r="DM200">
            <v>-0.1117</v>
          </cell>
          <cell r="DN200">
            <v>248</v>
          </cell>
          <cell r="DO200">
            <v>181</v>
          </cell>
          <cell r="DP200">
            <v>0.3702</v>
          </cell>
          <cell r="DQ200">
            <v>314</v>
          </cell>
          <cell r="DR200">
            <v>-0.2102</v>
          </cell>
          <cell r="DS200">
            <v>248</v>
          </cell>
          <cell r="DT200">
            <v>181</v>
          </cell>
          <cell r="DU200">
            <v>0.3702</v>
          </cell>
          <cell r="DV200">
            <v>314</v>
          </cell>
          <cell r="DW200">
            <v>-0.2102</v>
          </cell>
          <cell r="DX200">
            <v>475</v>
          </cell>
          <cell r="DY200">
            <v>373</v>
          </cell>
          <cell r="DZ200">
            <v>0.2735</v>
          </cell>
          <cell r="EA200">
            <v>525</v>
          </cell>
          <cell r="EB200">
            <v>-0.0952</v>
          </cell>
          <cell r="EC200">
            <v>270</v>
          </cell>
          <cell r="ED200">
            <v>245</v>
          </cell>
          <cell r="EE200">
            <v>0.102</v>
          </cell>
          <cell r="EF200">
            <v>332</v>
          </cell>
          <cell r="EG200">
            <v>-0.1867</v>
          </cell>
          <cell r="EH200">
            <v>0.6429</v>
          </cell>
          <cell r="EI200">
            <v>-0.3531</v>
          </cell>
          <cell r="EJ200">
            <v>53</v>
          </cell>
          <cell r="EK200">
            <v>-18</v>
          </cell>
          <cell r="EL200">
            <v>-0.253</v>
          </cell>
          <cell r="EM200">
            <v>277</v>
          </cell>
          <cell r="EN200">
            <v>248</v>
          </cell>
          <cell r="EO200">
            <v>0.1169</v>
          </cell>
          <cell r="EP200">
            <v>328</v>
          </cell>
          <cell r="EQ200">
            <v>-0.1555</v>
          </cell>
          <cell r="ER200">
            <v>290</v>
          </cell>
          <cell r="ES200">
            <v>246</v>
          </cell>
          <cell r="ET200">
            <v>0.1789</v>
          </cell>
          <cell r="EU200">
            <v>522</v>
          </cell>
          <cell r="EV200">
            <v>-0.4444</v>
          </cell>
          <cell r="EW200">
            <v>0.6905</v>
          </cell>
          <cell r="EX200">
            <v>-0.3095</v>
          </cell>
          <cell r="EY200">
            <v>57</v>
          </cell>
          <cell r="EZ200">
            <v>-14</v>
          </cell>
          <cell r="FA200">
            <v>-0.201</v>
          </cell>
        </row>
        <row r="201">
          <cell r="A201" t="str">
            <v>强奸</v>
          </cell>
          <cell r="B201" t="str">
            <v>云浮</v>
          </cell>
        </row>
        <row r="201">
          <cell r="AM201">
            <v>9</v>
          </cell>
          <cell r="AN201">
            <v>6</v>
          </cell>
          <cell r="AO201">
            <v>0.5</v>
          </cell>
          <cell r="AP201">
            <v>5</v>
          </cell>
          <cell r="AQ201">
            <v>0.8</v>
          </cell>
          <cell r="AR201">
            <v>0.75</v>
          </cell>
          <cell r="AS201">
            <v>-0.1071</v>
          </cell>
          <cell r="AT201">
            <v>7</v>
          </cell>
          <cell r="AU201">
            <v>4</v>
          </cell>
          <cell r="AV201">
            <v>0.75</v>
          </cell>
          <cell r="AW201">
            <v>3</v>
          </cell>
          <cell r="AX201">
            <v>1.3333</v>
          </cell>
          <cell r="AY201">
            <v>6</v>
          </cell>
          <cell r="AZ201">
            <v>4</v>
          </cell>
          <cell r="BA201">
            <v>0.5</v>
          </cell>
          <cell r="BB201">
            <v>4</v>
          </cell>
          <cell r="BC201">
            <v>0.5</v>
          </cell>
          <cell r="BD201">
            <v>0.8571</v>
          </cell>
          <cell r="BE201">
            <v>-0.1429</v>
          </cell>
          <cell r="BF201">
            <v>5</v>
          </cell>
          <cell r="BG201">
            <v>3</v>
          </cell>
          <cell r="BH201">
            <v>0.6667</v>
          </cell>
          <cell r="BI201">
            <v>0</v>
          </cell>
          <cell r="BJ201" t="str">
            <v>多5起</v>
          </cell>
          <cell r="BK201">
            <v>0.4167</v>
          </cell>
          <cell r="BL201">
            <v>3</v>
          </cell>
          <cell r="BM201">
            <v>2</v>
          </cell>
          <cell r="BN201">
            <v>0.5</v>
          </cell>
          <cell r="BO201">
            <v>1</v>
          </cell>
          <cell r="BP201">
            <v>2</v>
          </cell>
          <cell r="BQ201">
            <v>0</v>
          </cell>
          <cell r="BR201">
            <v>0</v>
          </cell>
          <cell r="BS201" t="str">
            <v>持平</v>
          </cell>
          <cell r="BT201">
            <v>6</v>
          </cell>
          <cell r="BU201" t="str">
            <v>少6起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 t="str">
            <v>持平</v>
          </cell>
          <cell r="CC201">
            <v>0</v>
          </cell>
          <cell r="CD201" t="str">
            <v>持平</v>
          </cell>
          <cell r="CE201" t="str">
            <v/>
          </cell>
          <cell r="CF201" t="str">
            <v/>
          </cell>
          <cell r="CG201">
            <v>12</v>
          </cell>
          <cell r="CH201">
            <v>9</v>
          </cell>
          <cell r="CI201">
            <v>0.3333</v>
          </cell>
          <cell r="CJ201">
            <v>4</v>
          </cell>
          <cell r="CK201">
            <v>2</v>
          </cell>
          <cell r="CL201">
            <v>100</v>
          </cell>
          <cell r="CM201">
            <v>-29</v>
          </cell>
          <cell r="CN201">
            <v>-0.2222</v>
          </cell>
          <cell r="CO201">
            <v>10</v>
          </cell>
          <cell r="CP201">
            <v>6</v>
          </cell>
          <cell r="CQ201">
            <v>0.6667</v>
          </cell>
          <cell r="CR201">
            <v>1</v>
          </cell>
          <cell r="CS201">
            <v>9</v>
          </cell>
          <cell r="CT201">
            <v>0.8333</v>
          </cell>
          <cell r="CU201">
            <v>0.1667</v>
          </cell>
          <cell r="CV201">
            <v>83</v>
          </cell>
          <cell r="CW201">
            <v>-2</v>
          </cell>
          <cell r="CX201">
            <v>-0.0278</v>
          </cell>
          <cell r="CY201">
            <v>11</v>
          </cell>
          <cell r="CZ201">
            <v>6</v>
          </cell>
          <cell r="DA201">
            <v>0.8333</v>
          </cell>
          <cell r="DB201">
            <v>1</v>
          </cell>
          <cell r="DC201">
            <v>10</v>
          </cell>
          <cell r="DD201">
            <v>0.9167</v>
          </cell>
          <cell r="DE201">
            <v>0.25</v>
          </cell>
          <cell r="DF201">
            <v>92</v>
          </cell>
          <cell r="DG201">
            <v>6</v>
          </cell>
          <cell r="DH201">
            <v>0.0694</v>
          </cell>
          <cell r="DI201">
            <v>14</v>
          </cell>
          <cell r="DJ201">
            <v>5</v>
          </cell>
          <cell r="DK201">
            <v>1.8</v>
          </cell>
          <cell r="DL201">
            <v>1</v>
          </cell>
          <cell r="DM201">
            <v>13</v>
          </cell>
          <cell r="DN201">
            <v>1</v>
          </cell>
          <cell r="DO201">
            <v>0</v>
          </cell>
          <cell r="DP201" t="str">
            <v>多1人</v>
          </cell>
          <cell r="DQ201">
            <v>0</v>
          </cell>
          <cell r="DR201" t="str">
            <v>多1人</v>
          </cell>
          <cell r="DS201">
            <v>1</v>
          </cell>
          <cell r="DT201">
            <v>0</v>
          </cell>
          <cell r="DU201" t="str">
            <v>多1人</v>
          </cell>
          <cell r="DV201">
            <v>0</v>
          </cell>
          <cell r="DW201" t="str">
            <v>多1人</v>
          </cell>
          <cell r="DX201">
            <v>8</v>
          </cell>
          <cell r="DY201">
            <v>7</v>
          </cell>
          <cell r="DZ201">
            <v>0.1429</v>
          </cell>
          <cell r="EA201">
            <v>4</v>
          </cell>
          <cell r="EB201">
            <v>1</v>
          </cell>
          <cell r="EC201">
            <v>2</v>
          </cell>
          <cell r="ED201">
            <v>7</v>
          </cell>
          <cell r="EE201">
            <v>-0.7143</v>
          </cell>
          <cell r="EF201">
            <v>3</v>
          </cell>
          <cell r="EG201">
            <v>-0.3333</v>
          </cell>
          <cell r="EH201">
            <v>0.2</v>
          </cell>
          <cell r="EI201">
            <v>-0.9667</v>
          </cell>
          <cell r="EJ201">
            <v>17</v>
          </cell>
          <cell r="EK201">
            <v>-83</v>
          </cell>
          <cell r="EL201">
            <v>-0.8333</v>
          </cell>
          <cell r="EM201">
            <v>2</v>
          </cell>
          <cell r="EN201">
            <v>7</v>
          </cell>
          <cell r="EO201">
            <v>-0.7143</v>
          </cell>
          <cell r="EP201">
            <v>3</v>
          </cell>
          <cell r="EQ201">
            <v>-0.3333</v>
          </cell>
          <cell r="ER201">
            <v>0</v>
          </cell>
          <cell r="ES201">
            <v>0</v>
          </cell>
          <cell r="ET201" t="str">
            <v>持平</v>
          </cell>
          <cell r="EU201">
            <v>6</v>
          </cell>
          <cell r="EV201" t="str">
            <v>少6人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 t="str">
            <v/>
          </cell>
        </row>
        <row r="202">
          <cell r="A202" t="str">
            <v>强奸</v>
          </cell>
          <cell r="B202" t="str">
            <v>云城区</v>
          </cell>
        </row>
        <row r="202">
          <cell r="AM202">
            <v>2</v>
          </cell>
          <cell r="AN202">
            <v>2</v>
          </cell>
          <cell r="AO202">
            <v>0</v>
          </cell>
          <cell r="AP202">
            <v>0</v>
          </cell>
          <cell r="AQ202" t="str">
            <v>多2起</v>
          </cell>
          <cell r="AR202">
            <v>1</v>
          </cell>
          <cell r="AS202">
            <v>0</v>
          </cell>
          <cell r="AT202">
            <v>1</v>
          </cell>
          <cell r="AU202">
            <v>2</v>
          </cell>
          <cell r="AV202">
            <v>-0.5</v>
          </cell>
          <cell r="AW202">
            <v>0</v>
          </cell>
          <cell r="AX202" t="str">
            <v>多1起</v>
          </cell>
          <cell r="AY202">
            <v>1</v>
          </cell>
          <cell r="AZ202">
            <v>2</v>
          </cell>
          <cell r="BA202">
            <v>-0.5</v>
          </cell>
          <cell r="BB202">
            <v>0</v>
          </cell>
          <cell r="BC202" t="str">
            <v>多1起</v>
          </cell>
          <cell r="BD202">
            <v>1</v>
          </cell>
          <cell r="BE202">
            <v>0</v>
          </cell>
          <cell r="BF202">
            <v>1</v>
          </cell>
          <cell r="BG202">
            <v>0</v>
          </cell>
          <cell r="BH202" t="str">
            <v>多1起</v>
          </cell>
          <cell r="BI202">
            <v>0</v>
          </cell>
          <cell r="BJ202" t="str">
            <v>多1起</v>
          </cell>
          <cell r="BK202">
            <v>0.5</v>
          </cell>
          <cell r="BL202">
            <v>1</v>
          </cell>
          <cell r="BM202">
            <v>0</v>
          </cell>
          <cell r="BN202" t="str">
            <v>多1起</v>
          </cell>
          <cell r="BO202">
            <v>0</v>
          </cell>
          <cell r="BP202" t="str">
            <v>多1起</v>
          </cell>
          <cell r="BQ202">
            <v>0</v>
          </cell>
          <cell r="BR202">
            <v>0</v>
          </cell>
          <cell r="BS202" t="str">
            <v>持平</v>
          </cell>
          <cell r="BT202">
            <v>1</v>
          </cell>
          <cell r="BU202" t="str">
            <v>少1起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 t="str">
            <v>持平</v>
          </cell>
          <cell r="CC202">
            <v>0</v>
          </cell>
          <cell r="CD202" t="str">
            <v>持平</v>
          </cell>
          <cell r="CE202" t="str">
            <v/>
          </cell>
          <cell r="CF202" t="str">
            <v/>
          </cell>
          <cell r="CG202">
            <v>1</v>
          </cell>
          <cell r="CH202">
            <v>2</v>
          </cell>
          <cell r="CI202">
            <v>-0.5</v>
          </cell>
          <cell r="CJ202">
            <v>1</v>
          </cell>
          <cell r="CK202">
            <v>0</v>
          </cell>
          <cell r="CL202">
            <v>50</v>
          </cell>
          <cell r="CM202">
            <v>-50</v>
          </cell>
          <cell r="CN202">
            <v>-0.5</v>
          </cell>
          <cell r="CO202">
            <v>1</v>
          </cell>
          <cell r="CP202">
            <v>2</v>
          </cell>
          <cell r="CQ202">
            <v>-0.5</v>
          </cell>
          <cell r="CR202">
            <v>0</v>
          </cell>
          <cell r="CS202" t="str">
            <v>多1人</v>
          </cell>
          <cell r="CT202">
            <v>1</v>
          </cell>
          <cell r="CU202">
            <v>0</v>
          </cell>
          <cell r="CV202">
            <v>50</v>
          </cell>
          <cell r="CW202">
            <v>-50</v>
          </cell>
          <cell r="CX202">
            <v>-0.5</v>
          </cell>
          <cell r="CY202">
            <v>1</v>
          </cell>
          <cell r="CZ202">
            <v>2</v>
          </cell>
          <cell r="DA202">
            <v>-0.5</v>
          </cell>
          <cell r="DB202">
            <v>0</v>
          </cell>
          <cell r="DC202" t="str">
            <v>多1人</v>
          </cell>
          <cell r="DD202">
            <v>1</v>
          </cell>
          <cell r="DE202">
            <v>0</v>
          </cell>
          <cell r="DF202">
            <v>50</v>
          </cell>
          <cell r="DG202">
            <v>-50</v>
          </cell>
          <cell r="DH202">
            <v>-0.5</v>
          </cell>
          <cell r="DI202">
            <v>0</v>
          </cell>
          <cell r="DJ202">
            <v>0</v>
          </cell>
          <cell r="DK202" t="str">
            <v>持平</v>
          </cell>
          <cell r="DL202">
            <v>0</v>
          </cell>
          <cell r="DM202" t="str">
            <v>持平</v>
          </cell>
          <cell r="DN202">
            <v>0</v>
          </cell>
          <cell r="DO202">
            <v>0</v>
          </cell>
          <cell r="DP202" t="str">
            <v>持平</v>
          </cell>
          <cell r="DQ202">
            <v>0</v>
          </cell>
          <cell r="DR202" t="str">
            <v>持平</v>
          </cell>
          <cell r="DS202">
            <v>0</v>
          </cell>
          <cell r="DT202">
            <v>0</v>
          </cell>
          <cell r="DU202" t="str">
            <v>持平</v>
          </cell>
          <cell r="DV202">
            <v>0</v>
          </cell>
          <cell r="DW202" t="str">
            <v>持平</v>
          </cell>
          <cell r="DX202">
            <v>0</v>
          </cell>
          <cell r="DY202">
            <v>6</v>
          </cell>
          <cell r="DZ202" t="str">
            <v>少6人</v>
          </cell>
          <cell r="EA202">
            <v>0</v>
          </cell>
          <cell r="EB202" t="str">
            <v>持平</v>
          </cell>
          <cell r="EC202">
            <v>0</v>
          </cell>
          <cell r="ED202">
            <v>6</v>
          </cell>
          <cell r="EE202" t="str">
            <v>少6人</v>
          </cell>
          <cell r="EF202">
            <v>0</v>
          </cell>
          <cell r="EG202" t="str">
            <v>持平</v>
          </cell>
          <cell r="EH202">
            <v>0</v>
          </cell>
          <cell r="EI202">
            <v>-3</v>
          </cell>
          <cell r="EJ202">
            <v>0</v>
          </cell>
          <cell r="EK202">
            <v>-300</v>
          </cell>
          <cell r="EL202">
            <v>-1</v>
          </cell>
          <cell r="EM202">
            <v>0</v>
          </cell>
          <cell r="EN202">
            <v>6</v>
          </cell>
          <cell r="EO202" t="str">
            <v>少6人</v>
          </cell>
          <cell r="EP202">
            <v>0</v>
          </cell>
          <cell r="EQ202" t="str">
            <v>持平</v>
          </cell>
          <cell r="ER202">
            <v>0</v>
          </cell>
          <cell r="ES202">
            <v>0</v>
          </cell>
          <cell r="ET202" t="str">
            <v>持平</v>
          </cell>
          <cell r="EU202">
            <v>1</v>
          </cell>
          <cell r="EV202" t="str">
            <v>少1人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 t="str">
            <v/>
          </cell>
        </row>
        <row r="203">
          <cell r="A203" t="str">
            <v>强奸</v>
          </cell>
          <cell r="B203" t="str">
            <v>云安区</v>
          </cell>
        </row>
        <row r="203">
          <cell r="AM203">
            <v>2</v>
          </cell>
          <cell r="AN203">
            <v>0</v>
          </cell>
          <cell r="AO203" t="str">
            <v>多2起</v>
          </cell>
          <cell r="AP203">
            <v>0</v>
          </cell>
          <cell r="AQ203" t="str">
            <v>多2起</v>
          </cell>
          <cell r="AR203">
            <v>1</v>
          </cell>
          <cell r="AS203" t="str">
            <v/>
          </cell>
          <cell r="AT203">
            <v>2</v>
          </cell>
          <cell r="AU203">
            <v>0</v>
          </cell>
          <cell r="AV203" t="str">
            <v>多2起</v>
          </cell>
          <cell r="AW203">
            <v>0</v>
          </cell>
          <cell r="AX203" t="str">
            <v>多2起</v>
          </cell>
          <cell r="AY203">
            <v>2</v>
          </cell>
          <cell r="AZ203">
            <v>0</v>
          </cell>
          <cell r="BA203" t="str">
            <v>多2起</v>
          </cell>
          <cell r="BB203">
            <v>0</v>
          </cell>
          <cell r="BC203" t="str">
            <v>多2起</v>
          </cell>
          <cell r="BD203">
            <v>1</v>
          </cell>
          <cell r="BE203" t="str">
            <v/>
          </cell>
          <cell r="BF203">
            <v>0</v>
          </cell>
          <cell r="BG203">
            <v>0</v>
          </cell>
          <cell r="BH203" t="str">
            <v>持平</v>
          </cell>
          <cell r="BI203">
            <v>0</v>
          </cell>
          <cell r="BJ203" t="str">
            <v>持平</v>
          </cell>
          <cell r="BK203">
            <v>0</v>
          </cell>
          <cell r="BL203">
            <v>0</v>
          </cell>
          <cell r="BM203">
            <v>0</v>
          </cell>
          <cell r="BN203" t="str">
            <v>持平</v>
          </cell>
          <cell r="BO203">
            <v>0</v>
          </cell>
          <cell r="BP203" t="str">
            <v>持平</v>
          </cell>
          <cell r="BQ203">
            <v>0</v>
          </cell>
          <cell r="BR203">
            <v>0</v>
          </cell>
          <cell r="BS203" t="str">
            <v>持平</v>
          </cell>
          <cell r="BT203">
            <v>0</v>
          </cell>
          <cell r="BU203" t="str">
            <v>持平</v>
          </cell>
          <cell r="BV203">
            <v>0</v>
          </cell>
          <cell r="BW203" t="str">
            <v/>
          </cell>
          <cell r="BX203">
            <v>0</v>
          </cell>
          <cell r="BY203" t="str">
            <v/>
          </cell>
          <cell r="BZ203">
            <v>0</v>
          </cell>
          <cell r="CA203">
            <v>0</v>
          </cell>
          <cell r="CB203" t="str">
            <v>持平</v>
          </cell>
          <cell r="CC203">
            <v>0</v>
          </cell>
          <cell r="CD203" t="str">
            <v>持平</v>
          </cell>
          <cell r="CE203" t="str">
            <v/>
          </cell>
          <cell r="CF203" t="str">
            <v/>
          </cell>
          <cell r="CG203">
            <v>2</v>
          </cell>
          <cell r="CH203">
            <v>0</v>
          </cell>
          <cell r="CI203" t="str">
            <v>多2人</v>
          </cell>
          <cell r="CJ203">
            <v>0</v>
          </cell>
          <cell r="CK203" t="str">
            <v>多2人</v>
          </cell>
          <cell r="CL203">
            <v>100</v>
          </cell>
          <cell r="CM203" t="str">
            <v/>
          </cell>
          <cell r="CN203" t="str">
            <v/>
          </cell>
          <cell r="CO203">
            <v>2</v>
          </cell>
          <cell r="CP203">
            <v>0</v>
          </cell>
          <cell r="CQ203" t="str">
            <v>多2人</v>
          </cell>
          <cell r="CR203">
            <v>0</v>
          </cell>
          <cell r="CS203" t="str">
            <v>多2人</v>
          </cell>
          <cell r="CT203">
            <v>1</v>
          </cell>
          <cell r="CU203" t="str">
            <v/>
          </cell>
          <cell r="CV203">
            <v>100</v>
          </cell>
          <cell r="CW203" t="str">
            <v/>
          </cell>
          <cell r="CX203" t="str">
            <v/>
          </cell>
          <cell r="CY203">
            <v>2</v>
          </cell>
          <cell r="CZ203">
            <v>0</v>
          </cell>
          <cell r="DA203" t="str">
            <v>多2人</v>
          </cell>
          <cell r="DB203">
            <v>0</v>
          </cell>
          <cell r="DC203" t="str">
            <v>多2人</v>
          </cell>
          <cell r="DD203">
            <v>1</v>
          </cell>
          <cell r="DE203" t="str">
            <v/>
          </cell>
          <cell r="DF203">
            <v>100</v>
          </cell>
          <cell r="DG203" t="str">
            <v/>
          </cell>
          <cell r="DH203" t="str">
            <v/>
          </cell>
          <cell r="DI203">
            <v>0</v>
          </cell>
          <cell r="DJ203">
            <v>0</v>
          </cell>
          <cell r="DK203" t="str">
            <v>持平</v>
          </cell>
          <cell r="DL203">
            <v>0</v>
          </cell>
          <cell r="DM203" t="str">
            <v>持平</v>
          </cell>
          <cell r="DN203">
            <v>1</v>
          </cell>
          <cell r="DO203">
            <v>0</v>
          </cell>
          <cell r="DP203" t="str">
            <v>多1人</v>
          </cell>
          <cell r="DQ203">
            <v>0</v>
          </cell>
          <cell r="DR203" t="str">
            <v>多1人</v>
          </cell>
          <cell r="DS203">
            <v>1</v>
          </cell>
          <cell r="DT203">
            <v>0</v>
          </cell>
          <cell r="DU203" t="str">
            <v>多1人</v>
          </cell>
          <cell r="DV203">
            <v>0</v>
          </cell>
          <cell r="DW203" t="str">
            <v>多1人</v>
          </cell>
          <cell r="DX203">
            <v>2</v>
          </cell>
          <cell r="DY203">
            <v>0</v>
          </cell>
          <cell r="DZ203" t="str">
            <v>多2人</v>
          </cell>
          <cell r="EA203">
            <v>0</v>
          </cell>
          <cell r="EB203" t="str">
            <v>多2人</v>
          </cell>
          <cell r="EC203">
            <v>1</v>
          </cell>
          <cell r="ED203">
            <v>0</v>
          </cell>
          <cell r="EE203" t="str">
            <v>多1人</v>
          </cell>
          <cell r="EF203">
            <v>0</v>
          </cell>
          <cell r="EG203" t="str">
            <v>多1人</v>
          </cell>
          <cell r="EH203">
            <v>0.5</v>
          </cell>
          <cell r="EI203" t="str">
            <v/>
          </cell>
          <cell r="EJ203">
            <v>50</v>
          </cell>
          <cell r="EK203" t="str">
            <v/>
          </cell>
          <cell r="EL203" t="str">
            <v/>
          </cell>
          <cell r="EM203">
            <v>1</v>
          </cell>
          <cell r="EN203">
            <v>0</v>
          </cell>
          <cell r="EO203" t="str">
            <v>多1人</v>
          </cell>
          <cell r="EP203">
            <v>0</v>
          </cell>
          <cell r="EQ203" t="str">
            <v>多1人</v>
          </cell>
          <cell r="ER203">
            <v>0</v>
          </cell>
          <cell r="ES203">
            <v>0</v>
          </cell>
          <cell r="ET203" t="str">
            <v>持平</v>
          </cell>
          <cell r="EU203">
            <v>0</v>
          </cell>
          <cell r="EV203" t="str">
            <v>持平</v>
          </cell>
          <cell r="EW203">
            <v>0</v>
          </cell>
          <cell r="EX203" t="str">
            <v/>
          </cell>
          <cell r="EY203">
            <v>0</v>
          </cell>
          <cell r="EZ203" t="str">
            <v/>
          </cell>
          <cell r="FA203" t="str">
            <v/>
          </cell>
        </row>
        <row r="204">
          <cell r="A204" t="str">
            <v>强奸</v>
          </cell>
          <cell r="B204" t="str">
            <v>新兴县</v>
          </cell>
        </row>
        <row r="204">
          <cell r="AM204">
            <v>1</v>
          </cell>
          <cell r="AN204">
            <v>2</v>
          </cell>
          <cell r="AO204">
            <v>-0.5</v>
          </cell>
          <cell r="AP204">
            <v>2</v>
          </cell>
          <cell r="AQ204">
            <v>-0.5</v>
          </cell>
          <cell r="AR204">
            <v>0.3333</v>
          </cell>
          <cell r="AS204">
            <v>-0.3333</v>
          </cell>
          <cell r="AT204">
            <v>1</v>
          </cell>
          <cell r="AU204">
            <v>1</v>
          </cell>
          <cell r="AV204">
            <v>0</v>
          </cell>
          <cell r="AW204">
            <v>1</v>
          </cell>
          <cell r="AX204">
            <v>0</v>
          </cell>
          <cell r="AY204">
            <v>1</v>
          </cell>
          <cell r="AZ204">
            <v>1</v>
          </cell>
          <cell r="BA204">
            <v>0</v>
          </cell>
          <cell r="BB204">
            <v>2</v>
          </cell>
          <cell r="BC204">
            <v>-0.5</v>
          </cell>
          <cell r="BD204">
            <v>1</v>
          </cell>
          <cell r="BE204">
            <v>0</v>
          </cell>
          <cell r="BF204">
            <v>2</v>
          </cell>
          <cell r="BG204">
            <v>2</v>
          </cell>
          <cell r="BH204">
            <v>0</v>
          </cell>
          <cell r="BI204">
            <v>0</v>
          </cell>
          <cell r="BJ204" t="str">
            <v>多2起</v>
          </cell>
          <cell r="BK204">
            <v>0.6667</v>
          </cell>
          <cell r="BL204">
            <v>0</v>
          </cell>
          <cell r="BM204">
            <v>1</v>
          </cell>
          <cell r="BN204" t="str">
            <v>少1起</v>
          </cell>
          <cell r="BO204">
            <v>0</v>
          </cell>
          <cell r="BP204" t="str">
            <v>持平</v>
          </cell>
          <cell r="BQ204">
            <v>0</v>
          </cell>
          <cell r="BR204">
            <v>0</v>
          </cell>
          <cell r="BS204" t="str">
            <v>持平</v>
          </cell>
          <cell r="BT204">
            <v>0</v>
          </cell>
          <cell r="BU204" t="str">
            <v>持平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 t="str">
            <v>持平</v>
          </cell>
          <cell r="CC204">
            <v>0</v>
          </cell>
          <cell r="CD204" t="str">
            <v>持平</v>
          </cell>
          <cell r="CE204" t="str">
            <v/>
          </cell>
          <cell r="CF204" t="str">
            <v/>
          </cell>
          <cell r="CG204">
            <v>2</v>
          </cell>
          <cell r="CH204">
            <v>2</v>
          </cell>
          <cell r="CI204">
            <v>0</v>
          </cell>
          <cell r="CJ204">
            <v>2</v>
          </cell>
          <cell r="CK204">
            <v>0</v>
          </cell>
          <cell r="CL204">
            <v>67</v>
          </cell>
          <cell r="CM204">
            <v>0</v>
          </cell>
          <cell r="CN204">
            <v>0</v>
          </cell>
          <cell r="CO204">
            <v>0</v>
          </cell>
          <cell r="CP204">
            <v>2</v>
          </cell>
          <cell r="CQ204" t="str">
            <v>少2人</v>
          </cell>
          <cell r="CR204">
            <v>0</v>
          </cell>
          <cell r="CS204" t="str">
            <v>持平</v>
          </cell>
          <cell r="CT204">
            <v>0</v>
          </cell>
          <cell r="CU204">
            <v>-1</v>
          </cell>
          <cell r="CV204">
            <v>0</v>
          </cell>
          <cell r="CW204">
            <v>-67</v>
          </cell>
          <cell r="CX204">
            <v>-1</v>
          </cell>
          <cell r="CY204">
            <v>1</v>
          </cell>
          <cell r="CZ204">
            <v>2</v>
          </cell>
          <cell r="DA204">
            <v>-0.5</v>
          </cell>
          <cell r="DB204">
            <v>0</v>
          </cell>
          <cell r="DC204" t="str">
            <v>多1人</v>
          </cell>
          <cell r="DD204">
            <v>0.5</v>
          </cell>
          <cell r="DE204">
            <v>-0.5</v>
          </cell>
          <cell r="DF204">
            <v>33</v>
          </cell>
          <cell r="DG204">
            <v>-33</v>
          </cell>
          <cell r="DH204">
            <v>-0.5</v>
          </cell>
          <cell r="DI204">
            <v>1</v>
          </cell>
          <cell r="DJ204">
            <v>2</v>
          </cell>
          <cell r="DK204">
            <v>-0.5</v>
          </cell>
          <cell r="DL204">
            <v>0</v>
          </cell>
          <cell r="DM204" t="str">
            <v>多1人</v>
          </cell>
          <cell r="DN204">
            <v>0</v>
          </cell>
          <cell r="DO204">
            <v>0</v>
          </cell>
          <cell r="DP204" t="str">
            <v>持平</v>
          </cell>
          <cell r="DQ204">
            <v>0</v>
          </cell>
          <cell r="DR204" t="str">
            <v>持平</v>
          </cell>
          <cell r="DS204">
            <v>0</v>
          </cell>
          <cell r="DT204">
            <v>0</v>
          </cell>
          <cell r="DU204" t="str">
            <v>持平</v>
          </cell>
          <cell r="DV204">
            <v>0</v>
          </cell>
          <cell r="DW204" t="str">
            <v>持平</v>
          </cell>
          <cell r="DX204">
            <v>1</v>
          </cell>
          <cell r="DY204">
            <v>1</v>
          </cell>
          <cell r="DZ204">
            <v>0</v>
          </cell>
          <cell r="EA204">
            <v>0</v>
          </cell>
          <cell r="EB204" t="str">
            <v>多1人</v>
          </cell>
          <cell r="EC204">
            <v>0</v>
          </cell>
          <cell r="ED204">
            <v>1</v>
          </cell>
          <cell r="EE204" t="str">
            <v>少1人</v>
          </cell>
          <cell r="EF204">
            <v>0</v>
          </cell>
          <cell r="EG204" t="str">
            <v>持平</v>
          </cell>
          <cell r="EH204" t="str">
            <v/>
          </cell>
          <cell r="EI204" t="str">
            <v/>
          </cell>
          <cell r="EJ204">
            <v>0</v>
          </cell>
          <cell r="EK204">
            <v>-33</v>
          </cell>
          <cell r="EL204">
            <v>-1</v>
          </cell>
          <cell r="EM204">
            <v>0</v>
          </cell>
          <cell r="EN204">
            <v>1</v>
          </cell>
          <cell r="EO204" t="str">
            <v>少1人</v>
          </cell>
          <cell r="EP204">
            <v>0</v>
          </cell>
          <cell r="EQ204" t="str">
            <v>持平</v>
          </cell>
          <cell r="ER204">
            <v>0</v>
          </cell>
          <cell r="ES204">
            <v>0</v>
          </cell>
          <cell r="ET204" t="str">
            <v>持平</v>
          </cell>
          <cell r="EU204">
            <v>0</v>
          </cell>
          <cell r="EV204" t="str">
            <v>持平</v>
          </cell>
          <cell r="EW204" t="str">
            <v/>
          </cell>
          <cell r="EX204" t="str">
            <v/>
          </cell>
          <cell r="EY204">
            <v>0</v>
          </cell>
          <cell r="EZ204">
            <v>0</v>
          </cell>
          <cell r="FA204" t="str">
            <v/>
          </cell>
        </row>
        <row r="205">
          <cell r="A205" t="str">
            <v>强奸</v>
          </cell>
          <cell r="B205" t="str">
            <v>郁南县</v>
          </cell>
        </row>
        <row r="205">
          <cell r="AM205">
            <v>2</v>
          </cell>
          <cell r="AN205">
            <v>0</v>
          </cell>
          <cell r="AO205" t="str">
            <v>多2起</v>
          </cell>
          <cell r="AP205">
            <v>0</v>
          </cell>
          <cell r="AQ205" t="str">
            <v>多2起</v>
          </cell>
          <cell r="AR205">
            <v>1</v>
          </cell>
          <cell r="AS205" t="str">
            <v/>
          </cell>
          <cell r="AT205">
            <v>1</v>
          </cell>
          <cell r="AU205">
            <v>0</v>
          </cell>
          <cell r="AV205" t="str">
            <v>多1起</v>
          </cell>
          <cell r="AW205">
            <v>0</v>
          </cell>
          <cell r="AX205" t="str">
            <v>多1起</v>
          </cell>
          <cell r="AY205">
            <v>1</v>
          </cell>
          <cell r="AZ205">
            <v>0</v>
          </cell>
          <cell r="BA205" t="str">
            <v>多1起</v>
          </cell>
          <cell r="BB205">
            <v>0</v>
          </cell>
          <cell r="BC205" t="str">
            <v>多1起</v>
          </cell>
          <cell r="BD205">
            <v>1</v>
          </cell>
          <cell r="BE205" t="str">
            <v/>
          </cell>
          <cell r="BF205">
            <v>1</v>
          </cell>
          <cell r="BG205">
            <v>0</v>
          </cell>
          <cell r="BH205" t="str">
            <v>多1起</v>
          </cell>
          <cell r="BI205">
            <v>0</v>
          </cell>
          <cell r="BJ205" t="str">
            <v>多1起</v>
          </cell>
          <cell r="BK205">
            <v>0.5</v>
          </cell>
          <cell r="BL205">
            <v>1</v>
          </cell>
          <cell r="BM205">
            <v>0</v>
          </cell>
          <cell r="BN205" t="str">
            <v>多1起</v>
          </cell>
          <cell r="BO205">
            <v>0</v>
          </cell>
          <cell r="BP205" t="str">
            <v>多1起</v>
          </cell>
          <cell r="BQ205">
            <v>0</v>
          </cell>
          <cell r="BR205">
            <v>0</v>
          </cell>
          <cell r="BS205" t="str">
            <v>持平</v>
          </cell>
          <cell r="BT205">
            <v>1</v>
          </cell>
          <cell r="BU205" t="str">
            <v>少1起</v>
          </cell>
          <cell r="BV205">
            <v>0</v>
          </cell>
          <cell r="BW205" t="str">
            <v/>
          </cell>
          <cell r="BX205">
            <v>0</v>
          </cell>
          <cell r="BY205" t="str">
            <v/>
          </cell>
          <cell r="BZ205">
            <v>0</v>
          </cell>
          <cell r="CA205">
            <v>0</v>
          </cell>
          <cell r="CB205" t="str">
            <v>持平</v>
          </cell>
          <cell r="CC205">
            <v>0</v>
          </cell>
          <cell r="CD205" t="str">
            <v>持平</v>
          </cell>
          <cell r="CE205" t="str">
            <v/>
          </cell>
          <cell r="CF205" t="str">
            <v/>
          </cell>
          <cell r="CG205">
            <v>4</v>
          </cell>
          <cell r="CH205">
            <v>0</v>
          </cell>
          <cell r="CI205" t="str">
            <v>多4人</v>
          </cell>
          <cell r="CJ205">
            <v>0</v>
          </cell>
          <cell r="CK205" t="str">
            <v>多4人</v>
          </cell>
          <cell r="CL205">
            <v>200</v>
          </cell>
          <cell r="CM205" t="str">
            <v/>
          </cell>
          <cell r="CN205" t="str">
            <v/>
          </cell>
          <cell r="CO205">
            <v>3</v>
          </cell>
          <cell r="CP205">
            <v>0</v>
          </cell>
          <cell r="CQ205" t="str">
            <v>多3人</v>
          </cell>
          <cell r="CR205">
            <v>0</v>
          </cell>
          <cell r="CS205" t="str">
            <v>多3人</v>
          </cell>
          <cell r="CT205">
            <v>0.75</v>
          </cell>
          <cell r="CU205" t="str">
            <v/>
          </cell>
          <cell r="CV205">
            <v>150</v>
          </cell>
          <cell r="CW205" t="str">
            <v/>
          </cell>
          <cell r="CX205" t="str">
            <v/>
          </cell>
          <cell r="CY205">
            <v>3</v>
          </cell>
          <cell r="CZ205">
            <v>0</v>
          </cell>
          <cell r="DA205" t="str">
            <v>多3人</v>
          </cell>
          <cell r="DB205">
            <v>0</v>
          </cell>
          <cell r="DC205" t="str">
            <v>多3人</v>
          </cell>
          <cell r="DD205">
            <v>0.75</v>
          </cell>
          <cell r="DE205" t="str">
            <v/>
          </cell>
          <cell r="DF205">
            <v>150</v>
          </cell>
          <cell r="DG205" t="str">
            <v/>
          </cell>
          <cell r="DH205" t="str">
            <v/>
          </cell>
          <cell r="DI205">
            <v>5</v>
          </cell>
          <cell r="DJ205">
            <v>0</v>
          </cell>
          <cell r="DK205" t="str">
            <v>多5人</v>
          </cell>
          <cell r="DL205">
            <v>0</v>
          </cell>
          <cell r="DM205" t="str">
            <v>多5人</v>
          </cell>
          <cell r="DN205">
            <v>0</v>
          </cell>
          <cell r="DO205">
            <v>0</v>
          </cell>
          <cell r="DP205" t="str">
            <v>持平</v>
          </cell>
          <cell r="DQ205">
            <v>0</v>
          </cell>
          <cell r="DR205" t="str">
            <v>持平</v>
          </cell>
          <cell r="DS205">
            <v>0</v>
          </cell>
          <cell r="DT205">
            <v>0</v>
          </cell>
          <cell r="DU205" t="str">
            <v>持平</v>
          </cell>
          <cell r="DV205">
            <v>0</v>
          </cell>
          <cell r="DW205" t="str">
            <v>持平</v>
          </cell>
          <cell r="DX205">
            <v>2</v>
          </cell>
          <cell r="DY205">
            <v>0</v>
          </cell>
          <cell r="DZ205" t="str">
            <v>多2人</v>
          </cell>
          <cell r="EA205">
            <v>2</v>
          </cell>
          <cell r="EB205">
            <v>0</v>
          </cell>
          <cell r="EC205">
            <v>0</v>
          </cell>
          <cell r="ED205">
            <v>0</v>
          </cell>
          <cell r="EE205" t="str">
            <v>持平</v>
          </cell>
          <cell r="EF205">
            <v>2</v>
          </cell>
          <cell r="EG205" t="str">
            <v>少2人</v>
          </cell>
          <cell r="EH205">
            <v>0</v>
          </cell>
          <cell r="EI205" t="str">
            <v/>
          </cell>
          <cell r="EJ205">
            <v>0</v>
          </cell>
          <cell r="EK205" t="str">
            <v/>
          </cell>
          <cell r="EL205" t="str">
            <v/>
          </cell>
          <cell r="EM205">
            <v>0</v>
          </cell>
          <cell r="EN205">
            <v>0</v>
          </cell>
          <cell r="EO205" t="str">
            <v>持平</v>
          </cell>
          <cell r="EP205">
            <v>2</v>
          </cell>
          <cell r="EQ205" t="str">
            <v>少2人</v>
          </cell>
          <cell r="ER205">
            <v>0</v>
          </cell>
          <cell r="ES205">
            <v>0</v>
          </cell>
          <cell r="ET205" t="str">
            <v>持平</v>
          </cell>
          <cell r="EU205">
            <v>1</v>
          </cell>
          <cell r="EV205" t="str">
            <v>少1人</v>
          </cell>
          <cell r="EW205">
            <v>0</v>
          </cell>
          <cell r="EX205" t="str">
            <v/>
          </cell>
          <cell r="EY205">
            <v>0</v>
          </cell>
          <cell r="EZ205" t="str">
            <v/>
          </cell>
          <cell r="FA205" t="str">
            <v/>
          </cell>
        </row>
        <row r="206">
          <cell r="A206" t="str">
            <v>强奸</v>
          </cell>
          <cell r="B206" t="str">
            <v>罗定市</v>
          </cell>
        </row>
        <row r="206">
          <cell r="AM206">
            <v>2</v>
          </cell>
          <cell r="AN206">
            <v>2</v>
          </cell>
          <cell r="AO206">
            <v>0</v>
          </cell>
          <cell r="AP206">
            <v>3</v>
          </cell>
          <cell r="AQ206">
            <v>-0.3333</v>
          </cell>
          <cell r="AR206">
            <v>0.6667</v>
          </cell>
          <cell r="AS206">
            <v>-0.3333</v>
          </cell>
          <cell r="AT206">
            <v>2</v>
          </cell>
          <cell r="AU206">
            <v>1</v>
          </cell>
          <cell r="AV206">
            <v>1</v>
          </cell>
          <cell r="AW206">
            <v>2</v>
          </cell>
          <cell r="AX206">
            <v>0</v>
          </cell>
          <cell r="AY206">
            <v>1</v>
          </cell>
          <cell r="AZ206">
            <v>1</v>
          </cell>
          <cell r="BA206">
            <v>0</v>
          </cell>
          <cell r="BB206">
            <v>2</v>
          </cell>
          <cell r="BC206">
            <v>-0.5</v>
          </cell>
          <cell r="BD206">
            <v>0.5</v>
          </cell>
          <cell r="BE206">
            <v>-0.5</v>
          </cell>
          <cell r="BF206">
            <v>1</v>
          </cell>
          <cell r="BG206">
            <v>1</v>
          </cell>
          <cell r="BH206">
            <v>0</v>
          </cell>
          <cell r="BI206">
            <v>0</v>
          </cell>
          <cell r="BJ206" t="str">
            <v>多1起</v>
          </cell>
          <cell r="BK206">
            <v>0.3333</v>
          </cell>
          <cell r="BL206">
            <v>1</v>
          </cell>
          <cell r="BM206">
            <v>1</v>
          </cell>
          <cell r="BN206">
            <v>0</v>
          </cell>
          <cell r="BO206">
            <v>1</v>
          </cell>
          <cell r="BP206">
            <v>0</v>
          </cell>
          <cell r="BQ206">
            <v>0</v>
          </cell>
          <cell r="BR206">
            <v>0</v>
          </cell>
          <cell r="BS206" t="str">
            <v>持平</v>
          </cell>
          <cell r="BT206">
            <v>4</v>
          </cell>
          <cell r="BU206" t="str">
            <v>少4起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 t="str">
            <v>持平</v>
          </cell>
          <cell r="CC206">
            <v>0</v>
          </cell>
          <cell r="CD206" t="str">
            <v>持平</v>
          </cell>
          <cell r="CE206" t="str">
            <v/>
          </cell>
          <cell r="CF206" t="str">
            <v/>
          </cell>
          <cell r="CG206">
            <v>3</v>
          </cell>
          <cell r="CH206">
            <v>5</v>
          </cell>
          <cell r="CI206">
            <v>-0.4</v>
          </cell>
          <cell r="CJ206">
            <v>1</v>
          </cell>
          <cell r="CK206">
            <v>2</v>
          </cell>
          <cell r="CL206">
            <v>100</v>
          </cell>
          <cell r="CM206">
            <v>-150</v>
          </cell>
          <cell r="CN206">
            <v>-0.6</v>
          </cell>
          <cell r="CO206">
            <v>4</v>
          </cell>
          <cell r="CP206">
            <v>2</v>
          </cell>
          <cell r="CQ206">
            <v>1</v>
          </cell>
          <cell r="CR206">
            <v>1</v>
          </cell>
          <cell r="CS206">
            <v>3</v>
          </cell>
          <cell r="CT206">
            <v>1.3333</v>
          </cell>
          <cell r="CU206">
            <v>0.9333</v>
          </cell>
          <cell r="CV206">
            <v>133</v>
          </cell>
          <cell r="CW206">
            <v>33</v>
          </cell>
          <cell r="CX206">
            <v>0.3333</v>
          </cell>
          <cell r="CY206">
            <v>4</v>
          </cell>
          <cell r="CZ206">
            <v>2</v>
          </cell>
          <cell r="DA206">
            <v>1</v>
          </cell>
          <cell r="DB206">
            <v>1</v>
          </cell>
          <cell r="DC206">
            <v>3</v>
          </cell>
          <cell r="DD206">
            <v>1.3333</v>
          </cell>
          <cell r="DE206">
            <v>0.9333</v>
          </cell>
          <cell r="DF206">
            <v>133</v>
          </cell>
          <cell r="DG206">
            <v>33</v>
          </cell>
          <cell r="DH206">
            <v>0.3333</v>
          </cell>
          <cell r="DI206">
            <v>4</v>
          </cell>
          <cell r="DJ206">
            <v>0</v>
          </cell>
          <cell r="DK206" t="str">
            <v>多4人</v>
          </cell>
          <cell r="DL206">
            <v>1</v>
          </cell>
          <cell r="DM206">
            <v>3</v>
          </cell>
          <cell r="DN206">
            <v>0</v>
          </cell>
          <cell r="DO206">
            <v>0</v>
          </cell>
          <cell r="DP206" t="str">
            <v>持平</v>
          </cell>
          <cell r="DQ206">
            <v>0</v>
          </cell>
          <cell r="DR206" t="str">
            <v>持平</v>
          </cell>
          <cell r="DS206">
            <v>0</v>
          </cell>
          <cell r="DT206">
            <v>0</v>
          </cell>
          <cell r="DU206" t="str">
            <v>持平</v>
          </cell>
          <cell r="DV206">
            <v>0</v>
          </cell>
          <cell r="DW206" t="str">
            <v>持平</v>
          </cell>
          <cell r="DX206">
            <v>3</v>
          </cell>
          <cell r="DY206">
            <v>0</v>
          </cell>
          <cell r="DZ206" t="str">
            <v>多3人</v>
          </cell>
          <cell r="EA206">
            <v>2</v>
          </cell>
          <cell r="EB206">
            <v>0.5</v>
          </cell>
          <cell r="EC206">
            <v>1</v>
          </cell>
          <cell r="ED206">
            <v>0</v>
          </cell>
          <cell r="EE206" t="str">
            <v>多1人</v>
          </cell>
          <cell r="EF206">
            <v>1</v>
          </cell>
          <cell r="EG206">
            <v>0</v>
          </cell>
          <cell r="EH206">
            <v>0.25</v>
          </cell>
          <cell r="EI206">
            <v>0.25</v>
          </cell>
          <cell r="EJ206">
            <v>33</v>
          </cell>
          <cell r="EK206">
            <v>33</v>
          </cell>
          <cell r="EL206" t="str">
            <v/>
          </cell>
          <cell r="EM206">
            <v>1</v>
          </cell>
          <cell r="EN206">
            <v>0</v>
          </cell>
          <cell r="EO206" t="str">
            <v>多1人</v>
          </cell>
          <cell r="EP206">
            <v>1</v>
          </cell>
          <cell r="EQ206">
            <v>0</v>
          </cell>
          <cell r="ER206">
            <v>0</v>
          </cell>
          <cell r="ES206">
            <v>0</v>
          </cell>
          <cell r="ET206" t="str">
            <v>持平</v>
          </cell>
          <cell r="EU206">
            <v>4</v>
          </cell>
          <cell r="EV206" t="str">
            <v>少4人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 t="str">
            <v/>
          </cell>
        </row>
        <row r="207">
          <cell r="A207" t="str">
            <v>交通类</v>
          </cell>
          <cell r="B207" t="str">
            <v>全省</v>
          </cell>
        </row>
        <row r="207">
          <cell r="AM207">
            <v>3222</v>
          </cell>
          <cell r="AN207">
            <v>2294</v>
          </cell>
          <cell r="AO207">
            <v>0.4045</v>
          </cell>
          <cell r="AP207">
            <v>4107</v>
          </cell>
          <cell r="AQ207">
            <v>-0.2155</v>
          </cell>
          <cell r="AR207">
            <v>0.8832</v>
          </cell>
          <cell r="AS207">
            <v>0.1382</v>
          </cell>
          <cell r="AT207">
            <v>2554</v>
          </cell>
          <cell r="AU207">
            <v>2068</v>
          </cell>
          <cell r="AV207">
            <v>0.235</v>
          </cell>
          <cell r="AW207">
            <v>3586</v>
          </cell>
          <cell r="AX207">
            <v>-0.2878</v>
          </cell>
          <cell r="AY207">
            <v>1751</v>
          </cell>
          <cell r="AZ207">
            <v>1124</v>
          </cell>
          <cell r="BA207">
            <v>0.5578</v>
          </cell>
          <cell r="BB207">
            <v>3937</v>
          </cell>
          <cell r="BC207">
            <v>-0.5552</v>
          </cell>
          <cell r="BD207">
            <v>0.6856</v>
          </cell>
          <cell r="BE207">
            <v>0.1421</v>
          </cell>
          <cell r="BF207">
            <v>1094</v>
          </cell>
          <cell r="BG207">
            <v>1011</v>
          </cell>
          <cell r="BH207">
            <v>0.0821</v>
          </cell>
          <cell r="BI207">
            <v>14</v>
          </cell>
          <cell r="BJ207">
            <v>77.1429</v>
          </cell>
          <cell r="BK207">
            <v>0.2999</v>
          </cell>
          <cell r="BL207">
            <v>1471</v>
          </cell>
          <cell r="BM207">
            <v>1170</v>
          </cell>
          <cell r="BN207">
            <v>0.2573</v>
          </cell>
          <cell r="BO207">
            <v>170</v>
          </cell>
          <cell r="BP207">
            <v>7.6529</v>
          </cell>
          <cell r="BQ207">
            <v>2765</v>
          </cell>
          <cell r="BR207">
            <v>2212</v>
          </cell>
          <cell r="BS207">
            <v>0.25</v>
          </cell>
          <cell r="BT207">
            <v>3914</v>
          </cell>
          <cell r="BU207">
            <v>-0.2936</v>
          </cell>
          <cell r="BV207">
            <v>0.7579</v>
          </cell>
          <cell r="BW207">
            <v>0.0395</v>
          </cell>
          <cell r="BX207">
            <v>1.0826</v>
          </cell>
          <cell r="BY207">
            <v>0.013</v>
          </cell>
          <cell r="BZ207">
            <v>19</v>
          </cell>
          <cell r="CA207">
            <v>65</v>
          </cell>
          <cell r="CB207">
            <v>-0.7077</v>
          </cell>
          <cell r="CC207">
            <v>129</v>
          </cell>
          <cell r="CD207">
            <v>-0.8527</v>
          </cell>
          <cell r="CE207" t="str">
            <v/>
          </cell>
          <cell r="CF207" t="str">
            <v/>
          </cell>
          <cell r="CG207">
            <v>4005</v>
          </cell>
          <cell r="CH207">
            <v>3693</v>
          </cell>
          <cell r="CI207">
            <v>0.0845</v>
          </cell>
          <cell r="CJ207">
            <v>4525</v>
          </cell>
          <cell r="CK207">
            <v>-0.1149</v>
          </cell>
          <cell r="CL207">
            <v>110</v>
          </cell>
          <cell r="CM207">
            <v>-10</v>
          </cell>
          <cell r="CN207">
            <v>-0.0847</v>
          </cell>
          <cell r="CO207">
            <v>1006</v>
          </cell>
          <cell r="CP207">
            <v>376</v>
          </cell>
          <cell r="CQ207">
            <v>1.6755</v>
          </cell>
          <cell r="CR207">
            <v>1040</v>
          </cell>
          <cell r="CS207">
            <v>-0.0327</v>
          </cell>
          <cell r="CT207">
            <v>0.2512</v>
          </cell>
          <cell r="CU207">
            <v>0.1494</v>
          </cell>
          <cell r="CV207">
            <v>28</v>
          </cell>
          <cell r="CW207">
            <v>15</v>
          </cell>
          <cell r="CX207">
            <v>1.2582</v>
          </cell>
          <cell r="CY207">
            <v>3035</v>
          </cell>
          <cell r="CZ207">
            <v>1824</v>
          </cell>
          <cell r="DA207">
            <v>0.6639</v>
          </cell>
          <cell r="DB207">
            <v>3316</v>
          </cell>
          <cell r="DC207">
            <v>-0.0847</v>
          </cell>
          <cell r="DD207">
            <v>0.7578</v>
          </cell>
          <cell r="DE207">
            <v>0.2639</v>
          </cell>
          <cell r="DF207">
            <v>83</v>
          </cell>
          <cell r="DG207">
            <v>24</v>
          </cell>
          <cell r="DH207">
            <v>0.4044</v>
          </cell>
          <cell r="DI207">
            <v>2939</v>
          </cell>
          <cell r="DJ207">
            <v>1823</v>
          </cell>
          <cell r="DK207">
            <v>0.6122</v>
          </cell>
          <cell r="DL207">
            <v>3222</v>
          </cell>
          <cell r="DM207">
            <v>-0.0878</v>
          </cell>
          <cell r="DN207">
            <v>2954</v>
          </cell>
          <cell r="DO207">
            <v>2348</v>
          </cell>
          <cell r="DP207">
            <v>0.2581</v>
          </cell>
          <cell r="DQ207">
            <v>3346</v>
          </cell>
          <cell r="DR207">
            <v>-0.1172</v>
          </cell>
          <cell r="DS207">
            <v>2957</v>
          </cell>
          <cell r="DT207">
            <v>2348</v>
          </cell>
          <cell r="DU207">
            <v>0.2594</v>
          </cell>
          <cell r="DV207">
            <v>3352</v>
          </cell>
          <cell r="DW207">
            <v>-0.1178</v>
          </cell>
          <cell r="DX207">
            <v>295</v>
          </cell>
          <cell r="DY207">
            <v>243</v>
          </cell>
          <cell r="DZ207">
            <v>0.214</v>
          </cell>
          <cell r="EA207">
            <v>316</v>
          </cell>
          <cell r="EB207">
            <v>-0.0665</v>
          </cell>
          <cell r="EC207">
            <v>191</v>
          </cell>
          <cell r="ED207">
            <v>182</v>
          </cell>
          <cell r="EE207">
            <v>0.0495</v>
          </cell>
          <cell r="EF207">
            <v>219</v>
          </cell>
          <cell r="EG207">
            <v>-0.1279</v>
          </cell>
          <cell r="EH207">
            <v>0.1899</v>
          </cell>
          <cell r="EI207">
            <v>-0.2942</v>
          </cell>
          <cell r="EJ207">
            <v>5</v>
          </cell>
          <cell r="EK207">
            <v>-1</v>
          </cell>
          <cell r="EL207">
            <v>-0.1142</v>
          </cell>
          <cell r="EM207">
            <v>208</v>
          </cell>
          <cell r="EN207">
            <v>210</v>
          </cell>
          <cell r="EO207">
            <v>-0.0095</v>
          </cell>
          <cell r="EP207">
            <v>239</v>
          </cell>
          <cell r="EQ207">
            <v>-0.1297</v>
          </cell>
          <cell r="ER207">
            <v>2893</v>
          </cell>
          <cell r="ES207">
            <v>2221</v>
          </cell>
          <cell r="ET207">
            <v>0.3026</v>
          </cell>
          <cell r="EU207">
            <v>3933</v>
          </cell>
          <cell r="EV207">
            <v>-0.2644</v>
          </cell>
          <cell r="EW207">
            <v>2.8757</v>
          </cell>
          <cell r="EX207">
            <v>-3.0312</v>
          </cell>
          <cell r="EY207">
            <v>79</v>
          </cell>
          <cell r="EZ207">
            <v>7</v>
          </cell>
          <cell r="FA207">
            <v>0.0994</v>
          </cell>
        </row>
        <row r="208">
          <cell r="A208" t="str">
            <v>交通类</v>
          </cell>
          <cell r="B208" t="str">
            <v>云浮</v>
          </cell>
        </row>
        <row r="208">
          <cell r="AM208">
            <v>20</v>
          </cell>
          <cell r="AN208">
            <v>15</v>
          </cell>
          <cell r="AO208">
            <v>0.3333</v>
          </cell>
          <cell r="AP208">
            <v>47</v>
          </cell>
          <cell r="AQ208">
            <v>-0.5745</v>
          </cell>
          <cell r="AR208">
            <v>0.5128</v>
          </cell>
          <cell r="AS208">
            <v>0.0716</v>
          </cell>
          <cell r="AT208">
            <v>12</v>
          </cell>
          <cell r="AU208">
            <v>13</v>
          </cell>
          <cell r="AV208">
            <v>-0.0769</v>
          </cell>
          <cell r="AW208">
            <v>30</v>
          </cell>
          <cell r="AX208">
            <v>-0.6</v>
          </cell>
          <cell r="AY208">
            <v>6</v>
          </cell>
          <cell r="AZ208">
            <v>0</v>
          </cell>
          <cell r="BA208" t="str">
            <v>多6起</v>
          </cell>
          <cell r="BB208">
            <v>47</v>
          </cell>
          <cell r="BC208">
            <v>-0.8723</v>
          </cell>
          <cell r="BD208">
            <v>0.5</v>
          </cell>
          <cell r="BE208">
            <v>0.5</v>
          </cell>
          <cell r="BF208">
            <v>27</v>
          </cell>
          <cell r="BG208">
            <v>21</v>
          </cell>
          <cell r="BH208">
            <v>0.2857</v>
          </cell>
          <cell r="BI208">
            <v>0</v>
          </cell>
          <cell r="BJ208" t="str">
            <v>多27起</v>
          </cell>
          <cell r="BK208">
            <v>0.6923</v>
          </cell>
          <cell r="BL208">
            <v>14</v>
          </cell>
          <cell r="BM208">
            <v>15</v>
          </cell>
          <cell r="BN208">
            <v>-0.0667</v>
          </cell>
          <cell r="BO208">
            <v>0</v>
          </cell>
          <cell r="BP208" t="str">
            <v>多14起</v>
          </cell>
          <cell r="BQ208">
            <v>13</v>
          </cell>
          <cell r="BR208">
            <v>35</v>
          </cell>
          <cell r="BS208">
            <v>-0.6286</v>
          </cell>
          <cell r="BT208">
            <v>48</v>
          </cell>
          <cell r="BU208">
            <v>-0.7292</v>
          </cell>
          <cell r="BV208">
            <v>0.3333</v>
          </cell>
          <cell r="BW208">
            <v>-0.6961</v>
          </cell>
          <cell r="BX208">
            <v>1.0833</v>
          </cell>
          <cell r="BY208">
            <v>-1.609</v>
          </cell>
          <cell r="BZ208">
            <v>0</v>
          </cell>
          <cell r="CA208">
            <v>0</v>
          </cell>
          <cell r="CB208" t="str">
            <v>持平</v>
          </cell>
          <cell r="CC208">
            <v>0</v>
          </cell>
          <cell r="CD208" t="str">
            <v>持平</v>
          </cell>
          <cell r="CE208" t="str">
            <v/>
          </cell>
          <cell r="CF208" t="str">
            <v/>
          </cell>
          <cell r="CG208">
            <v>23</v>
          </cell>
          <cell r="CH208">
            <v>25</v>
          </cell>
          <cell r="CI208">
            <v>-0.08</v>
          </cell>
          <cell r="CJ208">
            <v>17</v>
          </cell>
          <cell r="CK208">
            <v>0.3529</v>
          </cell>
          <cell r="CL208">
            <v>59</v>
          </cell>
          <cell r="CM208">
            <v>-15</v>
          </cell>
          <cell r="CN208">
            <v>-0.1979</v>
          </cell>
          <cell r="CO208">
            <v>12</v>
          </cell>
          <cell r="CP208">
            <v>2</v>
          </cell>
          <cell r="CQ208">
            <v>5</v>
          </cell>
          <cell r="CR208">
            <v>9</v>
          </cell>
          <cell r="CS208">
            <v>0.3333</v>
          </cell>
          <cell r="CT208">
            <v>0.5217</v>
          </cell>
          <cell r="CU208">
            <v>0.4417</v>
          </cell>
          <cell r="CV208">
            <v>31</v>
          </cell>
          <cell r="CW208">
            <v>25</v>
          </cell>
          <cell r="CX208">
            <v>4.2308</v>
          </cell>
          <cell r="CY208">
            <v>16</v>
          </cell>
          <cell r="CZ208">
            <v>9</v>
          </cell>
          <cell r="DA208">
            <v>0.7778</v>
          </cell>
          <cell r="DB208">
            <v>19</v>
          </cell>
          <cell r="DC208">
            <v>-0.1579</v>
          </cell>
          <cell r="DD208">
            <v>0.6957</v>
          </cell>
          <cell r="DE208">
            <v>0.3357</v>
          </cell>
          <cell r="DF208">
            <v>41</v>
          </cell>
          <cell r="DG208">
            <v>15</v>
          </cell>
          <cell r="DH208">
            <v>0.5499</v>
          </cell>
          <cell r="DI208">
            <v>16</v>
          </cell>
          <cell r="DJ208">
            <v>9</v>
          </cell>
          <cell r="DK208">
            <v>0.7778</v>
          </cell>
          <cell r="DL208">
            <v>17</v>
          </cell>
          <cell r="DM208">
            <v>-0.0588</v>
          </cell>
          <cell r="DN208">
            <v>18</v>
          </cell>
          <cell r="DO208">
            <v>28</v>
          </cell>
          <cell r="DP208">
            <v>-0.3571</v>
          </cell>
          <cell r="DQ208">
            <v>39</v>
          </cell>
          <cell r="DR208">
            <v>-0.5385</v>
          </cell>
          <cell r="DS208">
            <v>18</v>
          </cell>
          <cell r="DT208">
            <v>28</v>
          </cell>
          <cell r="DU208">
            <v>-0.3571</v>
          </cell>
          <cell r="DV208">
            <v>39</v>
          </cell>
          <cell r="DW208">
            <v>-0.5385</v>
          </cell>
          <cell r="DX208">
            <v>12</v>
          </cell>
          <cell r="DY208">
            <v>4</v>
          </cell>
          <cell r="DZ208">
            <v>2</v>
          </cell>
          <cell r="EA208">
            <v>12</v>
          </cell>
          <cell r="EB208">
            <v>0</v>
          </cell>
          <cell r="EC208">
            <v>6</v>
          </cell>
          <cell r="ED208">
            <v>3</v>
          </cell>
          <cell r="EE208">
            <v>1</v>
          </cell>
          <cell r="EF208">
            <v>5</v>
          </cell>
          <cell r="EG208">
            <v>0.2</v>
          </cell>
          <cell r="EH208">
            <v>0.5</v>
          </cell>
          <cell r="EI208">
            <v>-1</v>
          </cell>
          <cell r="EJ208">
            <v>15</v>
          </cell>
          <cell r="EK208">
            <v>7</v>
          </cell>
          <cell r="EL208">
            <v>0.7436</v>
          </cell>
          <cell r="EM208">
            <v>6</v>
          </cell>
          <cell r="EN208">
            <v>3</v>
          </cell>
          <cell r="EO208">
            <v>1</v>
          </cell>
          <cell r="EP208">
            <v>5</v>
          </cell>
          <cell r="EQ208">
            <v>0.2</v>
          </cell>
          <cell r="ER208">
            <v>13</v>
          </cell>
          <cell r="ES208">
            <v>37</v>
          </cell>
          <cell r="ET208">
            <v>-0.6486</v>
          </cell>
          <cell r="EU208">
            <v>48</v>
          </cell>
          <cell r="EV208">
            <v>-0.7292</v>
          </cell>
          <cell r="EW208">
            <v>1.0833</v>
          </cell>
          <cell r="EX208">
            <v>-17.4167</v>
          </cell>
          <cell r="EY208">
            <v>33</v>
          </cell>
          <cell r="EZ208">
            <v>-75</v>
          </cell>
          <cell r="FA208">
            <v>-0.6937</v>
          </cell>
        </row>
        <row r="209">
          <cell r="A209" t="str">
            <v>交通类</v>
          </cell>
          <cell r="B209" t="str">
            <v>云城区</v>
          </cell>
        </row>
        <row r="209">
          <cell r="AM209">
            <v>0</v>
          </cell>
          <cell r="AN209">
            <v>0</v>
          </cell>
          <cell r="AO209" t="str">
            <v>持平</v>
          </cell>
          <cell r="AP209">
            <v>0</v>
          </cell>
          <cell r="AQ209" t="str">
            <v>持平</v>
          </cell>
          <cell r="AR209" t="str">
            <v/>
          </cell>
          <cell r="AS209" t="str">
            <v/>
          </cell>
          <cell r="AT209">
            <v>0</v>
          </cell>
          <cell r="AU209">
            <v>0</v>
          </cell>
          <cell r="AV209" t="str">
            <v>持平</v>
          </cell>
          <cell r="AW209">
            <v>0</v>
          </cell>
          <cell r="AX209" t="str">
            <v>持平</v>
          </cell>
          <cell r="AY209">
            <v>0</v>
          </cell>
          <cell r="AZ209">
            <v>0</v>
          </cell>
          <cell r="BA209" t="str">
            <v>持平</v>
          </cell>
          <cell r="BB209">
            <v>0</v>
          </cell>
          <cell r="BC209" t="str">
            <v>持平</v>
          </cell>
          <cell r="BD209" t="str">
            <v/>
          </cell>
          <cell r="BE209" t="str">
            <v/>
          </cell>
          <cell r="BF209">
            <v>0</v>
          </cell>
          <cell r="BG209">
            <v>0</v>
          </cell>
          <cell r="BH209" t="str">
            <v>持平</v>
          </cell>
          <cell r="BI209">
            <v>0</v>
          </cell>
          <cell r="BJ209" t="str">
            <v>持平</v>
          </cell>
          <cell r="BK209" t="str">
            <v/>
          </cell>
          <cell r="BL209">
            <v>0</v>
          </cell>
          <cell r="BM209">
            <v>0</v>
          </cell>
          <cell r="BN209" t="str">
            <v>持平</v>
          </cell>
          <cell r="BO209">
            <v>0</v>
          </cell>
          <cell r="BP209" t="str">
            <v>持平</v>
          </cell>
          <cell r="BQ209">
            <v>0</v>
          </cell>
          <cell r="BR209">
            <v>0</v>
          </cell>
          <cell r="BS209" t="str">
            <v>持平</v>
          </cell>
          <cell r="BT209">
            <v>0</v>
          </cell>
          <cell r="BU209" t="str">
            <v>持平</v>
          </cell>
          <cell r="BV209" t="str">
            <v/>
          </cell>
          <cell r="BW209" t="str">
            <v/>
          </cell>
          <cell r="BX209" t="str">
            <v/>
          </cell>
          <cell r="BY209" t="str">
            <v/>
          </cell>
          <cell r="BZ209">
            <v>0</v>
          </cell>
          <cell r="CA209">
            <v>0</v>
          </cell>
          <cell r="CB209" t="str">
            <v>持平</v>
          </cell>
          <cell r="CC209">
            <v>0</v>
          </cell>
          <cell r="CD209" t="str">
            <v>持平</v>
          </cell>
          <cell r="CE209" t="str">
            <v/>
          </cell>
          <cell r="CF209" t="str">
            <v/>
          </cell>
          <cell r="CG209">
            <v>0</v>
          </cell>
          <cell r="CH209">
            <v>0</v>
          </cell>
          <cell r="CI209" t="str">
            <v>持平</v>
          </cell>
          <cell r="CJ209">
            <v>0</v>
          </cell>
          <cell r="CK209" t="str">
            <v>持平</v>
          </cell>
          <cell r="CL209" t="str">
            <v/>
          </cell>
          <cell r="CM209" t="str">
            <v/>
          </cell>
          <cell r="CN209" t="str">
            <v/>
          </cell>
          <cell r="CO209">
            <v>0</v>
          </cell>
          <cell r="CP209">
            <v>0</v>
          </cell>
          <cell r="CQ209" t="str">
            <v>持平</v>
          </cell>
          <cell r="CR209">
            <v>0</v>
          </cell>
          <cell r="CS209" t="str">
            <v>持平</v>
          </cell>
          <cell r="CT209" t="str">
            <v/>
          </cell>
          <cell r="CU209" t="str">
            <v/>
          </cell>
          <cell r="CV209" t="str">
            <v/>
          </cell>
          <cell r="CW209" t="str">
            <v/>
          </cell>
          <cell r="CX209" t="str">
            <v/>
          </cell>
          <cell r="CY209">
            <v>0</v>
          </cell>
          <cell r="CZ209">
            <v>0</v>
          </cell>
          <cell r="DA209" t="str">
            <v>持平</v>
          </cell>
          <cell r="DB209">
            <v>0</v>
          </cell>
          <cell r="DC209" t="str">
            <v>持平</v>
          </cell>
          <cell r="DD209" t="str">
            <v/>
          </cell>
          <cell r="DE209" t="str">
            <v/>
          </cell>
          <cell r="DF209" t="str">
            <v/>
          </cell>
          <cell r="DG209" t="str">
            <v/>
          </cell>
          <cell r="DH209" t="str">
            <v/>
          </cell>
          <cell r="DI209">
            <v>0</v>
          </cell>
          <cell r="DJ209">
            <v>0</v>
          </cell>
          <cell r="DK209" t="str">
            <v>持平</v>
          </cell>
          <cell r="DL209">
            <v>0</v>
          </cell>
          <cell r="DM209" t="str">
            <v>持平</v>
          </cell>
          <cell r="DN209">
            <v>0</v>
          </cell>
          <cell r="DO209">
            <v>0</v>
          </cell>
          <cell r="DP209" t="str">
            <v>持平</v>
          </cell>
          <cell r="DQ209">
            <v>0</v>
          </cell>
          <cell r="DR209" t="str">
            <v>持平</v>
          </cell>
          <cell r="DS209">
            <v>0</v>
          </cell>
          <cell r="DT209">
            <v>0</v>
          </cell>
          <cell r="DU209" t="str">
            <v>持平</v>
          </cell>
          <cell r="DV209">
            <v>0</v>
          </cell>
          <cell r="DW209" t="str">
            <v>持平</v>
          </cell>
          <cell r="DX209">
            <v>0</v>
          </cell>
          <cell r="DY209">
            <v>0</v>
          </cell>
          <cell r="DZ209" t="str">
            <v>持平</v>
          </cell>
          <cell r="EA209">
            <v>0</v>
          </cell>
          <cell r="EB209" t="str">
            <v>持平</v>
          </cell>
          <cell r="EC209">
            <v>0</v>
          </cell>
          <cell r="ED209">
            <v>0</v>
          </cell>
          <cell r="EE209" t="str">
            <v>持平</v>
          </cell>
          <cell r="EF209">
            <v>0</v>
          </cell>
          <cell r="EG209" t="str">
            <v>持平</v>
          </cell>
          <cell r="EH209" t="str">
            <v/>
          </cell>
          <cell r="EI209" t="str">
            <v/>
          </cell>
          <cell r="EJ209" t="str">
            <v/>
          </cell>
          <cell r="EK209" t="str">
            <v/>
          </cell>
          <cell r="EL209" t="str">
            <v/>
          </cell>
          <cell r="EM209">
            <v>0</v>
          </cell>
          <cell r="EN209">
            <v>0</v>
          </cell>
          <cell r="EO209" t="str">
            <v>持平</v>
          </cell>
          <cell r="EP209">
            <v>0</v>
          </cell>
          <cell r="EQ209" t="str">
            <v>持平</v>
          </cell>
          <cell r="ER209">
            <v>0</v>
          </cell>
          <cell r="ES209">
            <v>0</v>
          </cell>
          <cell r="ET209" t="str">
            <v>持平</v>
          </cell>
          <cell r="EU209">
            <v>0</v>
          </cell>
          <cell r="EV209" t="str">
            <v>持平</v>
          </cell>
          <cell r="EW209" t="str">
            <v/>
          </cell>
          <cell r="EX209" t="str">
            <v/>
          </cell>
          <cell r="EY209" t="str">
            <v/>
          </cell>
          <cell r="EZ209" t="str">
            <v/>
          </cell>
          <cell r="FA209" t="str">
            <v/>
          </cell>
        </row>
        <row r="210">
          <cell r="A210" t="str">
            <v>交通类</v>
          </cell>
          <cell r="B210" t="str">
            <v>云安区</v>
          </cell>
        </row>
        <row r="210">
          <cell r="AM210">
            <v>1</v>
          </cell>
          <cell r="AN210">
            <v>0</v>
          </cell>
          <cell r="AO210" t="str">
            <v>多1起</v>
          </cell>
          <cell r="AP210">
            <v>1</v>
          </cell>
          <cell r="AQ210">
            <v>0</v>
          </cell>
          <cell r="AR210">
            <v>1</v>
          </cell>
          <cell r="AS210">
            <v>1</v>
          </cell>
          <cell r="AT210">
            <v>0</v>
          </cell>
          <cell r="AU210">
            <v>0</v>
          </cell>
          <cell r="AV210" t="str">
            <v>持平</v>
          </cell>
          <cell r="AW210">
            <v>1</v>
          </cell>
          <cell r="AX210" t="str">
            <v>少1起</v>
          </cell>
          <cell r="AY210">
            <v>0</v>
          </cell>
          <cell r="AZ210">
            <v>0</v>
          </cell>
          <cell r="BA210" t="str">
            <v>持平</v>
          </cell>
          <cell r="BB210">
            <v>1</v>
          </cell>
          <cell r="BC210" t="str">
            <v>少1起</v>
          </cell>
          <cell r="BD210" t="str">
            <v/>
          </cell>
          <cell r="BE210" t="str">
            <v/>
          </cell>
          <cell r="BF210">
            <v>1</v>
          </cell>
          <cell r="BG210">
            <v>1</v>
          </cell>
          <cell r="BH210">
            <v>0</v>
          </cell>
          <cell r="BI210">
            <v>0</v>
          </cell>
          <cell r="BJ210" t="str">
            <v>多1起</v>
          </cell>
          <cell r="BK210">
            <v>1</v>
          </cell>
          <cell r="BL210">
            <v>1</v>
          </cell>
          <cell r="BM210">
            <v>0</v>
          </cell>
          <cell r="BN210" t="str">
            <v>多1起</v>
          </cell>
          <cell r="BO210">
            <v>0</v>
          </cell>
          <cell r="BP210" t="str">
            <v>多1起</v>
          </cell>
          <cell r="BQ210">
            <v>0</v>
          </cell>
          <cell r="BR210">
            <v>2</v>
          </cell>
          <cell r="BS210" t="str">
            <v>少2起</v>
          </cell>
          <cell r="BT210">
            <v>1</v>
          </cell>
          <cell r="BU210" t="str">
            <v>少1起</v>
          </cell>
          <cell r="BV210">
            <v>0</v>
          </cell>
          <cell r="BW210">
            <v>-2</v>
          </cell>
          <cell r="BX210" t="str">
            <v/>
          </cell>
          <cell r="BY210" t="str">
            <v/>
          </cell>
          <cell r="BZ210">
            <v>0</v>
          </cell>
          <cell r="CA210">
            <v>0</v>
          </cell>
          <cell r="CB210" t="str">
            <v>持平</v>
          </cell>
          <cell r="CC210">
            <v>0</v>
          </cell>
          <cell r="CD210" t="str">
            <v>持平</v>
          </cell>
          <cell r="CE210" t="str">
            <v/>
          </cell>
          <cell r="CF210" t="str">
            <v/>
          </cell>
          <cell r="CG210">
            <v>1</v>
          </cell>
          <cell r="CH210">
            <v>1</v>
          </cell>
          <cell r="CI210">
            <v>0</v>
          </cell>
          <cell r="CJ210">
            <v>1</v>
          </cell>
          <cell r="CK210">
            <v>0</v>
          </cell>
          <cell r="CL210">
            <v>100</v>
          </cell>
          <cell r="CM210">
            <v>0</v>
          </cell>
          <cell r="CN210">
            <v>0</v>
          </cell>
          <cell r="CO210">
            <v>1</v>
          </cell>
          <cell r="CP210">
            <v>0</v>
          </cell>
          <cell r="CQ210" t="str">
            <v>多1人</v>
          </cell>
          <cell r="CR210">
            <v>1</v>
          </cell>
          <cell r="CS210">
            <v>0</v>
          </cell>
          <cell r="CT210">
            <v>1</v>
          </cell>
          <cell r="CU210">
            <v>1</v>
          </cell>
          <cell r="CV210">
            <v>100</v>
          </cell>
          <cell r="CW210">
            <v>100</v>
          </cell>
          <cell r="CX210" t="str">
            <v/>
          </cell>
          <cell r="CY210">
            <v>1</v>
          </cell>
          <cell r="CZ210">
            <v>1</v>
          </cell>
          <cell r="DA210">
            <v>0</v>
          </cell>
          <cell r="DB210">
            <v>1</v>
          </cell>
          <cell r="DC210">
            <v>0</v>
          </cell>
          <cell r="DD210">
            <v>1</v>
          </cell>
          <cell r="DE210">
            <v>0</v>
          </cell>
          <cell r="DF210">
            <v>100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 t="str">
            <v>持平</v>
          </cell>
          <cell r="DL210">
            <v>0</v>
          </cell>
          <cell r="DM210" t="str">
            <v>持平</v>
          </cell>
          <cell r="DN210">
            <v>0</v>
          </cell>
          <cell r="DO210">
            <v>2</v>
          </cell>
          <cell r="DP210" t="str">
            <v>少2人</v>
          </cell>
          <cell r="DQ210">
            <v>0</v>
          </cell>
          <cell r="DR210" t="str">
            <v>持平</v>
          </cell>
          <cell r="DS210">
            <v>0</v>
          </cell>
          <cell r="DT210">
            <v>2</v>
          </cell>
          <cell r="DU210" t="str">
            <v>少2人</v>
          </cell>
          <cell r="DV210">
            <v>0</v>
          </cell>
          <cell r="DW210" t="str">
            <v>持平</v>
          </cell>
          <cell r="DX210">
            <v>1</v>
          </cell>
          <cell r="DY210">
            <v>1</v>
          </cell>
          <cell r="DZ210">
            <v>0</v>
          </cell>
          <cell r="EA210">
            <v>1</v>
          </cell>
          <cell r="EB210">
            <v>0</v>
          </cell>
          <cell r="EC210">
            <v>1</v>
          </cell>
          <cell r="ED210">
            <v>0</v>
          </cell>
          <cell r="EE210" t="str">
            <v>多1人</v>
          </cell>
          <cell r="EF210">
            <v>1</v>
          </cell>
          <cell r="EG210">
            <v>0</v>
          </cell>
          <cell r="EH210">
            <v>1</v>
          </cell>
          <cell r="EI210" t="str">
            <v/>
          </cell>
          <cell r="EJ210">
            <v>100</v>
          </cell>
          <cell r="EK210">
            <v>100</v>
          </cell>
          <cell r="EL210" t="str">
            <v/>
          </cell>
          <cell r="EM210">
            <v>1</v>
          </cell>
          <cell r="EN210">
            <v>0</v>
          </cell>
          <cell r="EO210" t="str">
            <v>多1人</v>
          </cell>
          <cell r="EP210">
            <v>1</v>
          </cell>
          <cell r="EQ210">
            <v>0</v>
          </cell>
          <cell r="ER210">
            <v>0</v>
          </cell>
          <cell r="ES210">
            <v>2</v>
          </cell>
          <cell r="ET210" t="str">
            <v>少2人</v>
          </cell>
          <cell r="EU210">
            <v>1</v>
          </cell>
          <cell r="EV210" t="str">
            <v>少1人</v>
          </cell>
          <cell r="EW210">
            <v>0</v>
          </cell>
          <cell r="EX210" t="str">
            <v/>
          </cell>
          <cell r="EY210">
            <v>0</v>
          </cell>
          <cell r="EZ210">
            <v>-200</v>
          </cell>
          <cell r="FA210">
            <v>-1</v>
          </cell>
        </row>
        <row r="211">
          <cell r="A211" t="str">
            <v>交通类</v>
          </cell>
          <cell r="B211" t="str">
            <v>新兴县</v>
          </cell>
        </row>
        <row r="211">
          <cell r="AM211">
            <v>5</v>
          </cell>
          <cell r="AN211">
            <v>5</v>
          </cell>
          <cell r="AO211">
            <v>0</v>
          </cell>
          <cell r="AP211">
            <v>15</v>
          </cell>
          <cell r="AQ211">
            <v>-0.6667</v>
          </cell>
          <cell r="AR211">
            <v>0.7143</v>
          </cell>
          <cell r="AS211">
            <v>-0.2857</v>
          </cell>
          <cell r="AT211">
            <v>2</v>
          </cell>
          <cell r="AU211">
            <v>0</v>
          </cell>
          <cell r="AV211" t="str">
            <v>多2起</v>
          </cell>
          <cell r="AW211">
            <v>7</v>
          </cell>
          <cell r="AX211">
            <v>-0.7143</v>
          </cell>
          <cell r="AY211">
            <v>0</v>
          </cell>
          <cell r="AZ211">
            <v>0</v>
          </cell>
          <cell r="BA211" t="str">
            <v>持平</v>
          </cell>
          <cell r="BB211">
            <v>15</v>
          </cell>
          <cell r="BC211" t="str">
            <v>少15起</v>
          </cell>
          <cell r="BD211">
            <v>0</v>
          </cell>
          <cell r="BE211" t="str">
            <v/>
          </cell>
          <cell r="BF211">
            <v>5</v>
          </cell>
          <cell r="BG211">
            <v>5</v>
          </cell>
          <cell r="BH211">
            <v>0</v>
          </cell>
          <cell r="BI211">
            <v>0</v>
          </cell>
          <cell r="BJ211" t="str">
            <v>多5起</v>
          </cell>
          <cell r="BK211">
            <v>0.7143</v>
          </cell>
          <cell r="BL211">
            <v>5</v>
          </cell>
          <cell r="BM211">
            <v>5</v>
          </cell>
          <cell r="BN211">
            <v>0</v>
          </cell>
          <cell r="BO211">
            <v>0</v>
          </cell>
          <cell r="BP211" t="str">
            <v>多5起</v>
          </cell>
          <cell r="BQ211">
            <v>2</v>
          </cell>
          <cell r="BR211">
            <v>6</v>
          </cell>
          <cell r="BS211">
            <v>-0.6667</v>
          </cell>
          <cell r="BT211">
            <v>15</v>
          </cell>
          <cell r="BU211">
            <v>-0.8667</v>
          </cell>
          <cell r="BV211">
            <v>0.2857</v>
          </cell>
          <cell r="BW211">
            <v>-0.9143</v>
          </cell>
          <cell r="BX211">
            <v>1</v>
          </cell>
          <cell r="BY211" t="str">
            <v/>
          </cell>
          <cell r="BZ211">
            <v>0</v>
          </cell>
          <cell r="CA211">
            <v>0</v>
          </cell>
          <cell r="CB211" t="str">
            <v>持平</v>
          </cell>
          <cell r="CC211">
            <v>0</v>
          </cell>
          <cell r="CD211" t="str">
            <v>持平</v>
          </cell>
          <cell r="CE211" t="str">
            <v/>
          </cell>
          <cell r="CF211" t="str">
            <v/>
          </cell>
          <cell r="CG211">
            <v>6</v>
          </cell>
          <cell r="CH211">
            <v>3</v>
          </cell>
          <cell r="CI211">
            <v>1</v>
          </cell>
          <cell r="CJ211">
            <v>4</v>
          </cell>
          <cell r="CK211">
            <v>0.5</v>
          </cell>
          <cell r="CL211">
            <v>86</v>
          </cell>
          <cell r="CM211">
            <v>26</v>
          </cell>
          <cell r="CN211">
            <v>0.4286</v>
          </cell>
          <cell r="CO211">
            <v>4</v>
          </cell>
          <cell r="CP211">
            <v>0</v>
          </cell>
          <cell r="CQ211" t="str">
            <v>多4人</v>
          </cell>
          <cell r="CR211">
            <v>4</v>
          </cell>
          <cell r="CS211">
            <v>0</v>
          </cell>
          <cell r="CT211">
            <v>0.6667</v>
          </cell>
          <cell r="CU211">
            <v>0.6667</v>
          </cell>
          <cell r="CV211">
            <v>57</v>
          </cell>
          <cell r="CW211">
            <v>57</v>
          </cell>
          <cell r="CX211" t="str">
            <v/>
          </cell>
          <cell r="CY211">
            <v>7</v>
          </cell>
          <cell r="CZ211">
            <v>3</v>
          </cell>
          <cell r="DA211">
            <v>1.3333</v>
          </cell>
          <cell r="DB211">
            <v>9</v>
          </cell>
          <cell r="DC211">
            <v>-0.2222</v>
          </cell>
          <cell r="DD211">
            <v>1.1667</v>
          </cell>
          <cell r="DE211">
            <v>0.1667</v>
          </cell>
          <cell r="DF211">
            <v>100</v>
          </cell>
          <cell r="DG211">
            <v>40</v>
          </cell>
          <cell r="DH211">
            <v>0.6667</v>
          </cell>
          <cell r="DI211">
            <v>7</v>
          </cell>
          <cell r="DJ211">
            <v>3</v>
          </cell>
          <cell r="DK211">
            <v>1.3333</v>
          </cell>
          <cell r="DL211">
            <v>8</v>
          </cell>
          <cell r="DM211">
            <v>-0.125</v>
          </cell>
          <cell r="DN211">
            <v>6</v>
          </cell>
          <cell r="DO211">
            <v>4</v>
          </cell>
          <cell r="DP211">
            <v>0.5</v>
          </cell>
          <cell r="DQ211">
            <v>8</v>
          </cell>
          <cell r="DR211">
            <v>-0.25</v>
          </cell>
          <cell r="DS211">
            <v>6</v>
          </cell>
          <cell r="DT211">
            <v>4</v>
          </cell>
          <cell r="DU211">
            <v>0.5</v>
          </cell>
          <cell r="DV211">
            <v>8</v>
          </cell>
          <cell r="DW211">
            <v>-0.25</v>
          </cell>
          <cell r="DX211">
            <v>6</v>
          </cell>
          <cell r="DY211">
            <v>0</v>
          </cell>
          <cell r="DZ211" t="str">
            <v>多6人</v>
          </cell>
          <cell r="EA211">
            <v>7</v>
          </cell>
          <cell r="EB211">
            <v>-0.1429</v>
          </cell>
          <cell r="EC211">
            <v>2</v>
          </cell>
          <cell r="ED211">
            <v>0</v>
          </cell>
          <cell r="EE211" t="str">
            <v>多2人</v>
          </cell>
          <cell r="EF211">
            <v>2</v>
          </cell>
          <cell r="EG211">
            <v>0</v>
          </cell>
          <cell r="EH211">
            <v>0.5</v>
          </cell>
          <cell r="EI211" t="str">
            <v/>
          </cell>
          <cell r="EJ211">
            <v>29</v>
          </cell>
          <cell r="EK211">
            <v>29</v>
          </cell>
          <cell r="EL211" t="str">
            <v/>
          </cell>
          <cell r="EM211">
            <v>2</v>
          </cell>
          <cell r="EN211">
            <v>0</v>
          </cell>
          <cell r="EO211" t="str">
            <v>多2人</v>
          </cell>
          <cell r="EP211">
            <v>2</v>
          </cell>
          <cell r="EQ211">
            <v>0</v>
          </cell>
          <cell r="ER211">
            <v>2</v>
          </cell>
          <cell r="ES211">
            <v>6</v>
          </cell>
          <cell r="ET211">
            <v>-0.6667</v>
          </cell>
          <cell r="EU211">
            <v>15</v>
          </cell>
          <cell r="EV211">
            <v>-0.8667</v>
          </cell>
          <cell r="EW211">
            <v>0.5</v>
          </cell>
          <cell r="EX211" t="str">
            <v/>
          </cell>
          <cell r="EY211">
            <v>29</v>
          </cell>
          <cell r="EZ211">
            <v>-91</v>
          </cell>
          <cell r="FA211">
            <v>-0.7619</v>
          </cell>
        </row>
        <row r="212">
          <cell r="A212" t="str">
            <v>交通类</v>
          </cell>
          <cell r="B212" t="str">
            <v>郁南县</v>
          </cell>
        </row>
        <row r="212">
          <cell r="AM212">
            <v>6</v>
          </cell>
          <cell r="AN212">
            <v>1</v>
          </cell>
          <cell r="AO212">
            <v>5</v>
          </cell>
          <cell r="AP212">
            <v>5</v>
          </cell>
          <cell r="AQ212">
            <v>0.2</v>
          </cell>
          <cell r="AR212">
            <v>0.75</v>
          </cell>
          <cell r="AS212">
            <v>0.4167</v>
          </cell>
          <cell r="AT212">
            <v>4</v>
          </cell>
          <cell r="AU212">
            <v>1</v>
          </cell>
          <cell r="AV212">
            <v>3</v>
          </cell>
          <cell r="AW212">
            <v>2</v>
          </cell>
          <cell r="AX212">
            <v>1</v>
          </cell>
          <cell r="AY212">
            <v>4</v>
          </cell>
          <cell r="AZ212">
            <v>0</v>
          </cell>
          <cell r="BA212" t="str">
            <v>多4起</v>
          </cell>
          <cell r="BB212">
            <v>5</v>
          </cell>
          <cell r="BC212">
            <v>-0.2</v>
          </cell>
          <cell r="BD212">
            <v>1</v>
          </cell>
          <cell r="BE212">
            <v>1</v>
          </cell>
          <cell r="BF212">
            <v>4</v>
          </cell>
          <cell r="BG212">
            <v>2</v>
          </cell>
          <cell r="BH212">
            <v>1</v>
          </cell>
          <cell r="BI212">
            <v>0</v>
          </cell>
          <cell r="BJ212" t="str">
            <v>多4起</v>
          </cell>
          <cell r="BK212">
            <v>0.5</v>
          </cell>
          <cell r="BL212">
            <v>2</v>
          </cell>
          <cell r="BM212">
            <v>1</v>
          </cell>
          <cell r="BN212">
            <v>1</v>
          </cell>
          <cell r="BO212">
            <v>0</v>
          </cell>
          <cell r="BP212" t="str">
            <v>多2起</v>
          </cell>
          <cell r="BQ212">
            <v>2</v>
          </cell>
          <cell r="BR212">
            <v>2</v>
          </cell>
          <cell r="BS212">
            <v>0</v>
          </cell>
          <cell r="BT212">
            <v>6</v>
          </cell>
          <cell r="BU212">
            <v>-0.6667</v>
          </cell>
          <cell r="BV212">
            <v>0.25</v>
          </cell>
          <cell r="BW212">
            <v>-0.4167</v>
          </cell>
          <cell r="BX212">
            <v>0.5</v>
          </cell>
          <cell r="BY212">
            <v>-1.5</v>
          </cell>
          <cell r="BZ212">
            <v>0</v>
          </cell>
          <cell r="CA212">
            <v>0</v>
          </cell>
          <cell r="CB212" t="str">
            <v>持平</v>
          </cell>
          <cell r="CC212">
            <v>0</v>
          </cell>
          <cell r="CD212" t="str">
            <v>持平</v>
          </cell>
          <cell r="CE212" t="str">
            <v/>
          </cell>
          <cell r="CF212" t="str">
            <v/>
          </cell>
          <cell r="CG212">
            <v>5</v>
          </cell>
          <cell r="CH212">
            <v>3</v>
          </cell>
          <cell r="CI212">
            <v>0.6667</v>
          </cell>
          <cell r="CJ212">
            <v>2</v>
          </cell>
          <cell r="CK212">
            <v>1.5</v>
          </cell>
          <cell r="CL212">
            <v>63</v>
          </cell>
          <cell r="CM212">
            <v>-38</v>
          </cell>
          <cell r="CN212">
            <v>-0.375</v>
          </cell>
          <cell r="CO212">
            <v>2</v>
          </cell>
          <cell r="CP212">
            <v>1</v>
          </cell>
          <cell r="CQ212">
            <v>1</v>
          </cell>
          <cell r="CR212">
            <v>0</v>
          </cell>
          <cell r="CS212" t="str">
            <v>多2人</v>
          </cell>
          <cell r="CT212">
            <v>0.4</v>
          </cell>
          <cell r="CU212">
            <v>0.0667</v>
          </cell>
          <cell r="CV212">
            <v>25</v>
          </cell>
          <cell r="CW212">
            <v>-8</v>
          </cell>
          <cell r="CX212">
            <v>-0.25</v>
          </cell>
          <cell r="CY212">
            <v>2</v>
          </cell>
          <cell r="CZ212">
            <v>1</v>
          </cell>
          <cell r="DA212">
            <v>1</v>
          </cell>
          <cell r="DB212">
            <v>1</v>
          </cell>
          <cell r="DC212">
            <v>1</v>
          </cell>
          <cell r="DD212">
            <v>0.4</v>
          </cell>
          <cell r="DE212">
            <v>0.0667</v>
          </cell>
          <cell r="DF212">
            <v>25</v>
          </cell>
          <cell r="DG212">
            <v>-8</v>
          </cell>
          <cell r="DH212">
            <v>-0.25</v>
          </cell>
          <cell r="DI212">
            <v>1</v>
          </cell>
          <cell r="DJ212">
            <v>1</v>
          </cell>
          <cell r="DK212">
            <v>0</v>
          </cell>
          <cell r="DL212">
            <v>1</v>
          </cell>
          <cell r="DM212">
            <v>0</v>
          </cell>
          <cell r="DN212">
            <v>6</v>
          </cell>
          <cell r="DO212">
            <v>1</v>
          </cell>
          <cell r="DP212">
            <v>5</v>
          </cell>
          <cell r="DQ212">
            <v>4</v>
          </cell>
          <cell r="DR212">
            <v>0.5</v>
          </cell>
          <cell r="DS212">
            <v>6</v>
          </cell>
          <cell r="DT212">
            <v>1</v>
          </cell>
          <cell r="DU212">
            <v>5</v>
          </cell>
          <cell r="DV212">
            <v>4</v>
          </cell>
          <cell r="DW212">
            <v>0.5</v>
          </cell>
          <cell r="DX212">
            <v>1</v>
          </cell>
          <cell r="DY212">
            <v>1</v>
          </cell>
          <cell r="DZ212">
            <v>0</v>
          </cell>
          <cell r="EA212">
            <v>1</v>
          </cell>
          <cell r="EB212">
            <v>0</v>
          </cell>
          <cell r="EC212">
            <v>0</v>
          </cell>
          <cell r="ED212">
            <v>1</v>
          </cell>
          <cell r="EE212" t="str">
            <v>少1人</v>
          </cell>
          <cell r="EF212">
            <v>0</v>
          </cell>
          <cell r="EG212" t="str">
            <v>持平</v>
          </cell>
          <cell r="EH212">
            <v>0</v>
          </cell>
          <cell r="EI212">
            <v>-1</v>
          </cell>
          <cell r="EJ212">
            <v>0</v>
          </cell>
          <cell r="EK212">
            <v>-33</v>
          </cell>
          <cell r="EL212">
            <v>-1</v>
          </cell>
          <cell r="EM212">
            <v>0</v>
          </cell>
          <cell r="EN212">
            <v>1</v>
          </cell>
          <cell r="EO212" t="str">
            <v>少1人</v>
          </cell>
          <cell r="EP212">
            <v>0</v>
          </cell>
          <cell r="EQ212" t="str">
            <v>持平</v>
          </cell>
          <cell r="ER212">
            <v>2</v>
          </cell>
          <cell r="ES212">
            <v>2</v>
          </cell>
          <cell r="ET212">
            <v>0</v>
          </cell>
          <cell r="EU212">
            <v>6</v>
          </cell>
          <cell r="EV212">
            <v>-0.6667</v>
          </cell>
          <cell r="EW212">
            <v>1</v>
          </cell>
          <cell r="EX212">
            <v>-1</v>
          </cell>
          <cell r="EY212">
            <v>25</v>
          </cell>
          <cell r="EZ212">
            <v>-42</v>
          </cell>
          <cell r="FA212">
            <v>-0.625</v>
          </cell>
        </row>
        <row r="213">
          <cell r="A213" t="str">
            <v>交通类</v>
          </cell>
          <cell r="B213" t="str">
            <v>罗定市</v>
          </cell>
        </row>
        <row r="213">
          <cell r="AM213">
            <v>5</v>
          </cell>
          <cell r="AN213">
            <v>8</v>
          </cell>
          <cell r="AO213">
            <v>-0.375</v>
          </cell>
          <cell r="AP213">
            <v>15</v>
          </cell>
          <cell r="AQ213">
            <v>-0.6667</v>
          </cell>
          <cell r="AR213">
            <v>0.3333</v>
          </cell>
          <cell r="AS213">
            <v>-1</v>
          </cell>
          <cell r="AT213">
            <v>4</v>
          </cell>
          <cell r="AU213">
            <v>0</v>
          </cell>
          <cell r="AV213" t="str">
            <v>多4起</v>
          </cell>
          <cell r="AW213">
            <v>11</v>
          </cell>
          <cell r="AX213">
            <v>-0.6364</v>
          </cell>
          <cell r="AY213">
            <v>1</v>
          </cell>
          <cell r="AZ213">
            <v>0</v>
          </cell>
          <cell r="BA213" t="str">
            <v>多1起</v>
          </cell>
          <cell r="BB213">
            <v>15</v>
          </cell>
          <cell r="BC213">
            <v>-0.9333</v>
          </cell>
          <cell r="BD213">
            <v>0.25</v>
          </cell>
          <cell r="BE213" t="str">
            <v/>
          </cell>
          <cell r="BF213">
            <v>11</v>
          </cell>
          <cell r="BG213">
            <v>6</v>
          </cell>
          <cell r="BH213">
            <v>0.8333</v>
          </cell>
          <cell r="BI213">
            <v>0</v>
          </cell>
          <cell r="BJ213" t="str">
            <v>多11起</v>
          </cell>
          <cell r="BK213">
            <v>0.7333</v>
          </cell>
          <cell r="BL213">
            <v>4</v>
          </cell>
          <cell r="BM213">
            <v>8</v>
          </cell>
          <cell r="BN213">
            <v>-0.5</v>
          </cell>
          <cell r="BO213">
            <v>0</v>
          </cell>
          <cell r="BP213" t="str">
            <v>多4起</v>
          </cell>
          <cell r="BQ213">
            <v>6</v>
          </cell>
          <cell r="BR213">
            <v>9</v>
          </cell>
          <cell r="BS213">
            <v>-0.3333</v>
          </cell>
          <cell r="BT213">
            <v>16</v>
          </cell>
          <cell r="BU213">
            <v>-0.625</v>
          </cell>
          <cell r="BV213">
            <v>0.4</v>
          </cell>
          <cell r="BW213">
            <v>-1.1</v>
          </cell>
          <cell r="BX213">
            <v>1.5</v>
          </cell>
          <cell r="BY213" t="str">
            <v/>
          </cell>
          <cell r="BZ213">
            <v>0</v>
          </cell>
          <cell r="CA213">
            <v>0</v>
          </cell>
          <cell r="CB213" t="str">
            <v>持平</v>
          </cell>
          <cell r="CC213">
            <v>0</v>
          </cell>
          <cell r="CD213" t="str">
            <v>持平</v>
          </cell>
          <cell r="CE213" t="str">
            <v/>
          </cell>
          <cell r="CF213" t="str">
            <v/>
          </cell>
          <cell r="CG213">
            <v>3</v>
          </cell>
          <cell r="CH213">
            <v>5</v>
          </cell>
          <cell r="CI213">
            <v>-0.4</v>
          </cell>
          <cell r="CJ213">
            <v>5</v>
          </cell>
          <cell r="CK213">
            <v>-0.4</v>
          </cell>
          <cell r="CL213">
            <v>20</v>
          </cell>
          <cell r="CM213">
            <v>-63</v>
          </cell>
          <cell r="CN213">
            <v>-0.76</v>
          </cell>
          <cell r="CO213">
            <v>1</v>
          </cell>
          <cell r="CP213">
            <v>0</v>
          </cell>
          <cell r="CQ213" t="str">
            <v>多1人</v>
          </cell>
          <cell r="CR213">
            <v>2</v>
          </cell>
          <cell r="CS213">
            <v>-0.5</v>
          </cell>
          <cell r="CT213">
            <v>0.3333</v>
          </cell>
          <cell r="CU213">
            <v>0.3333</v>
          </cell>
          <cell r="CV213">
            <v>7</v>
          </cell>
          <cell r="CW213">
            <v>7</v>
          </cell>
          <cell r="CX213" t="str">
            <v/>
          </cell>
          <cell r="CY213">
            <v>2</v>
          </cell>
          <cell r="CZ213">
            <v>3</v>
          </cell>
          <cell r="DA213">
            <v>-0.3333</v>
          </cell>
          <cell r="DB213">
            <v>5</v>
          </cell>
          <cell r="DC213">
            <v>-0.6</v>
          </cell>
          <cell r="DD213">
            <v>0.6667</v>
          </cell>
          <cell r="DE213">
            <v>0.0667</v>
          </cell>
          <cell r="DF213">
            <v>13</v>
          </cell>
          <cell r="DG213">
            <v>-37</v>
          </cell>
          <cell r="DH213">
            <v>-0.7333</v>
          </cell>
          <cell r="DI213">
            <v>1</v>
          </cell>
          <cell r="DJ213">
            <v>0</v>
          </cell>
          <cell r="DK213" t="str">
            <v>多1人</v>
          </cell>
          <cell r="DL213">
            <v>5</v>
          </cell>
          <cell r="DM213">
            <v>-0.8</v>
          </cell>
          <cell r="DN213">
            <v>4</v>
          </cell>
          <cell r="DO213">
            <v>11</v>
          </cell>
          <cell r="DP213">
            <v>-0.6364</v>
          </cell>
          <cell r="DQ213">
            <v>18</v>
          </cell>
          <cell r="DR213">
            <v>-0.7778</v>
          </cell>
          <cell r="DS213">
            <v>4</v>
          </cell>
          <cell r="DT213">
            <v>11</v>
          </cell>
          <cell r="DU213">
            <v>-0.6364</v>
          </cell>
          <cell r="DV213">
            <v>18</v>
          </cell>
          <cell r="DW213">
            <v>-0.7778</v>
          </cell>
          <cell r="DX213">
            <v>1</v>
          </cell>
          <cell r="DY213">
            <v>1</v>
          </cell>
          <cell r="DZ213">
            <v>0</v>
          </cell>
          <cell r="EA213">
            <v>1</v>
          </cell>
          <cell r="EB213">
            <v>0</v>
          </cell>
          <cell r="EC213">
            <v>1</v>
          </cell>
          <cell r="ED213">
            <v>0</v>
          </cell>
          <cell r="EE213" t="str">
            <v>多1人</v>
          </cell>
          <cell r="EF213">
            <v>0</v>
          </cell>
          <cell r="EG213" t="str">
            <v>多1人</v>
          </cell>
          <cell r="EH213">
            <v>1</v>
          </cell>
          <cell r="EI213" t="str">
            <v/>
          </cell>
          <cell r="EJ213">
            <v>7</v>
          </cell>
          <cell r="EK213">
            <v>7</v>
          </cell>
          <cell r="EL213" t="str">
            <v/>
          </cell>
          <cell r="EM213">
            <v>1</v>
          </cell>
          <cell r="EN213">
            <v>0</v>
          </cell>
          <cell r="EO213" t="str">
            <v>多1人</v>
          </cell>
          <cell r="EP213">
            <v>0</v>
          </cell>
          <cell r="EQ213" t="str">
            <v>多1人</v>
          </cell>
          <cell r="ER213">
            <v>6</v>
          </cell>
          <cell r="ES213">
            <v>10</v>
          </cell>
          <cell r="ET213">
            <v>-0.4</v>
          </cell>
          <cell r="EU213">
            <v>16</v>
          </cell>
          <cell r="EV213">
            <v>-0.625</v>
          </cell>
          <cell r="EW213">
            <v>6</v>
          </cell>
          <cell r="EX213" t="str">
            <v/>
          </cell>
          <cell r="EY213">
            <v>40</v>
          </cell>
          <cell r="EZ213">
            <v>-127</v>
          </cell>
          <cell r="FA213">
            <v>-0.76</v>
          </cell>
        </row>
        <row r="214">
          <cell r="A214" t="str">
            <v>危险驾驶案</v>
          </cell>
          <cell r="B214" t="str">
            <v>全省</v>
          </cell>
        </row>
        <row r="214">
          <cell r="AM214">
            <v>2812</v>
          </cell>
          <cell r="AN214">
            <v>2010</v>
          </cell>
          <cell r="AO214">
            <v>0.399</v>
          </cell>
          <cell r="AP214">
            <v>3604</v>
          </cell>
          <cell r="AQ214">
            <v>-0.2198</v>
          </cell>
          <cell r="AR214">
            <v>0.8812</v>
          </cell>
          <cell r="AS214">
            <v>0.1293</v>
          </cell>
          <cell r="AT214">
            <v>2463</v>
          </cell>
          <cell r="AU214">
            <v>1981</v>
          </cell>
          <cell r="AV214">
            <v>0.2433</v>
          </cell>
          <cell r="AW214">
            <v>3178</v>
          </cell>
          <cell r="AX214">
            <v>-0.225</v>
          </cell>
          <cell r="AY214">
            <v>1704</v>
          </cell>
          <cell r="AZ214">
            <v>1098</v>
          </cell>
          <cell r="BA214">
            <v>0.5519</v>
          </cell>
          <cell r="BB214">
            <v>3484</v>
          </cell>
          <cell r="BC214">
            <v>-0.5109</v>
          </cell>
          <cell r="BD214">
            <v>0.6918</v>
          </cell>
          <cell r="BE214">
            <v>0.1376</v>
          </cell>
          <cell r="BF214">
            <v>728</v>
          </cell>
          <cell r="BG214">
            <v>692</v>
          </cell>
          <cell r="BH214">
            <v>0.052</v>
          </cell>
          <cell r="BI214">
            <v>3</v>
          </cell>
          <cell r="BJ214">
            <v>241.6667</v>
          </cell>
          <cell r="BK214">
            <v>0.2281</v>
          </cell>
          <cell r="BL214">
            <v>1108</v>
          </cell>
          <cell r="BM214">
            <v>912</v>
          </cell>
          <cell r="BN214">
            <v>0.2149</v>
          </cell>
          <cell r="BO214">
            <v>120</v>
          </cell>
          <cell r="BP214">
            <v>8.2333</v>
          </cell>
          <cell r="BQ214">
            <v>2413</v>
          </cell>
          <cell r="BR214">
            <v>1905</v>
          </cell>
          <cell r="BS214">
            <v>0.2667</v>
          </cell>
          <cell r="BT214">
            <v>3417</v>
          </cell>
          <cell r="BU214">
            <v>-0.2938</v>
          </cell>
          <cell r="BV214">
            <v>0.7562</v>
          </cell>
          <cell r="BW214">
            <v>0.0435</v>
          </cell>
          <cell r="BX214">
            <v>0.9797</v>
          </cell>
          <cell r="BY214">
            <v>0.0181</v>
          </cell>
          <cell r="BZ214">
            <v>18</v>
          </cell>
          <cell r="CA214">
            <v>64</v>
          </cell>
          <cell r="CB214">
            <v>-0.7188</v>
          </cell>
          <cell r="CC214">
            <v>123</v>
          </cell>
          <cell r="CD214">
            <v>-0.8537</v>
          </cell>
          <cell r="CE214" t="str">
            <v/>
          </cell>
          <cell r="CF214" t="str">
            <v/>
          </cell>
          <cell r="CG214">
            <v>3681</v>
          </cell>
          <cell r="CH214">
            <v>3329</v>
          </cell>
          <cell r="CI214">
            <v>0.1057</v>
          </cell>
          <cell r="CJ214">
            <v>4167</v>
          </cell>
          <cell r="CK214">
            <v>-0.1166</v>
          </cell>
          <cell r="CL214">
            <v>115</v>
          </cell>
          <cell r="CM214">
            <v>-9</v>
          </cell>
          <cell r="CN214">
            <v>-0.0738</v>
          </cell>
          <cell r="CO214">
            <v>739</v>
          </cell>
          <cell r="CP214">
            <v>251</v>
          </cell>
          <cell r="CQ214">
            <v>1.9442</v>
          </cell>
          <cell r="CR214">
            <v>821</v>
          </cell>
          <cell r="CS214">
            <v>-0.0999</v>
          </cell>
          <cell r="CT214">
            <v>0.2008</v>
          </cell>
          <cell r="CU214">
            <v>0.1254</v>
          </cell>
          <cell r="CV214">
            <v>23</v>
          </cell>
          <cell r="CW214">
            <v>14</v>
          </cell>
          <cell r="CX214">
            <v>1.4663</v>
          </cell>
          <cell r="CY214">
            <v>2607</v>
          </cell>
          <cell r="CZ214">
            <v>1509</v>
          </cell>
          <cell r="DA214">
            <v>0.7276</v>
          </cell>
          <cell r="DB214">
            <v>2899</v>
          </cell>
          <cell r="DC214">
            <v>-0.1007</v>
          </cell>
          <cell r="DD214">
            <v>0.7082</v>
          </cell>
          <cell r="DE214">
            <v>0.2549</v>
          </cell>
          <cell r="DF214">
            <v>82</v>
          </cell>
          <cell r="DG214">
            <v>25</v>
          </cell>
          <cell r="DH214">
            <v>0.4472</v>
          </cell>
          <cell r="DI214">
            <v>2519</v>
          </cell>
          <cell r="DJ214">
            <v>1509</v>
          </cell>
          <cell r="DK214">
            <v>0.6693</v>
          </cell>
          <cell r="DL214">
            <v>2830</v>
          </cell>
          <cell r="DM214">
            <v>-0.1099</v>
          </cell>
          <cell r="DN214">
            <v>2649</v>
          </cell>
          <cell r="DO214">
            <v>2073</v>
          </cell>
          <cell r="DP214">
            <v>0.2779</v>
          </cell>
          <cell r="DQ214">
            <v>2997</v>
          </cell>
          <cell r="DR214">
            <v>-0.1161</v>
          </cell>
          <cell r="DS214">
            <v>2652</v>
          </cell>
          <cell r="DT214">
            <v>2073</v>
          </cell>
          <cell r="DU214">
            <v>0.2793</v>
          </cell>
          <cell r="DV214">
            <v>3003</v>
          </cell>
          <cell r="DW214">
            <v>-0.1169</v>
          </cell>
          <cell r="DX214">
            <v>23</v>
          </cell>
          <cell r="DY214">
            <v>22</v>
          </cell>
          <cell r="DZ214">
            <v>0.0455</v>
          </cell>
          <cell r="EA214">
            <v>35</v>
          </cell>
          <cell r="EB214">
            <v>-0.3429</v>
          </cell>
          <cell r="EC214">
            <v>49</v>
          </cell>
          <cell r="ED214">
            <v>43</v>
          </cell>
          <cell r="EE214">
            <v>0.1395</v>
          </cell>
          <cell r="EF214">
            <v>64</v>
          </cell>
          <cell r="EG214">
            <v>-0.2344</v>
          </cell>
          <cell r="EH214">
            <v>0.0663</v>
          </cell>
          <cell r="EI214">
            <v>-0.105</v>
          </cell>
          <cell r="EJ214">
            <v>2</v>
          </cell>
          <cell r="EK214">
            <v>0</v>
          </cell>
          <cell r="EL214">
            <v>-0.0454</v>
          </cell>
          <cell r="EM214">
            <v>64</v>
          </cell>
          <cell r="EN214">
            <v>66</v>
          </cell>
          <cell r="EO214">
            <v>-0.0303</v>
          </cell>
          <cell r="EP214">
            <v>74</v>
          </cell>
          <cell r="EQ214">
            <v>-0.1351</v>
          </cell>
          <cell r="ER214">
            <v>2527</v>
          </cell>
          <cell r="ES214">
            <v>1913</v>
          </cell>
          <cell r="ET214">
            <v>0.321</v>
          </cell>
          <cell r="EU214">
            <v>3433</v>
          </cell>
          <cell r="EV214">
            <v>-0.2639</v>
          </cell>
          <cell r="EW214">
            <v>3.4195</v>
          </cell>
          <cell r="EX214">
            <v>-4.202</v>
          </cell>
          <cell r="EY214">
            <v>79</v>
          </cell>
          <cell r="EZ214">
            <v>8</v>
          </cell>
          <cell r="FA214">
            <v>0.1065</v>
          </cell>
        </row>
        <row r="215">
          <cell r="A215" t="str">
            <v>危险驾驶案</v>
          </cell>
          <cell r="B215" t="str">
            <v>云浮</v>
          </cell>
        </row>
        <row r="215">
          <cell r="AM215">
            <v>10</v>
          </cell>
          <cell r="AN215">
            <v>9</v>
          </cell>
          <cell r="AO215">
            <v>0.1111</v>
          </cell>
          <cell r="AP215">
            <v>34</v>
          </cell>
          <cell r="AQ215">
            <v>-0.7059</v>
          </cell>
          <cell r="AR215">
            <v>0.4</v>
          </cell>
          <cell r="AS215">
            <v>0.0538</v>
          </cell>
          <cell r="AT215">
            <v>12</v>
          </cell>
          <cell r="AU215">
            <v>13</v>
          </cell>
          <cell r="AV215">
            <v>-0.0769</v>
          </cell>
          <cell r="AW215">
            <v>17</v>
          </cell>
          <cell r="AX215">
            <v>-0.2941</v>
          </cell>
          <cell r="AY215">
            <v>6</v>
          </cell>
          <cell r="AZ215">
            <v>0</v>
          </cell>
          <cell r="BA215" t="str">
            <v>多6起</v>
          </cell>
          <cell r="BB215">
            <v>34</v>
          </cell>
          <cell r="BC215">
            <v>-0.8235</v>
          </cell>
          <cell r="BD215">
            <v>0.5</v>
          </cell>
          <cell r="BE215">
            <v>0.5</v>
          </cell>
          <cell r="BF215">
            <v>13</v>
          </cell>
          <cell r="BG215">
            <v>13</v>
          </cell>
          <cell r="BH215">
            <v>0</v>
          </cell>
          <cell r="BI215">
            <v>0</v>
          </cell>
          <cell r="BJ215" t="str">
            <v>多13起</v>
          </cell>
          <cell r="BK215">
            <v>0.52</v>
          </cell>
          <cell r="BL215">
            <v>4</v>
          </cell>
          <cell r="BM215">
            <v>9</v>
          </cell>
          <cell r="BN215">
            <v>-0.5556</v>
          </cell>
          <cell r="BO215">
            <v>0</v>
          </cell>
          <cell r="BP215" t="str">
            <v>多4起</v>
          </cell>
          <cell r="BQ215">
            <v>9</v>
          </cell>
          <cell r="BR215">
            <v>25</v>
          </cell>
          <cell r="BS215">
            <v>-0.64</v>
          </cell>
          <cell r="BT215">
            <v>34</v>
          </cell>
          <cell r="BU215">
            <v>-0.7353</v>
          </cell>
          <cell r="BV215">
            <v>0.36</v>
          </cell>
          <cell r="BW215">
            <v>-0.6015</v>
          </cell>
          <cell r="BX215">
            <v>0.75</v>
          </cell>
          <cell r="BY215">
            <v>-1.1731</v>
          </cell>
          <cell r="BZ215">
            <v>0</v>
          </cell>
          <cell r="CA215">
            <v>0</v>
          </cell>
          <cell r="CB215" t="str">
            <v>持平</v>
          </cell>
          <cell r="CC215">
            <v>0</v>
          </cell>
          <cell r="CD215" t="str">
            <v>持平</v>
          </cell>
          <cell r="CE215" t="str">
            <v/>
          </cell>
          <cell r="CF215" t="str">
            <v/>
          </cell>
          <cell r="CG215">
            <v>14</v>
          </cell>
          <cell r="CH215">
            <v>19</v>
          </cell>
          <cell r="CI215">
            <v>-0.2632</v>
          </cell>
          <cell r="CJ215">
            <v>7</v>
          </cell>
          <cell r="CK215">
            <v>1</v>
          </cell>
          <cell r="CL215">
            <v>56</v>
          </cell>
          <cell r="CM215">
            <v>-17</v>
          </cell>
          <cell r="CN215">
            <v>-0.2337</v>
          </cell>
          <cell r="CO215">
            <v>2</v>
          </cell>
          <cell r="CP215">
            <v>1</v>
          </cell>
          <cell r="CQ215">
            <v>1</v>
          </cell>
          <cell r="CR215">
            <v>1</v>
          </cell>
          <cell r="CS215">
            <v>1</v>
          </cell>
          <cell r="CT215">
            <v>0.1429</v>
          </cell>
          <cell r="CU215">
            <v>0.0902</v>
          </cell>
          <cell r="CV215">
            <v>8</v>
          </cell>
          <cell r="CW215">
            <v>4</v>
          </cell>
          <cell r="CX215">
            <v>1.08</v>
          </cell>
          <cell r="CY215">
            <v>3</v>
          </cell>
          <cell r="CZ215">
            <v>4</v>
          </cell>
          <cell r="DA215">
            <v>-0.25</v>
          </cell>
          <cell r="DB215">
            <v>2</v>
          </cell>
          <cell r="DC215">
            <v>0.5</v>
          </cell>
          <cell r="DD215">
            <v>0.2143</v>
          </cell>
          <cell r="DE215">
            <v>0.0038</v>
          </cell>
          <cell r="DF215">
            <v>12</v>
          </cell>
          <cell r="DG215">
            <v>-3</v>
          </cell>
          <cell r="DH215">
            <v>-0.22</v>
          </cell>
          <cell r="DI215">
            <v>3</v>
          </cell>
          <cell r="DJ215">
            <v>4</v>
          </cell>
          <cell r="DK215">
            <v>-0.25</v>
          </cell>
          <cell r="DL215">
            <v>1</v>
          </cell>
          <cell r="DM215">
            <v>2</v>
          </cell>
          <cell r="DN215">
            <v>12</v>
          </cell>
          <cell r="DO215">
            <v>21</v>
          </cell>
          <cell r="DP215">
            <v>-0.4286</v>
          </cell>
          <cell r="DQ215">
            <v>25</v>
          </cell>
          <cell r="DR215">
            <v>-0.52</v>
          </cell>
          <cell r="DS215">
            <v>12</v>
          </cell>
          <cell r="DT215">
            <v>21</v>
          </cell>
          <cell r="DU215">
            <v>-0.4286</v>
          </cell>
          <cell r="DV215">
            <v>25</v>
          </cell>
          <cell r="DW215">
            <v>-0.52</v>
          </cell>
          <cell r="DX215">
            <v>0</v>
          </cell>
          <cell r="DY215">
            <v>0</v>
          </cell>
          <cell r="DZ215" t="str">
            <v>持平</v>
          </cell>
          <cell r="EA215">
            <v>0</v>
          </cell>
          <cell r="EB215" t="str">
            <v>持平</v>
          </cell>
          <cell r="EC215">
            <v>1</v>
          </cell>
          <cell r="ED215">
            <v>1</v>
          </cell>
          <cell r="EE215">
            <v>0</v>
          </cell>
          <cell r="EF215">
            <v>1</v>
          </cell>
          <cell r="EG215">
            <v>0</v>
          </cell>
          <cell r="EH215">
            <v>0.5</v>
          </cell>
          <cell r="EI215">
            <v>-0.5</v>
          </cell>
          <cell r="EJ215">
            <v>4</v>
          </cell>
          <cell r="EK215">
            <v>0</v>
          </cell>
          <cell r="EL215">
            <v>0.04</v>
          </cell>
          <cell r="EM215">
            <v>1</v>
          </cell>
          <cell r="EN215">
            <v>1</v>
          </cell>
          <cell r="EO215">
            <v>0</v>
          </cell>
          <cell r="EP215">
            <v>1</v>
          </cell>
          <cell r="EQ215">
            <v>0</v>
          </cell>
          <cell r="ER215">
            <v>9</v>
          </cell>
          <cell r="ES215">
            <v>26</v>
          </cell>
          <cell r="ET215">
            <v>-0.6538</v>
          </cell>
          <cell r="EU215">
            <v>34</v>
          </cell>
          <cell r="EV215">
            <v>-0.7353</v>
          </cell>
          <cell r="EW215">
            <v>4.5</v>
          </cell>
          <cell r="EX215">
            <v>-21.5</v>
          </cell>
          <cell r="EY215">
            <v>36</v>
          </cell>
          <cell r="EZ215">
            <v>-64</v>
          </cell>
          <cell r="FA215">
            <v>-0.64</v>
          </cell>
        </row>
        <row r="216">
          <cell r="A216" t="str">
            <v>危险驾驶案</v>
          </cell>
          <cell r="B216" t="str">
            <v>云城区</v>
          </cell>
        </row>
        <row r="216">
          <cell r="AM216">
            <v>0</v>
          </cell>
          <cell r="AN216">
            <v>0</v>
          </cell>
          <cell r="AO216" t="str">
            <v>持平</v>
          </cell>
          <cell r="AP216">
            <v>0</v>
          </cell>
          <cell r="AQ216" t="str">
            <v>持平</v>
          </cell>
          <cell r="AR216" t="str">
            <v/>
          </cell>
          <cell r="AS216" t="str">
            <v/>
          </cell>
          <cell r="AT216">
            <v>0</v>
          </cell>
          <cell r="AU216">
            <v>0</v>
          </cell>
          <cell r="AV216" t="str">
            <v>持平</v>
          </cell>
          <cell r="AW216">
            <v>0</v>
          </cell>
          <cell r="AX216" t="str">
            <v>持平</v>
          </cell>
          <cell r="AY216">
            <v>0</v>
          </cell>
          <cell r="AZ216">
            <v>0</v>
          </cell>
          <cell r="BA216" t="str">
            <v>持平</v>
          </cell>
          <cell r="BB216">
            <v>0</v>
          </cell>
          <cell r="BC216" t="str">
            <v>持平</v>
          </cell>
          <cell r="BD216" t="str">
            <v/>
          </cell>
          <cell r="BE216" t="str">
            <v/>
          </cell>
          <cell r="BF216">
            <v>0</v>
          </cell>
          <cell r="BG216">
            <v>0</v>
          </cell>
          <cell r="BH216" t="str">
            <v>持平</v>
          </cell>
          <cell r="BI216">
            <v>0</v>
          </cell>
          <cell r="BJ216" t="str">
            <v>持平</v>
          </cell>
          <cell r="BK216" t="str">
            <v/>
          </cell>
          <cell r="BL216">
            <v>0</v>
          </cell>
          <cell r="BM216">
            <v>0</v>
          </cell>
          <cell r="BN216" t="str">
            <v>持平</v>
          </cell>
          <cell r="BO216">
            <v>0</v>
          </cell>
          <cell r="BP216" t="str">
            <v>持平</v>
          </cell>
          <cell r="BQ216">
            <v>0</v>
          </cell>
          <cell r="BR216">
            <v>0</v>
          </cell>
          <cell r="BS216" t="str">
            <v>持平</v>
          </cell>
          <cell r="BT216">
            <v>0</v>
          </cell>
          <cell r="BU216" t="str">
            <v>持平</v>
          </cell>
          <cell r="BV216" t="str">
            <v/>
          </cell>
          <cell r="BW216" t="str">
            <v/>
          </cell>
          <cell r="BX216" t="str">
            <v/>
          </cell>
          <cell r="BY216" t="str">
            <v/>
          </cell>
          <cell r="BZ216">
            <v>0</v>
          </cell>
          <cell r="CA216">
            <v>0</v>
          </cell>
          <cell r="CB216" t="str">
            <v>持平</v>
          </cell>
          <cell r="CC216">
            <v>0</v>
          </cell>
          <cell r="CD216" t="str">
            <v>持平</v>
          </cell>
          <cell r="CE216" t="str">
            <v/>
          </cell>
          <cell r="CF216" t="str">
            <v/>
          </cell>
          <cell r="CG216">
            <v>0</v>
          </cell>
          <cell r="CH216">
            <v>0</v>
          </cell>
          <cell r="CI216" t="str">
            <v>持平</v>
          </cell>
          <cell r="CJ216">
            <v>0</v>
          </cell>
          <cell r="CK216" t="str">
            <v>持平</v>
          </cell>
          <cell r="CL216" t="str">
            <v/>
          </cell>
          <cell r="CM216" t="str">
            <v/>
          </cell>
          <cell r="CN216" t="str">
            <v/>
          </cell>
          <cell r="CO216">
            <v>0</v>
          </cell>
          <cell r="CP216">
            <v>0</v>
          </cell>
          <cell r="CQ216" t="str">
            <v>持平</v>
          </cell>
          <cell r="CR216">
            <v>0</v>
          </cell>
          <cell r="CS216" t="str">
            <v>持平</v>
          </cell>
          <cell r="CT216" t="str">
            <v/>
          </cell>
          <cell r="CU216" t="str">
            <v/>
          </cell>
          <cell r="CV216" t="str">
            <v/>
          </cell>
          <cell r="CW216" t="str">
            <v/>
          </cell>
          <cell r="CX216" t="str">
            <v/>
          </cell>
          <cell r="CY216">
            <v>0</v>
          </cell>
          <cell r="CZ216">
            <v>0</v>
          </cell>
          <cell r="DA216" t="str">
            <v>持平</v>
          </cell>
          <cell r="DB216">
            <v>0</v>
          </cell>
          <cell r="DC216" t="str">
            <v>持平</v>
          </cell>
          <cell r="DD216" t="str">
            <v/>
          </cell>
          <cell r="DE216" t="str">
            <v/>
          </cell>
          <cell r="DF216" t="str">
            <v/>
          </cell>
          <cell r="DG216" t="str">
            <v/>
          </cell>
          <cell r="DH216" t="str">
            <v/>
          </cell>
          <cell r="DI216">
            <v>0</v>
          </cell>
          <cell r="DJ216">
            <v>0</v>
          </cell>
          <cell r="DK216" t="str">
            <v>持平</v>
          </cell>
          <cell r="DL216">
            <v>0</v>
          </cell>
          <cell r="DM216" t="str">
            <v>持平</v>
          </cell>
          <cell r="DN216">
            <v>0</v>
          </cell>
          <cell r="DO216">
            <v>0</v>
          </cell>
          <cell r="DP216" t="str">
            <v>持平</v>
          </cell>
          <cell r="DQ216">
            <v>0</v>
          </cell>
          <cell r="DR216" t="str">
            <v>持平</v>
          </cell>
          <cell r="DS216">
            <v>0</v>
          </cell>
          <cell r="DT216">
            <v>0</v>
          </cell>
          <cell r="DU216" t="str">
            <v>持平</v>
          </cell>
          <cell r="DV216">
            <v>0</v>
          </cell>
          <cell r="DW216" t="str">
            <v>持平</v>
          </cell>
          <cell r="DX216">
            <v>0</v>
          </cell>
          <cell r="DY216">
            <v>0</v>
          </cell>
          <cell r="DZ216" t="str">
            <v>持平</v>
          </cell>
          <cell r="EA216">
            <v>0</v>
          </cell>
          <cell r="EB216" t="str">
            <v>持平</v>
          </cell>
          <cell r="EC216">
            <v>0</v>
          </cell>
          <cell r="ED216">
            <v>0</v>
          </cell>
          <cell r="EE216" t="str">
            <v>持平</v>
          </cell>
          <cell r="EF216">
            <v>0</v>
          </cell>
          <cell r="EG216" t="str">
            <v>持平</v>
          </cell>
          <cell r="EH216" t="str">
            <v/>
          </cell>
          <cell r="EI216" t="str">
            <v/>
          </cell>
          <cell r="EJ216" t="str">
            <v/>
          </cell>
          <cell r="EK216" t="str">
            <v/>
          </cell>
          <cell r="EL216" t="str">
            <v/>
          </cell>
          <cell r="EM216">
            <v>0</v>
          </cell>
          <cell r="EN216">
            <v>0</v>
          </cell>
          <cell r="EO216" t="str">
            <v>持平</v>
          </cell>
          <cell r="EP216">
            <v>0</v>
          </cell>
          <cell r="EQ216" t="str">
            <v>持平</v>
          </cell>
          <cell r="ER216">
            <v>0</v>
          </cell>
          <cell r="ES216">
            <v>0</v>
          </cell>
          <cell r="ET216" t="str">
            <v>持平</v>
          </cell>
          <cell r="EU216">
            <v>0</v>
          </cell>
          <cell r="EV216" t="str">
            <v>持平</v>
          </cell>
          <cell r="EW216" t="str">
            <v/>
          </cell>
          <cell r="EX216" t="str">
            <v/>
          </cell>
          <cell r="EY216" t="str">
            <v/>
          </cell>
          <cell r="EZ216" t="str">
            <v/>
          </cell>
          <cell r="FA216" t="str">
            <v/>
          </cell>
        </row>
        <row r="217">
          <cell r="A217" t="str">
            <v>危险驾驶案</v>
          </cell>
          <cell r="B217" t="str">
            <v>云安区</v>
          </cell>
        </row>
        <row r="217">
          <cell r="AM217">
            <v>0</v>
          </cell>
          <cell r="AN217">
            <v>0</v>
          </cell>
          <cell r="AO217" t="str">
            <v>持平</v>
          </cell>
          <cell r="AP217">
            <v>0</v>
          </cell>
          <cell r="AQ217" t="str">
            <v>持平</v>
          </cell>
          <cell r="AR217" t="str">
            <v/>
          </cell>
          <cell r="AS217" t="str">
            <v/>
          </cell>
          <cell r="AT217">
            <v>0</v>
          </cell>
          <cell r="AU217">
            <v>0</v>
          </cell>
          <cell r="AV217" t="str">
            <v>持平</v>
          </cell>
          <cell r="AW217">
            <v>0</v>
          </cell>
          <cell r="AX217" t="str">
            <v>持平</v>
          </cell>
          <cell r="AY217">
            <v>0</v>
          </cell>
          <cell r="AZ217">
            <v>0</v>
          </cell>
          <cell r="BA217" t="str">
            <v>持平</v>
          </cell>
          <cell r="BB217">
            <v>0</v>
          </cell>
          <cell r="BC217" t="str">
            <v>持平</v>
          </cell>
          <cell r="BD217" t="str">
            <v/>
          </cell>
          <cell r="BE217" t="str">
            <v/>
          </cell>
          <cell r="BF217">
            <v>0</v>
          </cell>
          <cell r="BG217">
            <v>0</v>
          </cell>
          <cell r="BH217" t="str">
            <v>持平</v>
          </cell>
          <cell r="BI217">
            <v>0</v>
          </cell>
          <cell r="BJ217" t="str">
            <v>持平</v>
          </cell>
          <cell r="BK217" t="str">
            <v/>
          </cell>
          <cell r="BL217">
            <v>0</v>
          </cell>
          <cell r="BM217">
            <v>0</v>
          </cell>
          <cell r="BN217" t="str">
            <v>持平</v>
          </cell>
          <cell r="BO217">
            <v>0</v>
          </cell>
          <cell r="BP217" t="str">
            <v>持平</v>
          </cell>
          <cell r="BQ217">
            <v>0</v>
          </cell>
          <cell r="BR217">
            <v>0</v>
          </cell>
          <cell r="BS217" t="str">
            <v>持平</v>
          </cell>
          <cell r="BT217">
            <v>0</v>
          </cell>
          <cell r="BU217" t="str">
            <v>持平</v>
          </cell>
          <cell r="BV217" t="str">
            <v/>
          </cell>
          <cell r="BW217" t="str">
            <v/>
          </cell>
          <cell r="BX217" t="str">
            <v/>
          </cell>
          <cell r="BY217" t="str">
            <v/>
          </cell>
          <cell r="BZ217">
            <v>0</v>
          </cell>
          <cell r="CA217">
            <v>0</v>
          </cell>
          <cell r="CB217" t="str">
            <v>持平</v>
          </cell>
          <cell r="CC217">
            <v>0</v>
          </cell>
          <cell r="CD217" t="str">
            <v>持平</v>
          </cell>
          <cell r="CE217" t="str">
            <v/>
          </cell>
          <cell r="CF217" t="str">
            <v/>
          </cell>
          <cell r="CG217">
            <v>0</v>
          </cell>
          <cell r="CH217">
            <v>0</v>
          </cell>
          <cell r="CI217" t="str">
            <v>持平</v>
          </cell>
          <cell r="CJ217">
            <v>0</v>
          </cell>
          <cell r="CK217" t="str">
            <v>持平</v>
          </cell>
          <cell r="CL217" t="str">
            <v/>
          </cell>
          <cell r="CM217" t="str">
            <v/>
          </cell>
          <cell r="CN217" t="str">
            <v/>
          </cell>
          <cell r="CO217">
            <v>0</v>
          </cell>
          <cell r="CP217">
            <v>0</v>
          </cell>
          <cell r="CQ217" t="str">
            <v>持平</v>
          </cell>
          <cell r="CR217">
            <v>0</v>
          </cell>
          <cell r="CS217" t="str">
            <v>持平</v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>
            <v>0</v>
          </cell>
          <cell r="CZ217">
            <v>0</v>
          </cell>
          <cell r="DA217" t="str">
            <v>持平</v>
          </cell>
          <cell r="DB217">
            <v>0</v>
          </cell>
          <cell r="DC217" t="str">
            <v>持平</v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>
            <v>0</v>
          </cell>
          <cell r="DJ217">
            <v>0</v>
          </cell>
          <cell r="DK217" t="str">
            <v>持平</v>
          </cell>
          <cell r="DL217">
            <v>0</v>
          </cell>
          <cell r="DM217" t="str">
            <v>持平</v>
          </cell>
          <cell r="DN217">
            <v>0</v>
          </cell>
          <cell r="DO217">
            <v>0</v>
          </cell>
          <cell r="DP217" t="str">
            <v>持平</v>
          </cell>
          <cell r="DQ217">
            <v>0</v>
          </cell>
          <cell r="DR217" t="str">
            <v>持平</v>
          </cell>
          <cell r="DS217">
            <v>0</v>
          </cell>
          <cell r="DT217">
            <v>0</v>
          </cell>
          <cell r="DU217" t="str">
            <v>持平</v>
          </cell>
          <cell r="DV217">
            <v>0</v>
          </cell>
          <cell r="DW217" t="str">
            <v>持平</v>
          </cell>
          <cell r="DX217">
            <v>0</v>
          </cell>
          <cell r="DY217">
            <v>0</v>
          </cell>
          <cell r="DZ217" t="str">
            <v>持平</v>
          </cell>
          <cell r="EA217">
            <v>0</v>
          </cell>
          <cell r="EB217" t="str">
            <v>持平</v>
          </cell>
          <cell r="EC217">
            <v>0</v>
          </cell>
          <cell r="ED217">
            <v>0</v>
          </cell>
          <cell r="EE217" t="str">
            <v>持平</v>
          </cell>
          <cell r="EF217">
            <v>0</v>
          </cell>
          <cell r="EG217" t="str">
            <v>持平</v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>
            <v>0</v>
          </cell>
          <cell r="EN217">
            <v>0</v>
          </cell>
          <cell r="EO217" t="str">
            <v>持平</v>
          </cell>
          <cell r="EP217">
            <v>0</v>
          </cell>
          <cell r="EQ217" t="str">
            <v>持平</v>
          </cell>
          <cell r="ER217">
            <v>0</v>
          </cell>
          <cell r="ES217">
            <v>0</v>
          </cell>
          <cell r="ET217" t="str">
            <v>持平</v>
          </cell>
          <cell r="EU217">
            <v>0</v>
          </cell>
          <cell r="EV217" t="str">
            <v>持平</v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</row>
        <row r="218">
          <cell r="A218" t="str">
            <v>危险驾驶案</v>
          </cell>
          <cell r="B218" t="str">
            <v>新兴县</v>
          </cell>
        </row>
        <row r="218">
          <cell r="AM218">
            <v>0</v>
          </cell>
          <cell r="AN218">
            <v>2</v>
          </cell>
          <cell r="AO218" t="str">
            <v>少2起</v>
          </cell>
          <cell r="AP218">
            <v>11</v>
          </cell>
          <cell r="AQ218" t="str">
            <v>少11起</v>
          </cell>
          <cell r="AR218">
            <v>0</v>
          </cell>
          <cell r="AS218">
            <v>-1</v>
          </cell>
          <cell r="AT218">
            <v>2</v>
          </cell>
          <cell r="AU218">
            <v>0</v>
          </cell>
          <cell r="AV218" t="str">
            <v>多2起</v>
          </cell>
          <cell r="AW218">
            <v>3</v>
          </cell>
          <cell r="AX218">
            <v>-0.3333</v>
          </cell>
          <cell r="AY218">
            <v>0</v>
          </cell>
          <cell r="AZ218">
            <v>0</v>
          </cell>
          <cell r="BA218" t="str">
            <v>持平</v>
          </cell>
          <cell r="BB218">
            <v>11</v>
          </cell>
          <cell r="BC218" t="str">
            <v>少11起</v>
          </cell>
          <cell r="BD218">
            <v>0</v>
          </cell>
          <cell r="BE218" t="str">
            <v/>
          </cell>
          <cell r="BF218">
            <v>1</v>
          </cell>
          <cell r="BG218">
            <v>2</v>
          </cell>
          <cell r="BH218">
            <v>-0.5</v>
          </cell>
          <cell r="BI218">
            <v>0</v>
          </cell>
          <cell r="BJ218" t="str">
            <v>多1起</v>
          </cell>
          <cell r="BK218">
            <v>0.3333</v>
          </cell>
          <cell r="BL218">
            <v>0</v>
          </cell>
          <cell r="BM218">
            <v>2</v>
          </cell>
          <cell r="BN218" t="str">
            <v>少2起</v>
          </cell>
          <cell r="BO218">
            <v>0</v>
          </cell>
          <cell r="BP218" t="str">
            <v>持平</v>
          </cell>
          <cell r="BQ218">
            <v>0</v>
          </cell>
          <cell r="BR218">
            <v>2</v>
          </cell>
          <cell r="BS218" t="str">
            <v>少2起</v>
          </cell>
          <cell r="BT218">
            <v>11</v>
          </cell>
          <cell r="BU218" t="str">
            <v>少11起</v>
          </cell>
          <cell r="BV218">
            <v>0</v>
          </cell>
          <cell r="BW218">
            <v>-1</v>
          </cell>
          <cell r="BX218">
            <v>0</v>
          </cell>
          <cell r="BY218" t="str">
            <v/>
          </cell>
          <cell r="BZ218">
            <v>0</v>
          </cell>
          <cell r="CA218">
            <v>0</v>
          </cell>
          <cell r="CB218" t="str">
            <v>持平</v>
          </cell>
          <cell r="CC218">
            <v>0</v>
          </cell>
          <cell r="CD218" t="str">
            <v>持平</v>
          </cell>
          <cell r="CE218" t="str">
            <v/>
          </cell>
          <cell r="CF218" t="str">
            <v/>
          </cell>
          <cell r="CG218">
            <v>2</v>
          </cell>
          <cell r="CH218">
            <v>2</v>
          </cell>
          <cell r="CI218">
            <v>0</v>
          </cell>
          <cell r="CJ218">
            <v>1</v>
          </cell>
          <cell r="CK218">
            <v>1</v>
          </cell>
          <cell r="CL218">
            <v>67</v>
          </cell>
          <cell r="CM218">
            <v>-33</v>
          </cell>
          <cell r="CN218">
            <v>-0.3333</v>
          </cell>
          <cell r="CO218">
            <v>1</v>
          </cell>
          <cell r="CP218">
            <v>0</v>
          </cell>
          <cell r="CQ218" t="str">
            <v>多1人</v>
          </cell>
          <cell r="CR218">
            <v>0</v>
          </cell>
          <cell r="CS218" t="str">
            <v>多1人</v>
          </cell>
          <cell r="CT218">
            <v>0.5</v>
          </cell>
          <cell r="CU218">
            <v>0.5</v>
          </cell>
          <cell r="CV218">
            <v>33</v>
          </cell>
          <cell r="CW218">
            <v>33</v>
          </cell>
          <cell r="CX218" t="str">
            <v/>
          </cell>
          <cell r="CY218">
            <v>2</v>
          </cell>
          <cell r="CZ218">
            <v>3</v>
          </cell>
          <cell r="DA218">
            <v>-0.3333</v>
          </cell>
          <cell r="DB218">
            <v>1</v>
          </cell>
          <cell r="DC218">
            <v>1</v>
          </cell>
          <cell r="DD218">
            <v>1</v>
          </cell>
          <cell r="DE218">
            <v>-0.5</v>
          </cell>
          <cell r="DF218">
            <v>67</v>
          </cell>
          <cell r="DG218">
            <v>-83</v>
          </cell>
          <cell r="DH218">
            <v>-0.5556</v>
          </cell>
          <cell r="DI218">
            <v>2</v>
          </cell>
          <cell r="DJ218">
            <v>3</v>
          </cell>
          <cell r="DK218">
            <v>-0.3333</v>
          </cell>
          <cell r="DL218">
            <v>1</v>
          </cell>
          <cell r="DM218">
            <v>1</v>
          </cell>
          <cell r="DN218">
            <v>3</v>
          </cell>
          <cell r="DO218">
            <v>3</v>
          </cell>
          <cell r="DP218">
            <v>0</v>
          </cell>
          <cell r="DQ218">
            <v>4</v>
          </cell>
          <cell r="DR218">
            <v>-0.25</v>
          </cell>
          <cell r="DS218">
            <v>3</v>
          </cell>
          <cell r="DT218">
            <v>3</v>
          </cell>
          <cell r="DU218">
            <v>0</v>
          </cell>
          <cell r="DV218">
            <v>4</v>
          </cell>
          <cell r="DW218">
            <v>-0.25</v>
          </cell>
          <cell r="DX218">
            <v>0</v>
          </cell>
          <cell r="DY218">
            <v>0</v>
          </cell>
          <cell r="DZ218" t="str">
            <v>持平</v>
          </cell>
          <cell r="EA218">
            <v>0</v>
          </cell>
          <cell r="EB218" t="str">
            <v>持平</v>
          </cell>
          <cell r="EC218">
            <v>0</v>
          </cell>
          <cell r="ED218">
            <v>0</v>
          </cell>
          <cell r="EE218" t="str">
            <v>持平</v>
          </cell>
          <cell r="EF218">
            <v>0</v>
          </cell>
          <cell r="EG218" t="str">
            <v>持平</v>
          </cell>
          <cell r="EH218">
            <v>0</v>
          </cell>
          <cell r="EI218" t="str">
            <v/>
          </cell>
          <cell r="EJ218">
            <v>0</v>
          </cell>
          <cell r="EK218">
            <v>0</v>
          </cell>
          <cell r="EL218" t="str">
            <v/>
          </cell>
          <cell r="EM218">
            <v>0</v>
          </cell>
          <cell r="EN218">
            <v>0</v>
          </cell>
          <cell r="EO218" t="str">
            <v>持平</v>
          </cell>
          <cell r="EP218">
            <v>0</v>
          </cell>
          <cell r="EQ218" t="str">
            <v>持平</v>
          </cell>
          <cell r="ER218">
            <v>0</v>
          </cell>
          <cell r="ES218">
            <v>2</v>
          </cell>
          <cell r="ET218" t="str">
            <v>少2人</v>
          </cell>
          <cell r="EU218">
            <v>11</v>
          </cell>
          <cell r="EV218" t="str">
            <v>少11人</v>
          </cell>
          <cell r="EW218">
            <v>0</v>
          </cell>
          <cell r="EX218" t="str">
            <v/>
          </cell>
          <cell r="EY218">
            <v>0</v>
          </cell>
          <cell r="EZ218">
            <v>-100</v>
          </cell>
          <cell r="FA218">
            <v>-1</v>
          </cell>
        </row>
        <row r="219">
          <cell r="A219" t="str">
            <v>危险驾驶案</v>
          </cell>
          <cell r="B219" t="str">
            <v>郁南县</v>
          </cell>
        </row>
        <row r="219">
          <cell r="AM219">
            <v>4</v>
          </cell>
          <cell r="AN219">
            <v>0</v>
          </cell>
          <cell r="AO219" t="str">
            <v>多4起</v>
          </cell>
          <cell r="AP219">
            <v>4</v>
          </cell>
          <cell r="AQ219">
            <v>0</v>
          </cell>
          <cell r="AR219">
            <v>0.8</v>
          </cell>
          <cell r="AS219">
            <v>0.8</v>
          </cell>
          <cell r="AT219">
            <v>4</v>
          </cell>
          <cell r="AU219">
            <v>1</v>
          </cell>
          <cell r="AV219">
            <v>3</v>
          </cell>
          <cell r="AW219">
            <v>1</v>
          </cell>
          <cell r="AX219">
            <v>3</v>
          </cell>
          <cell r="AY219">
            <v>4</v>
          </cell>
          <cell r="AZ219">
            <v>0</v>
          </cell>
          <cell r="BA219" t="str">
            <v>多4起</v>
          </cell>
          <cell r="BB219">
            <v>4</v>
          </cell>
          <cell r="BC219">
            <v>0</v>
          </cell>
          <cell r="BD219">
            <v>1</v>
          </cell>
          <cell r="BE219">
            <v>1</v>
          </cell>
          <cell r="BF219">
            <v>1</v>
          </cell>
          <cell r="BG219">
            <v>1</v>
          </cell>
          <cell r="BH219">
            <v>0</v>
          </cell>
          <cell r="BI219">
            <v>0</v>
          </cell>
          <cell r="BJ219" t="str">
            <v>多1起</v>
          </cell>
          <cell r="BK219">
            <v>0.2</v>
          </cell>
          <cell r="BL219">
            <v>0</v>
          </cell>
          <cell r="BM219">
            <v>0</v>
          </cell>
          <cell r="BN219" t="str">
            <v>持平</v>
          </cell>
          <cell r="BO219">
            <v>0</v>
          </cell>
          <cell r="BP219" t="str">
            <v>持平</v>
          </cell>
          <cell r="BQ219">
            <v>2</v>
          </cell>
          <cell r="BR219">
            <v>0</v>
          </cell>
          <cell r="BS219" t="str">
            <v>多2起</v>
          </cell>
          <cell r="BT219">
            <v>5</v>
          </cell>
          <cell r="BU219">
            <v>-0.6</v>
          </cell>
          <cell r="BV219">
            <v>0.4</v>
          </cell>
          <cell r="BW219">
            <v>0.4</v>
          </cell>
          <cell r="BX219">
            <v>0.5</v>
          </cell>
          <cell r="BY219">
            <v>0.5</v>
          </cell>
          <cell r="BZ219">
            <v>0</v>
          </cell>
          <cell r="CA219">
            <v>0</v>
          </cell>
          <cell r="CB219" t="str">
            <v>持平</v>
          </cell>
          <cell r="CC219">
            <v>0</v>
          </cell>
          <cell r="CD219" t="str">
            <v>持平</v>
          </cell>
          <cell r="CE219" t="str">
            <v/>
          </cell>
          <cell r="CF219" t="str">
            <v/>
          </cell>
          <cell r="CG219">
            <v>3</v>
          </cell>
          <cell r="CH219">
            <v>2</v>
          </cell>
          <cell r="CI219">
            <v>0.5</v>
          </cell>
          <cell r="CJ219">
            <v>1</v>
          </cell>
          <cell r="CK219">
            <v>2</v>
          </cell>
          <cell r="CL219">
            <v>60</v>
          </cell>
          <cell r="CM219">
            <v>-40</v>
          </cell>
          <cell r="CN219">
            <v>-0.4</v>
          </cell>
          <cell r="CO219">
            <v>0</v>
          </cell>
          <cell r="CP219">
            <v>0</v>
          </cell>
          <cell r="CQ219" t="str">
            <v>持平</v>
          </cell>
          <cell r="CR219">
            <v>0</v>
          </cell>
          <cell r="CS219" t="str">
            <v>持平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 t="str">
            <v/>
          </cell>
          <cell r="CY219">
            <v>0</v>
          </cell>
          <cell r="CZ219">
            <v>0</v>
          </cell>
          <cell r="DA219" t="str">
            <v>持平</v>
          </cell>
          <cell r="DB219">
            <v>0</v>
          </cell>
          <cell r="DC219" t="str">
            <v>持平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 t="str">
            <v/>
          </cell>
          <cell r="DI219">
            <v>0</v>
          </cell>
          <cell r="DJ219">
            <v>0</v>
          </cell>
          <cell r="DK219" t="str">
            <v>持平</v>
          </cell>
          <cell r="DL219">
            <v>0</v>
          </cell>
          <cell r="DM219" t="str">
            <v>持平</v>
          </cell>
          <cell r="DN219">
            <v>5</v>
          </cell>
          <cell r="DO219">
            <v>1</v>
          </cell>
          <cell r="DP219">
            <v>4</v>
          </cell>
          <cell r="DQ219">
            <v>3</v>
          </cell>
          <cell r="DR219">
            <v>0.6667</v>
          </cell>
          <cell r="DS219">
            <v>5</v>
          </cell>
          <cell r="DT219">
            <v>1</v>
          </cell>
          <cell r="DU219">
            <v>4</v>
          </cell>
          <cell r="DV219">
            <v>3</v>
          </cell>
          <cell r="DW219">
            <v>0.6667</v>
          </cell>
          <cell r="DX219">
            <v>0</v>
          </cell>
          <cell r="DY219">
            <v>0</v>
          </cell>
          <cell r="DZ219" t="str">
            <v>持平</v>
          </cell>
          <cell r="EA219">
            <v>0</v>
          </cell>
          <cell r="EB219" t="str">
            <v>持平</v>
          </cell>
          <cell r="EC219">
            <v>0</v>
          </cell>
          <cell r="ED219">
            <v>0</v>
          </cell>
          <cell r="EE219" t="str">
            <v>持平</v>
          </cell>
          <cell r="EF219">
            <v>0</v>
          </cell>
          <cell r="EG219" t="str">
            <v>持平</v>
          </cell>
          <cell r="EH219" t="str">
            <v/>
          </cell>
          <cell r="EI219" t="str">
            <v/>
          </cell>
          <cell r="EJ219">
            <v>0</v>
          </cell>
          <cell r="EK219">
            <v>0</v>
          </cell>
          <cell r="EL219" t="str">
            <v/>
          </cell>
          <cell r="EM219">
            <v>0</v>
          </cell>
          <cell r="EN219">
            <v>0</v>
          </cell>
          <cell r="EO219" t="str">
            <v>持平</v>
          </cell>
          <cell r="EP219">
            <v>0</v>
          </cell>
          <cell r="EQ219" t="str">
            <v>持平</v>
          </cell>
          <cell r="ER219">
            <v>2</v>
          </cell>
          <cell r="ES219">
            <v>0</v>
          </cell>
          <cell r="ET219" t="str">
            <v>多2人</v>
          </cell>
          <cell r="EU219">
            <v>5</v>
          </cell>
          <cell r="EV219">
            <v>-0.6</v>
          </cell>
          <cell r="EW219" t="str">
            <v/>
          </cell>
          <cell r="EX219" t="str">
            <v/>
          </cell>
          <cell r="EY219">
            <v>40</v>
          </cell>
          <cell r="EZ219">
            <v>40</v>
          </cell>
          <cell r="FA219" t="str">
            <v/>
          </cell>
        </row>
        <row r="220">
          <cell r="A220" t="str">
            <v>危险驾驶案</v>
          </cell>
          <cell r="B220" t="str">
            <v>罗定市</v>
          </cell>
        </row>
        <row r="220">
          <cell r="AM220">
            <v>4</v>
          </cell>
          <cell r="AN220">
            <v>7</v>
          </cell>
          <cell r="AO220">
            <v>-0.4286</v>
          </cell>
          <cell r="AP220">
            <v>9</v>
          </cell>
          <cell r="AQ220">
            <v>-0.5556</v>
          </cell>
          <cell r="AR220">
            <v>0.3636</v>
          </cell>
          <cell r="AS220">
            <v>-1.9697</v>
          </cell>
          <cell r="AT220">
            <v>4</v>
          </cell>
          <cell r="AU220">
            <v>0</v>
          </cell>
          <cell r="AV220" t="str">
            <v>多4起</v>
          </cell>
          <cell r="AW220">
            <v>8</v>
          </cell>
          <cell r="AX220">
            <v>-0.5</v>
          </cell>
          <cell r="AY220">
            <v>1</v>
          </cell>
          <cell r="AZ220">
            <v>0</v>
          </cell>
          <cell r="BA220" t="str">
            <v>多1起</v>
          </cell>
          <cell r="BB220">
            <v>9</v>
          </cell>
          <cell r="BC220">
            <v>-0.8889</v>
          </cell>
          <cell r="BD220">
            <v>0.25</v>
          </cell>
          <cell r="BE220" t="str">
            <v/>
          </cell>
          <cell r="BF220">
            <v>7</v>
          </cell>
          <cell r="BG220">
            <v>3</v>
          </cell>
          <cell r="BH220">
            <v>1.3333</v>
          </cell>
          <cell r="BI220">
            <v>0</v>
          </cell>
          <cell r="BJ220" t="str">
            <v>多7起</v>
          </cell>
          <cell r="BK220">
            <v>0.6364</v>
          </cell>
          <cell r="BL220">
            <v>3</v>
          </cell>
          <cell r="BM220">
            <v>7</v>
          </cell>
          <cell r="BN220">
            <v>-0.5714</v>
          </cell>
          <cell r="BO220">
            <v>0</v>
          </cell>
          <cell r="BP220" t="str">
            <v>多3起</v>
          </cell>
          <cell r="BQ220">
            <v>5</v>
          </cell>
          <cell r="BR220">
            <v>9</v>
          </cell>
          <cell r="BS220">
            <v>-0.4444</v>
          </cell>
          <cell r="BT220">
            <v>9</v>
          </cell>
          <cell r="BU220">
            <v>-0.4444</v>
          </cell>
          <cell r="BV220">
            <v>0.4545</v>
          </cell>
          <cell r="BW220">
            <v>-2.5455</v>
          </cell>
          <cell r="BX220">
            <v>1.25</v>
          </cell>
          <cell r="BY220" t="str">
            <v/>
          </cell>
          <cell r="BZ220">
            <v>0</v>
          </cell>
          <cell r="CA220">
            <v>0</v>
          </cell>
          <cell r="CB220" t="str">
            <v>持平</v>
          </cell>
          <cell r="CC220">
            <v>0</v>
          </cell>
          <cell r="CD220" t="str">
            <v>持平</v>
          </cell>
          <cell r="CE220" t="str">
            <v/>
          </cell>
          <cell r="CF220" t="str">
            <v/>
          </cell>
          <cell r="CG220">
            <v>3</v>
          </cell>
          <cell r="CH220">
            <v>2</v>
          </cell>
          <cell r="CI220">
            <v>0.5</v>
          </cell>
          <cell r="CJ220">
            <v>2</v>
          </cell>
          <cell r="CK220">
            <v>0.5</v>
          </cell>
          <cell r="CL220">
            <v>27</v>
          </cell>
          <cell r="CM220">
            <v>-39</v>
          </cell>
          <cell r="CN220">
            <v>-0.5909</v>
          </cell>
          <cell r="CO220">
            <v>0</v>
          </cell>
          <cell r="CP220">
            <v>0</v>
          </cell>
          <cell r="CQ220" t="str">
            <v>持平</v>
          </cell>
          <cell r="CR220">
            <v>0</v>
          </cell>
          <cell r="CS220" t="str">
            <v>持平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 t="str">
            <v/>
          </cell>
          <cell r="CY220">
            <v>0</v>
          </cell>
          <cell r="CZ220">
            <v>0</v>
          </cell>
          <cell r="DA220" t="str">
            <v>持平</v>
          </cell>
          <cell r="DB220">
            <v>0</v>
          </cell>
          <cell r="DC220" t="str">
            <v>持平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 t="str">
            <v/>
          </cell>
          <cell r="DI220">
            <v>0</v>
          </cell>
          <cell r="DJ220">
            <v>0</v>
          </cell>
          <cell r="DK220" t="str">
            <v>持平</v>
          </cell>
          <cell r="DL220">
            <v>0</v>
          </cell>
          <cell r="DM220" t="str">
            <v>持平</v>
          </cell>
          <cell r="DN220">
            <v>3</v>
          </cell>
          <cell r="DO220">
            <v>8</v>
          </cell>
          <cell r="DP220">
            <v>-0.625</v>
          </cell>
          <cell r="DQ220">
            <v>11</v>
          </cell>
          <cell r="DR220">
            <v>-0.7273</v>
          </cell>
          <cell r="DS220">
            <v>3</v>
          </cell>
          <cell r="DT220">
            <v>8</v>
          </cell>
          <cell r="DU220">
            <v>-0.625</v>
          </cell>
          <cell r="DV220">
            <v>11</v>
          </cell>
          <cell r="DW220">
            <v>-0.7273</v>
          </cell>
          <cell r="DX220">
            <v>0</v>
          </cell>
          <cell r="DY220">
            <v>0</v>
          </cell>
          <cell r="DZ220" t="str">
            <v>持平</v>
          </cell>
          <cell r="EA220">
            <v>0</v>
          </cell>
          <cell r="EB220" t="str">
            <v>持平</v>
          </cell>
          <cell r="EC220">
            <v>0</v>
          </cell>
          <cell r="ED220">
            <v>0</v>
          </cell>
          <cell r="EE220" t="str">
            <v>持平</v>
          </cell>
          <cell r="EF220">
            <v>0</v>
          </cell>
          <cell r="EG220" t="str">
            <v>持平</v>
          </cell>
          <cell r="EH220" t="str">
            <v/>
          </cell>
          <cell r="EI220" t="str">
            <v/>
          </cell>
          <cell r="EJ220">
            <v>0</v>
          </cell>
          <cell r="EK220">
            <v>0</v>
          </cell>
          <cell r="EL220" t="str">
            <v/>
          </cell>
          <cell r="EM220">
            <v>0</v>
          </cell>
          <cell r="EN220">
            <v>0</v>
          </cell>
          <cell r="EO220" t="str">
            <v>持平</v>
          </cell>
          <cell r="EP220">
            <v>0</v>
          </cell>
          <cell r="EQ220" t="str">
            <v>持平</v>
          </cell>
          <cell r="ER220">
            <v>5</v>
          </cell>
          <cell r="ES220">
            <v>10</v>
          </cell>
          <cell r="ET220">
            <v>-0.5</v>
          </cell>
          <cell r="EU220">
            <v>9</v>
          </cell>
          <cell r="EV220">
            <v>-0.4444</v>
          </cell>
          <cell r="EW220" t="str">
            <v/>
          </cell>
          <cell r="EX220" t="str">
            <v/>
          </cell>
          <cell r="EY220">
            <v>45</v>
          </cell>
          <cell r="EZ220">
            <v>-288</v>
          </cell>
          <cell r="FA220">
            <v>-0.8636</v>
          </cell>
        </row>
        <row r="221">
          <cell r="A221" t="str">
            <v>交通肇事案</v>
          </cell>
          <cell r="B221" t="str">
            <v>全省</v>
          </cell>
        </row>
        <row r="221">
          <cell r="AM221">
            <v>410</v>
          </cell>
          <cell r="AN221">
            <v>284</v>
          </cell>
          <cell r="AO221">
            <v>0.4437</v>
          </cell>
          <cell r="AP221">
            <v>503</v>
          </cell>
          <cell r="AQ221">
            <v>-0.1849</v>
          </cell>
          <cell r="AR221">
            <v>0.8972</v>
          </cell>
          <cell r="AS221">
            <v>0.1976</v>
          </cell>
          <cell r="AT221">
            <v>91</v>
          </cell>
          <cell r="AU221">
            <v>87</v>
          </cell>
          <cell r="AV221">
            <v>0.046</v>
          </cell>
          <cell r="AW221">
            <v>408</v>
          </cell>
          <cell r="AX221">
            <v>-0.777</v>
          </cell>
          <cell r="AY221">
            <v>47</v>
          </cell>
          <cell r="AZ221">
            <v>26</v>
          </cell>
          <cell r="BA221">
            <v>0.8077</v>
          </cell>
          <cell r="BB221">
            <v>453</v>
          </cell>
          <cell r="BC221">
            <v>-0.8962</v>
          </cell>
          <cell r="BD221">
            <v>0.5165</v>
          </cell>
          <cell r="BE221">
            <v>0.2176</v>
          </cell>
          <cell r="BF221">
            <v>366</v>
          </cell>
          <cell r="BG221">
            <v>319</v>
          </cell>
          <cell r="BH221">
            <v>0.1473</v>
          </cell>
          <cell r="BI221">
            <v>11</v>
          </cell>
          <cell r="BJ221">
            <v>32.2727</v>
          </cell>
          <cell r="BK221">
            <v>0.8009</v>
          </cell>
          <cell r="BL221">
            <v>363</v>
          </cell>
          <cell r="BM221">
            <v>258</v>
          </cell>
          <cell r="BN221">
            <v>0.407</v>
          </cell>
          <cell r="BO221">
            <v>50</v>
          </cell>
          <cell r="BP221">
            <v>6.26</v>
          </cell>
          <cell r="BQ221">
            <v>352</v>
          </cell>
          <cell r="BR221">
            <v>307</v>
          </cell>
          <cell r="BS221">
            <v>0.1466</v>
          </cell>
          <cell r="BT221">
            <v>497</v>
          </cell>
          <cell r="BU221">
            <v>-0.2918</v>
          </cell>
          <cell r="BV221">
            <v>0.7702</v>
          </cell>
          <cell r="BW221">
            <v>0.0141</v>
          </cell>
          <cell r="BX221">
            <v>3.8681</v>
          </cell>
          <cell r="BY221">
            <v>0.3394</v>
          </cell>
          <cell r="BZ221">
            <v>1</v>
          </cell>
          <cell r="CA221">
            <v>1</v>
          </cell>
          <cell r="CB221">
            <v>0</v>
          </cell>
          <cell r="CC221">
            <v>6</v>
          </cell>
          <cell r="CD221">
            <v>-0.8333</v>
          </cell>
          <cell r="CE221" t="str">
            <v/>
          </cell>
          <cell r="CF221" t="str">
            <v/>
          </cell>
          <cell r="CG221">
            <v>324</v>
          </cell>
          <cell r="CH221">
            <v>364</v>
          </cell>
          <cell r="CI221">
            <v>-0.1099</v>
          </cell>
          <cell r="CJ221">
            <v>358</v>
          </cell>
          <cell r="CK221">
            <v>-0.095</v>
          </cell>
          <cell r="CL221">
            <v>71</v>
          </cell>
          <cell r="CM221">
            <v>-19</v>
          </cell>
          <cell r="CN221">
            <v>-0.2092</v>
          </cell>
          <cell r="CO221">
            <v>267</v>
          </cell>
          <cell r="CP221">
            <v>125</v>
          </cell>
          <cell r="CQ221">
            <v>1.136</v>
          </cell>
          <cell r="CR221">
            <v>219</v>
          </cell>
          <cell r="CS221">
            <v>0.2192</v>
          </cell>
          <cell r="CT221">
            <v>0.8241</v>
          </cell>
          <cell r="CU221">
            <v>0.4807</v>
          </cell>
          <cell r="CV221">
            <v>58</v>
          </cell>
          <cell r="CW221">
            <v>28</v>
          </cell>
          <cell r="CX221">
            <v>0.8976</v>
          </cell>
          <cell r="CY221">
            <v>428</v>
          </cell>
          <cell r="CZ221">
            <v>315</v>
          </cell>
          <cell r="DA221">
            <v>0.3587</v>
          </cell>
          <cell r="DB221">
            <v>417</v>
          </cell>
          <cell r="DC221">
            <v>0.0264</v>
          </cell>
          <cell r="DD221">
            <v>1.321</v>
          </cell>
          <cell r="DE221">
            <v>0.4556</v>
          </cell>
          <cell r="DF221">
            <v>94</v>
          </cell>
          <cell r="DG221">
            <v>16</v>
          </cell>
          <cell r="DH221">
            <v>0.2071</v>
          </cell>
          <cell r="DI221">
            <v>420</v>
          </cell>
          <cell r="DJ221">
            <v>315</v>
          </cell>
          <cell r="DK221">
            <v>0.3333</v>
          </cell>
          <cell r="DL221">
            <v>392</v>
          </cell>
          <cell r="DM221">
            <v>0.0714</v>
          </cell>
          <cell r="DN221">
            <v>305</v>
          </cell>
          <cell r="DO221">
            <v>275</v>
          </cell>
          <cell r="DP221">
            <v>0.1091</v>
          </cell>
          <cell r="DQ221">
            <v>349</v>
          </cell>
          <cell r="DR221">
            <v>-0.1261</v>
          </cell>
          <cell r="DS221">
            <v>305</v>
          </cell>
          <cell r="DT221">
            <v>275</v>
          </cell>
          <cell r="DU221">
            <v>0.1091</v>
          </cell>
          <cell r="DV221">
            <v>349</v>
          </cell>
          <cell r="DW221">
            <v>-0.1261</v>
          </cell>
          <cell r="DX221">
            <v>272</v>
          </cell>
          <cell r="DY221">
            <v>221</v>
          </cell>
          <cell r="DZ221">
            <v>0.2308</v>
          </cell>
          <cell r="EA221">
            <v>281</v>
          </cell>
          <cell r="EB221">
            <v>-0.032</v>
          </cell>
          <cell r="EC221">
            <v>142</v>
          </cell>
          <cell r="ED221">
            <v>139</v>
          </cell>
          <cell r="EE221">
            <v>0.0216</v>
          </cell>
          <cell r="EF221">
            <v>155</v>
          </cell>
          <cell r="EG221">
            <v>-0.0839</v>
          </cell>
          <cell r="EH221">
            <v>0.5318</v>
          </cell>
          <cell r="EI221">
            <v>-0.5802</v>
          </cell>
          <cell r="EJ221">
            <v>31</v>
          </cell>
          <cell r="EK221">
            <v>-3</v>
          </cell>
          <cell r="EL221">
            <v>-0.0924</v>
          </cell>
          <cell r="EM221">
            <v>144</v>
          </cell>
          <cell r="EN221">
            <v>144</v>
          </cell>
          <cell r="EO221">
            <v>0</v>
          </cell>
          <cell r="EP221">
            <v>165</v>
          </cell>
          <cell r="EQ221">
            <v>-0.1273</v>
          </cell>
          <cell r="ER221">
            <v>366</v>
          </cell>
          <cell r="ES221">
            <v>308</v>
          </cell>
          <cell r="ET221">
            <v>0.1883</v>
          </cell>
          <cell r="EU221">
            <v>500</v>
          </cell>
          <cell r="EV221">
            <v>-0.268</v>
          </cell>
          <cell r="EW221">
            <v>1.3708</v>
          </cell>
          <cell r="EX221">
            <v>-1.0932</v>
          </cell>
          <cell r="EY221">
            <v>80</v>
          </cell>
          <cell r="EZ221">
            <v>4</v>
          </cell>
          <cell r="FA221">
            <v>0.0557</v>
          </cell>
        </row>
        <row r="222">
          <cell r="A222" t="str">
            <v>交通肇事案</v>
          </cell>
          <cell r="B222" t="str">
            <v>云浮</v>
          </cell>
        </row>
        <row r="222">
          <cell r="AM222">
            <v>10</v>
          </cell>
          <cell r="AN222">
            <v>6</v>
          </cell>
          <cell r="AO222">
            <v>0.6667</v>
          </cell>
          <cell r="AP222">
            <v>13</v>
          </cell>
          <cell r="AQ222">
            <v>-0.2308</v>
          </cell>
          <cell r="AR222">
            <v>0.7143</v>
          </cell>
          <cell r="AS222">
            <v>-0.0357</v>
          </cell>
          <cell r="AT222">
            <v>0</v>
          </cell>
          <cell r="AU222">
            <v>0</v>
          </cell>
          <cell r="AV222" t="str">
            <v>持平</v>
          </cell>
          <cell r="AW222">
            <v>13</v>
          </cell>
          <cell r="AX222" t="str">
            <v>少13起</v>
          </cell>
          <cell r="AY222">
            <v>0</v>
          </cell>
          <cell r="AZ222">
            <v>0</v>
          </cell>
          <cell r="BA222" t="str">
            <v>持平</v>
          </cell>
          <cell r="BB222">
            <v>13</v>
          </cell>
          <cell r="BC222" t="str">
            <v>少13起</v>
          </cell>
          <cell r="BD222" t="str">
            <v/>
          </cell>
          <cell r="BE222" t="str">
            <v/>
          </cell>
          <cell r="BF222">
            <v>14</v>
          </cell>
          <cell r="BG222">
            <v>8</v>
          </cell>
          <cell r="BH222">
            <v>0.75</v>
          </cell>
          <cell r="BI222">
            <v>0</v>
          </cell>
          <cell r="BJ222" t="str">
            <v>多14起</v>
          </cell>
          <cell r="BK222">
            <v>1</v>
          </cell>
          <cell r="BL222">
            <v>10</v>
          </cell>
          <cell r="BM222">
            <v>6</v>
          </cell>
          <cell r="BN222">
            <v>0.6667</v>
          </cell>
          <cell r="BO222">
            <v>0</v>
          </cell>
          <cell r="BP222" t="str">
            <v>多10起</v>
          </cell>
          <cell r="BQ222">
            <v>4</v>
          </cell>
          <cell r="BR222">
            <v>10</v>
          </cell>
          <cell r="BS222">
            <v>-0.6</v>
          </cell>
          <cell r="BT222">
            <v>14</v>
          </cell>
          <cell r="BU222">
            <v>-0.7143</v>
          </cell>
          <cell r="BV222">
            <v>0.2857</v>
          </cell>
          <cell r="BW222">
            <v>-0.9643</v>
          </cell>
          <cell r="BX222" t="str">
            <v/>
          </cell>
          <cell r="BY222" t="str">
            <v/>
          </cell>
          <cell r="BZ222">
            <v>0</v>
          </cell>
          <cell r="CA222">
            <v>0</v>
          </cell>
          <cell r="CB222" t="str">
            <v>持平</v>
          </cell>
          <cell r="CC222">
            <v>0</v>
          </cell>
          <cell r="CD222" t="str">
            <v>持平</v>
          </cell>
          <cell r="CE222" t="str">
            <v/>
          </cell>
          <cell r="CF222" t="str">
            <v/>
          </cell>
          <cell r="CG222">
            <v>9</v>
          </cell>
          <cell r="CH222">
            <v>6</v>
          </cell>
          <cell r="CI222">
            <v>0.5</v>
          </cell>
          <cell r="CJ222">
            <v>10</v>
          </cell>
          <cell r="CK222">
            <v>-0.1</v>
          </cell>
          <cell r="CL222">
            <v>64</v>
          </cell>
          <cell r="CM222">
            <v>-11</v>
          </cell>
          <cell r="CN222">
            <v>-0.1429</v>
          </cell>
          <cell r="CO222">
            <v>10</v>
          </cell>
          <cell r="CP222">
            <v>1</v>
          </cell>
          <cell r="CQ222">
            <v>9</v>
          </cell>
          <cell r="CR222">
            <v>8</v>
          </cell>
          <cell r="CS222">
            <v>0.25</v>
          </cell>
          <cell r="CT222">
            <v>1.1111</v>
          </cell>
          <cell r="CU222">
            <v>0.9444</v>
          </cell>
          <cell r="CV222">
            <v>71</v>
          </cell>
          <cell r="CW222">
            <v>59</v>
          </cell>
          <cell r="CX222">
            <v>4.7143</v>
          </cell>
          <cell r="CY222">
            <v>13</v>
          </cell>
          <cell r="CZ222">
            <v>5</v>
          </cell>
          <cell r="DA222">
            <v>1.6</v>
          </cell>
          <cell r="DB222">
            <v>17</v>
          </cell>
          <cell r="DC222">
            <v>-0.2353</v>
          </cell>
          <cell r="DD222">
            <v>1.4444</v>
          </cell>
          <cell r="DE222">
            <v>0.6111</v>
          </cell>
          <cell r="DF222">
            <v>93</v>
          </cell>
          <cell r="DG222">
            <v>30</v>
          </cell>
          <cell r="DH222">
            <v>0.4857</v>
          </cell>
          <cell r="DI222">
            <v>13</v>
          </cell>
          <cell r="DJ222">
            <v>5</v>
          </cell>
          <cell r="DK222">
            <v>1.6</v>
          </cell>
          <cell r="DL222">
            <v>16</v>
          </cell>
          <cell r="DM222">
            <v>-0.1875</v>
          </cell>
          <cell r="DN222">
            <v>6</v>
          </cell>
          <cell r="DO222">
            <v>7</v>
          </cell>
          <cell r="DP222">
            <v>-0.1429</v>
          </cell>
          <cell r="DQ222">
            <v>14</v>
          </cell>
          <cell r="DR222">
            <v>-0.5714</v>
          </cell>
          <cell r="DS222">
            <v>6</v>
          </cell>
          <cell r="DT222">
            <v>7</v>
          </cell>
          <cell r="DU222">
            <v>-0.1429</v>
          </cell>
          <cell r="DV222">
            <v>14</v>
          </cell>
          <cell r="DW222">
            <v>-0.5714</v>
          </cell>
          <cell r="DX222">
            <v>12</v>
          </cell>
          <cell r="DY222">
            <v>4</v>
          </cell>
          <cell r="DZ222">
            <v>2</v>
          </cell>
          <cell r="EA222">
            <v>12</v>
          </cell>
          <cell r="EB222">
            <v>0</v>
          </cell>
          <cell r="EC222">
            <v>5</v>
          </cell>
          <cell r="ED222">
            <v>2</v>
          </cell>
          <cell r="EE222">
            <v>1.5</v>
          </cell>
          <cell r="EF222">
            <v>4</v>
          </cell>
          <cell r="EG222">
            <v>0.25</v>
          </cell>
          <cell r="EH222">
            <v>0.5</v>
          </cell>
          <cell r="EI222">
            <v>-1.5</v>
          </cell>
          <cell r="EJ222">
            <v>36</v>
          </cell>
          <cell r="EK222">
            <v>11</v>
          </cell>
          <cell r="EL222">
            <v>0.4286</v>
          </cell>
          <cell r="EM222">
            <v>5</v>
          </cell>
          <cell r="EN222">
            <v>2</v>
          </cell>
          <cell r="EO222">
            <v>1.5</v>
          </cell>
          <cell r="EP222">
            <v>4</v>
          </cell>
          <cell r="EQ222">
            <v>0.25</v>
          </cell>
          <cell r="ER222">
            <v>4</v>
          </cell>
          <cell r="ES222">
            <v>11</v>
          </cell>
          <cell r="ET222">
            <v>-0.6364</v>
          </cell>
          <cell r="EU222">
            <v>14</v>
          </cell>
          <cell r="EV222">
            <v>-0.7143</v>
          </cell>
          <cell r="EW222">
            <v>0.4</v>
          </cell>
          <cell r="EX222">
            <v>-10.6</v>
          </cell>
          <cell r="EY222">
            <v>29</v>
          </cell>
          <cell r="EZ222">
            <v>-109</v>
          </cell>
          <cell r="FA222">
            <v>-0.7922</v>
          </cell>
        </row>
        <row r="223">
          <cell r="A223" t="str">
            <v>交通肇事案</v>
          </cell>
          <cell r="B223" t="str">
            <v>云城区</v>
          </cell>
        </row>
        <row r="223">
          <cell r="AM223">
            <v>0</v>
          </cell>
          <cell r="AN223">
            <v>0</v>
          </cell>
          <cell r="AO223" t="str">
            <v>持平</v>
          </cell>
          <cell r="AP223">
            <v>0</v>
          </cell>
          <cell r="AQ223" t="str">
            <v>持平</v>
          </cell>
          <cell r="AR223" t="str">
            <v/>
          </cell>
          <cell r="AS223" t="str">
            <v/>
          </cell>
          <cell r="AT223">
            <v>0</v>
          </cell>
          <cell r="AU223">
            <v>0</v>
          </cell>
          <cell r="AV223" t="str">
            <v>持平</v>
          </cell>
          <cell r="AW223">
            <v>0</v>
          </cell>
          <cell r="AX223" t="str">
            <v>持平</v>
          </cell>
          <cell r="AY223">
            <v>0</v>
          </cell>
          <cell r="AZ223">
            <v>0</v>
          </cell>
          <cell r="BA223" t="str">
            <v>持平</v>
          </cell>
          <cell r="BB223">
            <v>0</v>
          </cell>
          <cell r="BC223" t="str">
            <v>持平</v>
          </cell>
          <cell r="BD223" t="str">
            <v/>
          </cell>
          <cell r="BE223" t="str">
            <v/>
          </cell>
          <cell r="BF223">
            <v>0</v>
          </cell>
          <cell r="BG223">
            <v>0</v>
          </cell>
          <cell r="BH223" t="str">
            <v>持平</v>
          </cell>
          <cell r="BI223">
            <v>0</v>
          </cell>
          <cell r="BJ223" t="str">
            <v>持平</v>
          </cell>
          <cell r="BK223" t="str">
            <v/>
          </cell>
          <cell r="BL223">
            <v>0</v>
          </cell>
          <cell r="BM223">
            <v>0</v>
          </cell>
          <cell r="BN223" t="str">
            <v>持平</v>
          </cell>
          <cell r="BO223">
            <v>0</v>
          </cell>
          <cell r="BP223" t="str">
            <v>持平</v>
          </cell>
          <cell r="BQ223">
            <v>0</v>
          </cell>
          <cell r="BR223">
            <v>0</v>
          </cell>
          <cell r="BS223" t="str">
            <v>持平</v>
          </cell>
          <cell r="BT223">
            <v>0</v>
          </cell>
          <cell r="BU223" t="str">
            <v>持平</v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>
            <v>0</v>
          </cell>
          <cell r="CA223">
            <v>0</v>
          </cell>
          <cell r="CB223" t="str">
            <v>持平</v>
          </cell>
          <cell r="CC223">
            <v>0</v>
          </cell>
          <cell r="CD223" t="str">
            <v>持平</v>
          </cell>
          <cell r="CE223" t="str">
            <v/>
          </cell>
          <cell r="CF223" t="str">
            <v/>
          </cell>
          <cell r="CG223">
            <v>0</v>
          </cell>
          <cell r="CH223">
            <v>0</v>
          </cell>
          <cell r="CI223" t="str">
            <v>持平</v>
          </cell>
          <cell r="CJ223">
            <v>0</v>
          </cell>
          <cell r="CK223" t="str">
            <v>持平</v>
          </cell>
          <cell r="CL223" t="str">
            <v/>
          </cell>
          <cell r="CM223" t="str">
            <v/>
          </cell>
          <cell r="CN223" t="str">
            <v/>
          </cell>
          <cell r="CO223">
            <v>0</v>
          </cell>
          <cell r="CP223">
            <v>0</v>
          </cell>
          <cell r="CQ223" t="str">
            <v>持平</v>
          </cell>
          <cell r="CR223">
            <v>0</v>
          </cell>
          <cell r="CS223" t="str">
            <v>持平</v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>
            <v>0</v>
          </cell>
          <cell r="CZ223">
            <v>0</v>
          </cell>
          <cell r="DA223" t="str">
            <v>持平</v>
          </cell>
          <cell r="DB223">
            <v>0</v>
          </cell>
          <cell r="DC223" t="str">
            <v>持平</v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>
            <v>0</v>
          </cell>
          <cell r="DJ223">
            <v>0</v>
          </cell>
          <cell r="DK223" t="str">
            <v>持平</v>
          </cell>
          <cell r="DL223">
            <v>0</v>
          </cell>
          <cell r="DM223" t="str">
            <v>持平</v>
          </cell>
          <cell r="DN223">
            <v>0</v>
          </cell>
          <cell r="DO223">
            <v>0</v>
          </cell>
          <cell r="DP223" t="str">
            <v>持平</v>
          </cell>
          <cell r="DQ223">
            <v>0</v>
          </cell>
          <cell r="DR223" t="str">
            <v>持平</v>
          </cell>
          <cell r="DS223">
            <v>0</v>
          </cell>
          <cell r="DT223">
            <v>0</v>
          </cell>
          <cell r="DU223" t="str">
            <v>持平</v>
          </cell>
          <cell r="DV223">
            <v>0</v>
          </cell>
          <cell r="DW223" t="str">
            <v>持平</v>
          </cell>
          <cell r="DX223">
            <v>0</v>
          </cell>
          <cell r="DY223">
            <v>0</v>
          </cell>
          <cell r="DZ223" t="str">
            <v>持平</v>
          </cell>
          <cell r="EA223">
            <v>0</v>
          </cell>
          <cell r="EB223" t="str">
            <v>持平</v>
          </cell>
          <cell r="EC223">
            <v>0</v>
          </cell>
          <cell r="ED223">
            <v>0</v>
          </cell>
          <cell r="EE223" t="str">
            <v>持平</v>
          </cell>
          <cell r="EF223">
            <v>0</v>
          </cell>
          <cell r="EG223" t="str">
            <v>持平</v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>
            <v>0</v>
          </cell>
          <cell r="EN223">
            <v>0</v>
          </cell>
          <cell r="EO223" t="str">
            <v>持平</v>
          </cell>
          <cell r="EP223">
            <v>0</v>
          </cell>
          <cell r="EQ223" t="str">
            <v>持平</v>
          </cell>
          <cell r="ER223">
            <v>0</v>
          </cell>
          <cell r="ES223">
            <v>0</v>
          </cell>
          <cell r="ET223" t="str">
            <v>持平</v>
          </cell>
          <cell r="EU223">
            <v>0</v>
          </cell>
          <cell r="EV223" t="str">
            <v>持平</v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</row>
        <row r="224">
          <cell r="A224" t="str">
            <v>交通肇事案</v>
          </cell>
          <cell r="B224" t="str">
            <v>云安区</v>
          </cell>
        </row>
        <row r="224">
          <cell r="AM224">
            <v>1</v>
          </cell>
          <cell r="AN224">
            <v>0</v>
          </cell>
          <cell r="AO224" t="str">
            <v>多1起</v>
          </cell>
          <cell r="AP224">
            <v>1</v>
          </cell>
          <cell r="AQ224">
            <v>0</v>
          </cell>
          <cell r="AR224">
            <v>1</v>
          </cell>
          <cell r="AS224">
            <v>1</v>
          </cell>
          <cell r="AT224">
            <v>0</v>
          </cell>
          <cell r="AU224">
            <v>0</v>
          </cell>
          <cell r="AV224" t="str">
            <v>持平</v>
          </cell>
          <cell r="AW224">
            <v>1</v>
          </cell>
          <cell r="AX224" t="str">
            <v>少1起</v>
          </cell>
          <cell r="AY224">
            <v>0</v>
          </cell>
          <cell r="AZ224">
            <v>0</v>
          </cell>
          <cell r="BA224" t="str">
            <v>持平</v>
          </cell>
          <cell r="BB224">
            <v>1</v>
          </cell>
          <cell r="BC224" t="str">
            <v>少1起</v>
          </cell>
          <cell r="BD224" t="str">
            <v/>
          </cell>
          <cell r="BE224" t="str">
            <v/>
          </cell>
          <cell r="BF224">
            <v>1</v>
          </cell>
          <cell r="BG224">
            <v>1</v>
          </cell>
          <cell r="BH224">
            <v>0</v>
          </cell>
          <cell r="BI224">
            <v>0</v>
          </cell>
          <cell r="BJ224" t="str">
            <v>多1起</v>
          </cell>
          <cell r="BK224">
            <v>1</v>
          </cell>
          <cell r="BL224">
            <v>1</v>
          </cell>
          <cell r="BM224">
            <v>0</v>
          </cell>
          <cell r="BN224" t="str">
            <v>多1起</v>
          </cell>
          <cell r="BO224">
            <v>0</v>
          </cell>
          <cell r="BP224" t="str">
            <v>多1起</v>
          </cell>
          <cell r="BQ224">
            <v>0</v>
          </cell>
          <cell r="BR224">
            <v>2</v>
          </cell>
          <cell r="BS224" t="str">
            <v>少2起</v>
          </cell>
          <cell r="BT224">
            <v>1</v>
          </cell>
          <cell r="BU224" t="str">
            <v>少1起</v>
          </cell>
          <cell r="BV224">
            <v>0</v>
          </cell>
          <cell r="BW224">
            <v>-2</v>
          </cell>
          <cell r="BX224" t="str">
            <v/>
          </cell>
          <cell r="BY224" t="str">
            <v/>
          </cell>
          <cell r="BZ224">
            <v>0</v>
          </cell>
          <cell r="CA224">
            <v>0</v>
          </cell>
          <cell r="CB224" t="str">
            <v>持平</v>
          </cell>
          <cell r="CC224">
            <v>0</v>
          </cell>
          <cell r="CD224" t="str">
            <v>持平</v>
          </cell>
          <cell r="CE224" t="str">
            <v/>
          </cell>
          <cell r="CF224" t="str">
            <v/>
          </cell>
          <cell r="CG224">
            <v>1</v>
          </cell>
          <cell r="CH224">
            <v>1</v>
          </cell>
          <cell r="CI224">
            <v>0</v>
          </cell>
          <cell r="CJ224">
            <v>1</v>
          </cell>
          <cell r="CK224">
            <v>0</v>
          </cell>
          <cell r="CL224">
            <v>100</v>
          </cell>
          <cell r="CM224">
            <v>0</v>
          </cell>
          <cell r="CN224">
            <v>0</v>
          </cell>
          <cell r="CO224">
            <v>1</v>
          </cell>
          <cell r="CP224">
            <v>0</v>
          </cell>
          <cell r="CQ224" t="str">
            <v>多1人</v>
          </cell>
          <cell r="CR224">
            <v>1</v>
          </cell>
          <cell r="CS224">
            <v>0</v>
          </cell>
          <cell r="CT224">
            <v>1</v>
          </cell>
          <cell r="CU224">
            <v>1</v>
          </cell>
          <cell r="CV224">
            <v>100</v>
          </cell>
          <cell r="CW224">
            <v>100</v>
          </cell>
          <cell r="CX224" t="str">
            <v/>
          </cell>
          <cell r="CY224">
            <v>1</v>
          </cell>
          <cell r="CZ224">
            <v>1</v>
          </cell>
          <cell r="DA224">
            <v>0</v>
          </cell>
          <cell r="DB224">
            <v>1</v>
          </cell>
          <cell r="DC224">
            <v>0</v>
          </cell>
          <cell r="DD224">
            <v>1</v>
          </cell>
          <cell r="DE224">
            <v>0</v>
          </cell>
          <cell r="DF224">
            <v>100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 t="str">
            <v>持平</v>
          </cell>
          <cell r="DL224">
            <v>0</v>
          </cell>
          <cell r="DM224" t="str">
            <v>持平</v>
          </cell>
          <cell r="DN224">
            <v>0</v>
          </cell>
          <cell r="DO224">
            <v>2</v>
          </cell>
          <cell r="DP224" t="str">
            <v>少2人</v>
          </cell>
          <cell r="DQ224">
            <v>0</v>
          </cell>
          <cell r="DR224" t="str">
            <v>持平</v>
          </cell>
          <cell r="DS224">
            <v>0</v>
          </cell>
          <cell r="DT224">
            <v>2</v>
          </cell>
          <cell r="DU224" t="str">
            <v>少2人</v>
          </cell>
          <cell r="DV224">
            <v>0</v>
          </cell>
          <cell r="DW224" t="str">
            <v>持平</v>
          </cell>
          <cell r="DX224">
            <v>1</v>
          </cell>
          <cell r="DY224">
            <v>1</v>
          </cell>
          <cell r="DZ224">
            <v>0</v>
          </cell>
          <cell r="EA224">
            <v>1</v>
          </cell>
          <cell r="EB224">
            <v>0</v>
          </cell>
          <cell r="EC224">
            <v>1</v>
          </cell>
          <cell r="ED224">
            <v>0</v>
          </cell>
          <cell r="EE224" t="str">
            <v>多1人</v>
          </cell>
          <cell r="EF224">
            <v>1</v>
          </cell>
          <cell r="EG224">
            <v>0</v>
          </cell>
          <cell r="EH224">
            <v>1</v>
          </cell>
          <cell r="EI224" t="str">
            <v/>
          </cell>
          <cell r="EJ224">
            <v>100</v>
          </cell>
          <cell r="EK224">
            <v>100</v>
          </cell>
          <cell r="EL224" t="str">
            <v/>
          </cell>
          <cell r="EM224">
            <v>1</v>
          </cell>
          <cell r="EN224">
            <v>0</v>
          </cell>
          <cell r="EO224" t="str">
            <v>多1人</v>
          </cell>
          <cell r="EP224">
            <v>1</v>
          </cell>
          <cell r="EQ224">
            <v>0</v>
          </cell>
          <cell r="ER224">
            <v>0</v>
          </cell>
          <cell r="ES224">
            <v>2</v>
          </cell>
          <cell r="ET224" t="str">
            <v>少2人</v>
          </cell>
          <cell r="EU224">
            <v>1</v>
          </cell>
          <cell r="EV224" t="str">
            <v>少1人</v>
          </cell>
          <cell r="EW224">
            <v>0</v>
          </cell>
          <cell r="EX224" t="str">
            <v/>
          </cell>
          <cell r="EY224">
            <v>0</v>
          </cell>
          <cell r="EZ224">
            <v>-200</v>
          </cell>
          <cell r="FA224">
            <v>-1</v>
          </cell>
        </row>
        <row r="225">
          <cell r="A225" t="str">
            <v>交通肇事案</v>
          </cell>
          <cell r="B225" t="str">
            <v>新兴县</v>
          </cell>
        </row>
        <row r="225">
          <cell r="AM225">
            <v>5</v>
          </cell>
          <cell r="AN225">
            <v>3</v>
          </cell>
          <cell r="AO225">
            <v>0.6667</v>
          </cell>
          <cell r="AP225">
            <v>4</v>
          </cell>
          <cell r="AQ225">
            <v>0.25</v>
          </cell>
          <cell r="AR225">
            <v>1.25</v>
          </cell>
          <cell r="AS225">
            <v>0.25</v>
          </cell>
          <cell r="AT225">
            <v>0</v>
          </cell>
          <cell r="AU225">
            <v>0</v>
          </cell>
          <cell r="AV225" t="str">
            <v>持平</v>
          </cell>
          <cell r="AW225">
            <v>4</v>
          </cell>
          <cell r="AX225" t="str">
            <v>少4起</v>
          </cell>
          <cell r="AY225">
            <v>0</v>
          </cell>
          <cell r="AZ225">
            <v>0</v>
          </cell>
          <cell r="BA225" t="str">
            <v>持平</v>
          </cell>
          <cell r="BB225">
            <v>4</v>
          </cell>
          <cell r="BC225" t="str">
            <v>少4起</v>
          </cell>
          <cell r="BD225" t="str">
            <v/>
          </cell>
          <cell r="BE225" t="str">
            <v/>
          </cell>
          <cell r="BF225">
            <v>4</v>
          </cell>
          <cell r="BG225">
            <v>3</v>
          </cell>
          <cell r="BH225">
            <v>0.3333</v>
          </cell>
          <cell r="BI225">
            <v>0</v>
          </cell>
          <cell r="BJ225" t="str">
            <v>多4起</v>
          </cell>
          <cell r="BK225">
            <v>1</v>
          </cell>
          <cell r="BL225">
            <v>5</v>
          </cell>
          <cell r="BM225">
            <v>3</v>
          </cell>
          <cell r="BN225">
            <v>0.6667</v>
          </cell>
          <cell r="BO225">
            <v>0</v>
          </cell>
          <cell r="BP225" t="str">
            <v>多5起</v>
          </cell>
          <cell r="BQ225">
            <v>2</v>
          </cell>
          <cell r="BR225">
            <v>4</v>
          </cell>
          <cell r="BS225">
            <v>-0.5</v>
          </cell>
          <cell r="BT225">
            <v>4</v>
          </cell>
          <cell r="BU225">
            <v>-0.5</v>
          </cell>
          <cell r="BV225">
            <v>0.5</v>
          </cell>
          <cell r="BW225">
            <v>-0.8333</v>
          </cell>
          <cell r="BX225" t="str">
            <v/>
          </cell>
          <cell r="BY225" t="str">
            <v/>
          </cell>
          <cell r="BZ225">
            <v>0</v>
          </cell>
          <cell r="CA225">
            <v>0</v>
          </cell>
          <cell r="CB225" t="str">
            <v>持平</v>
          </cell>
          <cell r="CC225">
            <v>0</v>
          </cell>
          <cell r="CD225" t="str">
            <v>持平</v>
          </cell>
          <cell r="CE225" t="str">
            <v/>
          </cell>
          <cell r="CF225" t="str">
            <v/>
          </cell>
          <cell r="CG225">
            <v>4</v>
          </cell>
          <cell r="CH225">
            <v>1</v>
          </cell>
          <cell r="CI225">
            <v>3</v>
          </cell>
          <cell r="CJ225">
            <v>3</v>
          </cell>
          <cell r="CK225">
            <v>0.3333</v>
          </cell>
          <cell r="CL225">
            <v>100</v>
          </cell>
          <cell r="CM225">
            <v>67</v>
          </cell>
          <cell r="CN225">
            <v>2</v>
          </cell>
          <cell r="CO225">
            <v>3</v>
          </cell>
          <cell r="CP225">
            <v>0</v>
          </cell>
          <cell r="CQ225" t="str">
            <v>多3人</v>
          </cell>
          <cell r="CR225">
            <v>4</v>
          </cell>
          <cell r="CS225">
            <v>-0.25</v>
          </cell>
          <cell r="CT225">
            <v>0.75</v>
          </cell>
          <cell r="CU225">
            <v>0.75</v>
          </cell>
          <cell r="CV225">
            <v>75</v>
          </cell>
          <cell r="CW225">
            <v>75</v>
          </cell>
          <cell r="CX225" t="str">
            <v/>
          </cell>
          <cell r="CY225">
            <v>5</v>
          </cell>
          <cell r="CZ225">
            <v>0</v>
          </cell>
          <cell r="DA225" t="str">
            <v>多5人</v>
          </cell>
          <cell r="DB225">
            <v>8</v>
          </cell>
          <cell r="DC225">
            <v>-0.375</v>
          </cell>
          <cell r="DD225">
            <v>1.25</v>
          </cell>
          <cell r="DE225">
            <v>1.25</v>
          </cell>
          <cell r="DF225">
            <v>125</v>
          </cell>
          <cell r="DG225">
            <v>125</v>
          </cell>
          <cell r="DH225" t="str">
            <v/>
          </cell>
          <cell r="DI225">
            <v>5</v>
          </cell>
          <cell r="DJ225">
            <v>0</v>
          </cell>
          <cell r="DK225" t="str">
            <v>多5人</v>
          </cell>
          <cell r="DL225">
            <v>7</v>
          </cell>
          <cell r="DM225">
            <v>-0.2857</v>
          </cell>
          <cell r="DN225">
            <v>3</v>
          </cell>
          <cell r="DO225">
            <v>1</v>
          </cell>
          <cell r="DP225">
            <v>2</v>
          </cell>
          <cell r="DQ225">
            <v>4</v>
          </cell>
          <cell r="DR225">
            <v>-0.25</v>
          </cell>
          <cell r="DS225">
            <v>3</v>
          </cell>
          <cell r="DT225">
            <v>1</v>
          </cell>
          <cell r="DU225">
            <v>2</v>
          </cell>
          <cell r="DV225">
            <v>4</v>
          </cell>
          <cell r="DW225">
            <v>-0.25</v>
          </cell>
          <cell r="DX225">
            <v>6</v>
          </cell>
          <cell r="DY225">
            <v>0</v>
          </cell>
          <cell r="DZ225" t="str">
            <v>多6人</v>
          </cell>
          <cell r="EA225">
            <v>7</v>
          </cell>
          <cell r="EB225">
            <v>-0.1429</v>
          </cell>
          <cell r="EC225">
            <v>2</v>
          </cell>
          <cell r="ED225">
            <v>0</v>
          </cell>
          <cell r="EE225" t="str">
            <v>多2人</v>
          </cell>
          <cell r="EF225">
            <v>2</v>
          </cell>
          <cell r="EG225">
            <v>0</v>
          </cell>
          <cell r="EH225">
            <v>0.6667</v>
          </cell>
          <cell r="EI225" t="str">
            <v/>
          </cell>
          <cell r="EJ225">
            <v>50</v>
          </cell>
          <cell r="EK225">
            <v>50</v>
          </cell>
          <cell r="EL225" t="str">
            <v/>
          </cell>
          <cell r="EM225">
            <v>2</v>
          </cell>
          <cell r="EN225">
            <v>0</v>
          </cell>
          <cell r="EO225" t="str">
            <v>多2人</v>
          </cell>
          <cell r="EP225">
            <v>2</v>
          </cell>
          <cell r="EQ225">
            <v>0</v>
          </cell>
          <cell r="ER225">
            <v>2</v>
          </cell>
          <cell r="ES225">
            <v>4</v>
          </cell>
          <cell r="ET225">
            <v>-0.5</v>
          </cell>
          <cell r="EU225">
            <v>4</v>
          </cell>
          <cell r="EV225">
            <v>-0.5</v>
          </cell>
          <cell r="EW225">
            <v>0.6667</v>
          </cell>
          <cell r="EX225" t="str">
            <v/>
          </cell>
          <cell r="EY225">
            <v>50</v>
          </cell>
          <cell r="EZ225">
            <v>-83</v>
          </cell>
          <cell r="FA225">
            <v>-0.625</v>
          </cell>
        </row>
        <row r="226">
          <cell r="A226" t="str">
            <v>交通肇事案</v>
          </cell>
          <cell r="B226" t="str">
            <v>郁南县</v>
          </cell>
        </row>
        <row r="226">
          <cell r="AM226">
            <v>2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0.6667</v>
          </cell>
          <cell r="AS226">
            <v>-0.3333</v>
          </cell>
          <cell r="AT226">
            <v>0</v>
          </cell>
          <cell r="AU226">
            <v>0</v>
          </cell>
          <cell r="AV226" t="str">
            <v>持平</v>
          </cell>
          <cell r="AW226">
            <v>1</v>
          </cell>
          <cell r="AX226" t="str">
            <v>少1起</v>
          </cell>
          <cell r="AY226">
            <v>0</v>
          </cell>
          <cell r="AZ226">
            <v>0</v>
          </cell>
          <cell r="BA226" t="str">
            <v>持平</v>
          </cell>
          <cell r="BB226">
            <v>1</v>
          </cell>
          <cell r="BC226" t="str">
            <v>少1起</v>
          </cell>
          <cell r="BD226" t="str">
            <v/>
          </cell>
          <cell r="BE226" t="str">
            <v/>
          </cell>
          <cell r="BF226">
            <v>3</v>
          </cell>
          <cell r="BG226">
            <v>1</v>
          </cell>
          <cell r="BH226">
            <v>2</v>
          </cell>
          <cell r="BI226">
            <v>0</v>
          </cell>
          <cell r="BJ226" t="str">
            <v>多3起</v>
          </cell>
          <cell r="BK226">
            <v>1</v>
          </cell>
          <cell r="BL226">
            <v>2</v>
          </cell>
          <cell r="BM226">
            <v>1</v>
          </cell>
          <cell r="BN226">
            <v>1</v>
          </cell>
          <cell r="BO226">
            <v>0</v>
          </cell>
          <cell r="BP226" t="str">
            <v>多2起</v>
          </cell>
          <cell r="BQ226">
            <v>0</v>
          </cell>
          <cell r="BR226">
            <v>2</v>
          </cell>
          <cell r="BS226" t="str">
            <v>少2起</v>
          </cell>
          <cell r="BT226">
            <v>1</v>
          </cell>
          <cell r="BU226" t="str">
            <v>少1起</v>
          </cell>
          <cell r="BV226">
            <v>0</v>
          </cell>
          <cell r="BW226">
            <v>-2</v>
          </cell>
          <cell r="BX226" t="str">
            <v/>
          </cell>
          <cell r="BY226" t="str">
            <v/>
          </cell>
          <cell r="BZ226">
            <v>0</v>
          </cell>
          <cell r="CA226">
            <v>0</v>
          </cell>
          <cell r="CB226" t="str">
            <v>持平</v>
          </cell>
          <cell r="CC226">
            <v>0</v>
          </cell>
          <cell r="CD226" t="str">
            <v>持平</v>
          </cell>
          <cell r="CE226" t="str">
            <v/>
          </cell>
          <cell r="CF226" t="str">
            <v/>
          </cell>
          <cell r="CG226">
            <v>2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67</v>
          </cell>
          <cell r="CM226">
            <v>-33</v>
          </cell>
          <cell r="CN226">
            <v>-0.3333</v>
          </cell>
          <cell r="CO226">
            <v>2</v>
          </cell>
          <cell r="CP226">
            <v>1</v>
          </cell>
          <cell r="CQ226">
            <v>1</v>
          </cell>
          <cell r="CR226">
            <v>0</v>
          </cell>
          <cell r="CS226" t="str">
            <v>多2人</v>
          </cell>
          <cell r="CT226">
            <v>1</v>
          </cell>
          <cell r="CU226">
            <v>0</v>
          </cell>
          <cell r="CV226">
            <v>67</v>
          </cell>
          <cell r="CW226">
            <v>-33</v>
          </cell>
          <cell r="CX226">
            <v>-0.3333</v>
          </cell>
          <cell r="CY226">
            <v>2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0</v>
          </cell>
          <cell r="DF226">
            <v>67</v>
          </cell>
          <cell r="DG226">
            <v>-33</v>
          </cell>
          <cell r="DH226">
            <v>-0.3333</v>
          </cell>
          <cell r="DI226">
            <v>1</v>
          </cell>
          <cell r="DJ226">
            <v>1</v>
          </cell>
          <cell r="DK226">
            <v>0</v>
          </cell>
          <cell r="DL226">
            <v>1</v>
          </cell>
          <cell r="DM226">
            <v>0</v>
          </cell>
          <cell r="DN226">
            <v>1</v>
          </cell>
          <cell r="DO226">
            <v>0</v>
          </cell>
          <cell r="DP226" t="str">
            <v>多1人</v>
          </cell>
          <cell r="DQ226">
            <v>1</v>
          </cell>
          <cell r="DR226">
            <v>0</v>
          </cell>
          <cell r="DS226">
            <v>1</v>
          </cell>
          <cell r="DT226">
            <v>0</v>
          </cell>
          <cell r="DU226" t="str">
            <v>多1人</v>
          </cell>
          <cell r="DV226">
            <v>1</v>
          </cell>
          <cell r="DW226">
            <v>0</v>
          </cell>
          <cell r="DX226">
            <v>1</v>
          </cell>
          <cell r="DY226">
            <v>1</v>
          </cell>
          <cell r="DZ226">
            <v>0</v>
          </cell>
          <cell r="EA226">
            <v>1</v>
          </cell>
          <cell r="EB226">
            <v>0</v>
          </cell>
          <cell r="EC226">
            <v>0</v>
          </cell>
          <cell r="ED226">
            <v>1</v>
          </cell>
          <cell r="EE226" t="str">
            <v>少1人</v>
          </cell>
          <cell r="EF226">
            <v>0</v>
          </cell>
          <cell r="EG226" t="str">
            <v>持平</v>
          </cell>
          <cell r="EH226">
            <v>0</v>
          </cell>
          <cell r="EI226">
            <v>-1</v>
          </cell>
          <cell r="EJ226">
            <v>0</v>
          </cell>
          <cell r="EK226">
            <v>-100</v>
          </cell>
          <cell r="EL226">
            <v>-1</v>
          </cell>
          <cell r="EM226">
            <v>0</v>
          </cell>
          <cell r="EN226">
            <v>1</v>
          </cell>
          <cell r="EO226" t="str">
            <v>少1人</v>
          </cell>
          <cell r="EP226">
            <v>0</v>
          </cell>
          <cell r="EQ226" t="str">
            <v>持平</v>
          </cell>
          <cell r="ER226">
            <v>0</v>
          </cell>
          <cell r="ES226">
            <v>2</v>
          </cell>
          <cell r="ET226" t="str">
            <v>少2人</v>
          </cell>
          <cell r="EU226">
            <v>1</v>
          </cell>
          <cell r="EV226" t="str">
            <v>少1人</v>
          </cell>
          <cell r="EW226">
            <v>0</v>
          </cell>
          <cell r="EX226">
            <v>-2</v>
          </cell>
          <cell r="EY226">
            <v>0</v>
          </cell>
          <cell r="EZ226">
            <v>-200</v>
          </cell>
          <cell r="FA226">
            <v>-1</v>
          </cell>
        </row>
        <row r="227">
          <cell r="A227" t="str">
            <v>交通肇事案</v>
          </cell>
          <cell r="B227" t="str">
            <v>罗定市</v>
          </cell>
        </row>
        <row r="227">
          <cell r="AM227">
            <v>1</v>
          </cell>
          <cell r="AN227">
            <v>1</v>
          </cell>
          <cell r="AO227">
            <v>0</v>
          </cell>
          <cell r="AP227">
            <v>6</v>
          </cell>
          <cell r="AQ227">
            <v>-0.8333</v>
          </cell>
          <cell r="AR227">
            <v>0.25</v>
          </cell>
          <cell r="AS227">
            <v>-0.0833</v>
          </cell>
          <cell r="AT227">
            <v>0</v>
          </cell>
          <cell r="AU227">
            <v>0</v>
          </cell>
          <cell r="AV227" t="str">
            <v>持平</v>
          </cell>
          <cell r="AW227">
            <v>3</v>
          </cell>
          <cell r="AX227" t="str">
            <v>少3起</v>
          </cell>
          <cell r="AY227">
            <v>0</v>
          </cell>
          <cell r="AZ227">
            <v>0</v>
          </cell>
          <cell r="BA227" t="str">
            <v>持平</v>
          </cell>
          <cell r="BB227">
            <v>6</v>
          </cell>
          <cell r="BC227" t="str">
            <v>少6起</v>
          </cell>
          <cell r="BD227" t="str">
            <v/>
          </cell>
          <cell r="BE227" t="str">
            <v/>
          </cell>
          <cell r="BF227">
            <v>4</v>
          </cell>
          <cell r="BG227">
            <v>3</v>
          </cell>
          <cell r="BH227">
            <v>0.3333</v>
          </cell>
          <cell r="BI227">
            <v>0</v>
          </cell>
          <cell r="BJ227" t="str">
            <v>多4起</v>
          </cell>
          <cell r="BK227">
            <v>1</v>
          </cell>
          <cell r="BL227">
            <v>1</v>
          </cell>
          <cell r="BM227">
            <v>1</v>
          </cell>
          <cell r="BN227">
            <v>0</v>
          </cell>
          <cell r="BO227">
            <v>0</v>
          </cell>
          <cell r="BP227" t="str">
            <v>多1起</v>
          </cell>
          <cell r="BQ227">
            <v>1</v>
          </cell>
          <cell r="BR227">
            <v>0</v>
          </cell>
          <cell r="BS227" t="str">
            <v>多1起</v>
          </cell>
          <cell r="BT227">
            <v>7</v>
          </cell>
          <cell r="BU227">
            <v>-0.8571</v>
          </cell>
          <cell r="BV227">
            <v>0.25</v>
          </cell>
          <cell r="BW227">
            <v>0.25</v>
          </cell>
          <cell r="BX227" t="str">
            <v/>
          </cell>
          <cell r="BY227" t="str">
            <v/>
          </cell>
          <cell r="BZ227">
            <v>0</v>
          </cell>
          <cell r="CA227">
            <v>0</v>
          </cell>
          <cell r="CB227" t="str">
            <v>持平</v>
          </cell>
          <cell r="CC227">
            <v>0</v>
          </cell>
          <cell r="CD227" t="str">
            <v>持平</v>
          </cell>
          <cell r="CE227" t="str">
            <v/>
          </cell>
          <cell r="CF227" t="str">
            <v/>
          </cell>
          <cell r="CG227">
            <v>0</v>
          </cell>
          <cell r="CH227">
            <v>3</v>
          </cell>
          <cell r="CI227" t="str">
            <v>少3人</v>
          </cell>
          <cell r="CJ227">
            <v>3</v>
          </cell>
          <cell r="CK227" t="str">
            <v>少3人</v>
          </cell>
          <cell r="CL227">
            <v>0</v>
          </cell>
          <cell r="CM227">
            <v>-100</v>
          </cell>
          <cell r="CN227">
            <v>-1</v>
          </cell>
          <cell r="CO227">
            <v>1</v>
          </cell>
          <cell r="CP227">
            <v>0</v>
          </cell>
          <cell r="CQ227" t="str">
            <v>多1人</v>
          </cell>
          <cell r="CR227">
            <v>2</v>
          </cell>
          <cell r="CS227">
            <v>-0.5</v>
          </cell>
          <cell r="CT227" t="str">
            <v/>
          </cell>
          <cell r="CU227" t="str">
            <v/>
          </cell>
          <cell r="CV227">
            <v>25</v>
          </cell>
          <cell r="CW227">
            <v>25</v>
          </cell>
          <cell r="CX227" t="str">
            <v/>
          </cell>
          <cell r="CY227">
            <v>2</v>
          </cell>
          <cell r="CZ227">
            <v>3</v>
          </cell>
          <cell r="DA227">
            <v>-0.3333</v>
          </cell>
          <cell r="DB227">
            <v>5</v>
          </cell>
          <cell r="DC227">
            <v>-0.6</v>
          </cell>
          <cell r="DD227" t="str">
            <v/>
          </cell>
          <cell r="DE227" t="str">
            <v/>
          </cell>
          <cell r="DF227">
            <v>50</v>
          </cell>
          <cell r="DG227">
            <v>-50</v>
          </cell>
          <cell r="DH227">
            <v>-0.5</v>
          </cell>
          <cell r="DI227">
            <v>1</v>
          </cell>
          <cell r="DJ227">
            <v>0</v>
          </cell>
          <cell r="DK227" t="str">
            <v>多1人</v>
          </cell>
          <cell r="DL227">
            <v>5</v>
          </cell>
          <cell r="DM227">
            <v>-0.8</v>
          </cell>
          <cell r="DN227">
            <v>1</v>
          </cell>
          <cell r="DO227">
            <v>3</v>
          </cell>
          <cell r="DP227">
            <v>-0.6667</v>
          </cell>
          <cell r="DQ227">
            <v>7</v>
          </cell>
          <cell r="DR227">
            <v>-0.8571</v>
          </cell>
          <cell r="DS227">
            <v>1</v>
          </cell>
          <cell r="DT227">
            <v>3</v>
          </cell>
          <cell r="DU227">
            <v>-0.6667</v>
          </cell>
          <cell r="DV227">
            <v>7</v>
          </cell>
          <cell r="DW227">
            <v>-0.8571</v>
          </cell>
          <cell r="DX227">
            <v>1</v>
          </cell>
          <cell r="DY227">
            <v>1</v>
          </cell>
          <cell r="DZ227">
            <v>0</v>
          </cell>
          <cell r="EA227">
            <v>1</v>
          </cell>
          <cell r="EB227">
            <v>0</v>
          </cell>
          <cell r="EC227">
            <v>1</v>
          </cell>
          <cell r="ED227">
            <v>0</v>
          </cell>
          <cell r="EE227" t="str">
            <v>多1人</v>
          </cell>
          <cell r="EF227">
            <v>0</v>
          </cell>
          <cell r="EG227" t="str">
            <v>多1人</v>
          </cell>
          <cell r="EH227">
            <v>1</v>
          </cell>
          <cell r="EI227" t="str">
            <v/>
          </cell>
          <cell r="EJ227">
            <v>25</v>
          </cell>
          <cell r="EK227">
            <v>25</v>
          </cell>
          <cell r="EL227" t="str">
            <v/>
          </cell>
          <cell r="EM227">
            <v>1</v>
          </cell>
          <cell r="EN227">
            <v>0</v>
          </cell>
          <cell r="EO227" t="str">
            <v>多1人</v>
          </cell>
          <cell r="EP227">
            <v>0</v>
          </cell>
          <cell r="EQ227" t="str">
            <v>多1人</v>
          </cell>
          <cell r="ER227">
            <v>1</v>
          </cell>
          <cell r="ES227">
            <v>0</v>
          </cell>
          <cell r="ET227" t="str">
            <v>多1人</v>
          </cell>
          <cell r="EU227">
            <v>7</v>
          </cell>
          <cell r="EV227">
            <v>-0.8571</v>
          </cell>
          <cell r="EW227">
            <v>1</v>
          </cell>
          <cell r="EX227" t="str">
            <v/>
          </cell>
          <cell r="EY227">
            <v>25</v>
          </cell>
          <cell r="EZ227">
            <v>25</v>
          </cell>
          <cell r="FA227" t="str">
            <v/>
          </cell>
        </row>
        <row r="228">
          <cell r="A228" t="str">
            <v>故意毁坏财物</v>
          </cell>
          <cell r="B228" t="str">
            <v>全省</v>
          </cell>
        </row>
        <row r="228">
          <cell r="AM228">
            <v>191</v>
          </cell>
          <cell r="AN228">
            <v>113</v>
          </cell>
          <cell r="AO228">
            <v>0.6903</v>
          </cell>
          <cell r="AP228">
            <v>280</v>
          </cell>
          <cell r="AQ228">
            <v>-0.3179</v>
          </cell>
          <cell r="AR228">
            <v>0.7796</v>
          </cell>
          <cell r="AS228">
            <v>0.1721</v>
          </cell>
          <cell r="AT228">
            <v>128</v>
          </cell>
          <cell r="AU228">
            <v>79</v>
          </cell>
          <cell r="AV228">
            <v>0.6203</v>
          </cell>
          <cell r="AW228">
            <v>237</v>
          </cell>
          <cell r="AX228">
            <v>-0.4599</v>
          </cell>
          <cell r="AY228">
            <v>90</v>
          </cell>
          <cell r="AZ228">
            <v>50</v>
          </cell>
          <cell r="BA228">
            <v>0.8</v>
          </cell>
          <cell r="BB228">
            <v>226</v>
          </cell>
          <cell r="BC228">
            <v>-0.6018</v>
          </cell>
          <cell r="BD228">
            <v>0.7031</v>
          </cell>
          <cell r="BE228">
            <v>0.0702</v>
          </cell>
          <cell r="BF228">
            <v>117</v>
          </cell>
          <cell r="BG228">
            <v>107</v>
          </cell>
          <cell r="BH228">
            <v>0.0935</v>
          </cell>
          <cell r="BI228">
            <v>13</v>
          </cell>
          <cell r="BJ228">
            <v>8</v>
          </cell>
          <cell r="BK228">
            <v>0.4776</v>
          </cell>
          <cell r="BL228">
            <v>101</v>
          </cell>
          <cell r="BM228">
            <v>63</v>
          </cell>
          <cell r="BN228">
            <v>0.6032</v>
          </cell>
          <cell r="BO228">
            <v>54</v>
          </cell>
          <cell r="BP228">
            <v>0.8704</v>
          </cell>
          <cell r="BQ228">
            <v>104</v>
          </cell>
          <cell r="BR228">
            <v>67</v>
          </cell>
          <cell r="BS228">
            <v>0.5522</v>
          </cell>
          <cell r="BT228">
            <v>160</v>
          </cell>
          <cell r="BU228">
            <v>-0.35</v>
          </cell>
          <cell r="BV228">
            <v>0.4245</v>
          </cell>
          <cell r="BW228">
            <v>0.0643</v>
          </cell>
          <cell r="BX228">
            <v>0.8125</v>
          </cell>
          <cell r="BY228">
            <v>-0.0356</v>
          </cell>
          <cell r="BZ228">
            <v>0</v>
          </cell>
          <cell r="CA228">
            <v>0</v>
          </cell>
          <cell r="CB228" t="str">
            <v>持平</v>
          </cell>
          <cell r="CC228">
            <v>26</v>
          </cell>
          <cell r="CD228" t="str">
            <v>少26起</v>
          </cell>
          <cell r="CE228" t="str">
            <v/>
          </cell>
          <cell r="CF228" t="str">
            <v/>
          </cell>
          <cell r="CG228">
            <v>218</v>
          </cell>
          <cell r="CH228">
            <v>159</v>
          </cell>
          <cell r="CI228">
            <v>0.3711</v>
          </cell>
          <cell r="CJ228">
            <v>257</v>
          </cell>
          <cell r="CK228">
            <v>-0.1518</v>
          </cell>
          <cell r="CL228">
            <v>89</v>
          </cell>
          <cell r="CM228">
            <v>3</v>
          </cell>
          <cell r="CN228">
            <v>0.0409</v>
          </cell>
          <cell r="CO228">
            <v>166</v>
          </cell>
          <cell r="CP228">
            <v>64</v>
          </cell>
          <cell r="CQ228">
            <v>1.5938</v>
          </cell>
          <cell r="CR228">
            <v>159</v>
          </cell>
          <cell r="CS228">
            <v>0.044</v>
          </cell>
          <cell r="CT228">
            <v>0.7615</v>
          </cell>
          <cell r="CU228">
            <v>0.359</v>
          </cell>
          <cell r="CV228">
            <v>68</v>
          </cell>
          <cell r="CW228">
            <v>33</v>
          </cell>
          <cell r="CX228">
            <v>0.9691</v>
          </cell>
          <cell r="CY228">
            <v>237</v>
          </cell>
          <cell r="CZ228">
            <v>120</v>
          </cell>
          <cell r="DA228">
            <v>0.975</v>
          </cell>
          <cell r="DB228">
            <v>251</v>
          </cell>
          <cell r="DC228">
            <v>-0.0558</v>
          </cell>
          <cell r="DD228">
            <v>1.0872</v>
          </cell>
          <cell r="DE228">
            <v>0.3324</v>
          </cell>
          <cell r="DF228">
            <v>97</v>
          </cell>
          <cell r="DG228">
            <v>32</v>
          </cell>
          <cell r="DH228">
            <v>0.4994</v>
          </cell>
          <cell r="DI228">
            <v>216</v>
          </cell>
          <cell r="DJ228">
            <v>123</v>
          </cell>
          <cell r="DK228">
            <v>0.7561</v>
          </cell>
          <cell r="DL228">
            <v>246</v>
          </cell>
          <cell r="DM228">
            <v>-0.122</v>
          </cell>
          <cell r="DN228">
            <v>193</v>
          </cell>
          <cell r="DO228">
            <v>143</v>
          </cell>
          <cell r="DP228">
            <v>0.3497</v>
          </cell>
          <cell r="DQ228">
            <v>204</v>
          </cell>
          <cell r="DR228">
            <v>-0.0539</v>
          </cell>
          <cell r="DS228">
            <v>193</v>
          </cell>
          <cell r="DT228">
            <v>143</v>
          </cell>
          <cell r="DU228">
            <v>0.3497</v>
          </cell>
          <cell r="DV228">
            <v>204</v>
          </cell>
          <cell r="DW228">
            <v>-0.0539</v>
          </cell>
          <cell r="DX228">
            <v>124</v>
          </cell>
          <cell r="DY228">
            <v>90</v>
          </cell>
          <cell r="DZ228">
            <v>0.3778</v>
          </cell>
          <cell r="EA228">
            <v>146</v>
          </cell>
          <cell r="EB228">
            <v>-0.1507</v>
          </cell>
          <cell r="EC228">
            <v>37</v>
          </cell>
          <cell r="ED228">
            <v>28</v>
          </cell>
          <cell r="EE228">
            <v>0.3214</v>
          </cell>
          <cell r="EF228">
            <v>74</v>
          </cell>
          <cell r="EG228">
            <v>-0.5</v>
          </cell>
          <cell r="EH228">
            <v>0.2229</v>
          </cell>
          <cell r="EI228">
            <v>-0.2146</v>
          </cell>
          <cell r="EJ228">
            <v>15</v>
          </cell>
          <cell r="EK228">
            <v>0</v>
          </cell>
          <cell r="EL228">
            <v>0.0032</v>
          </cell>
          <cell r="EM228">
            <v>38</v>
          </cell>
          <cell r="EN228">
            <v>31</v>
          </cell>
          <cell r="EO228">
            <v>0.2258</v>
          </cell>
          <cell r="EP228">
            <v>77</v>
          </cell>
          <cell r="EQ228">
            <v>-0.5065</v>
          </cell>
          <cell r="ER228">
            <v>120</v>
          </cell>
          <cell r="ES228">
            <v>74</v>
          </cell>
          <cell r="ET228">
            <v>0.6216</v>
          </cell>
          <cell r="EU228">
            <v>177</v>
          </cell>
          <cell r="EV228">
            <v>-0.322</v>
          </cell>
          <cell r="EW228">
            <v>0.7229</v>
          </cell>
          <cell r="EX228">
            <v>-0.4334</v>
          </cell>
          <cell r="EY228">
            <v>49</v>
          </cell>
          <cell r="EZ228">
            <v>9</v>
          </cell>
          <cell r="FA228">
            <v>0.2311</v>
          </cell>
        </row>
        <row r="229">
          <cell r="A229" t="str">
            <v>故意毁坏财物</v>
          </cell>
          <cell r="B229" t="str">
            <v>云浮</v>
          </cell>
        </row>
        <row r="229">
          <cell r="AM229">
            <v>1</v>
          </cell>
          <cell r="AN229">
            <v>1</v>
          </cell>
          <cell r="AO229">
            <v>0</v>
          </cell>
          <cell r="AP229">
            <v>0</v>
          </cell>
          <cell r="AQ229" t="str">
            <v>多1起</v>
          </cell>
          <cell r="AR229">
            <v>1</v>
          </cell>
          <cell r="AS229" t="str">
            <v/>
          </cell>
          <cell r="AT229">
            <v>0</v>
          </cell>
          <cell r="AU229">
            <v>0</v>
          </cell>
          <cell r="AV229" t="str">
            <v>持平</v>
          </cell>
          <cell r="AW229">
            <v>1</v>
          </cell>
          <cell r="AX229" t="str">
            <v>少1起</v>
          </cell>
          <cell r="AY229">
            <v>0</v>
          </cell>
          <cell r="AZ229">
            <v>0</v>
          </cell>
          <cell r="BA229" t="str">
            <v>持平</v>
          </cell>
          <cell r="BB229">
            <v>0</v>
          </cell>
          <cell r="BC229" t="str">
            <v>持平</v>
          </cell>
          <cell r="BD229" t="str">
            <v/>
          </cell>
          <cell r="BE229" t="str">
            <v/>
          </cell>
          <cell r="BF229">
            <v>1</v>
          </cell>
          <cell r="BG229">
            <v>0</v>
          </cell>
          <cell r="BH229" t="str">
            <v>多1起</v>
          </cell>
          <cell r="BI229">
            <v>0</v>
          </cell>
          <cell r="BJ229" t="str">
            <v>多1起</v>
          </cell>
          <cell r="BK229">
            <v>1</v>
          </cell>
          <cell r="BL229">
            <v>1</v>
          </cell>
          <cell r="BM229">
            <v>1</v>
          </cell>
          <cell r="BN229">
            <v>0</v>
          </cell>
          <cell r="BO229">
            <v>0</v>
          </cell>
          <cell r="BP229" t="str">
            <v>多1起</v>
          </cell>
          <cell r="BQ229">
            <v>0</v>
          </cell>
          <cell r="BR229">
            <v>0</v>
          </cell>
          <cell r="BS229" t="str">
            <v>持平</v>
          </cell>
          <cell r="BT229">
            <v>0</v>
          </cell>
          <cell r="BU229" t="str">
            <v>持平</v>
          </cell>
          <cell r="BV229">
            <v>0</v>
          </cell>
          <cell r="BW229" t="str">
            <v/>
          </cell>
          <cell r="BX229" t="str">
            <v/>
          </cell>
          <cell r="BY229" t="str">
            <v/>
          </cell>
          <cell r="BZ229">
            <v>0</v>
          </cell>
          <cell r="CA229">
            <v>0</v>
          </cell>
          <cell r="CB229" t="str">
            <v>持平</v>
          </cell>
          <cell r="CC229">
            <v>0</v>
          </cell>
          <cell r="CD229" t="str">
            <v>持平</v>
          </cell>
          <cell r="CE229" t="str">
            <v/>
          </cell>
          <cell r="CF229" t="str">
            <v/>
          </cell>
          <cell r="CG229">
            <v>0</v>
          </cell>
          <cell r="CH229">
            <v>1</v>
          </cell>
          <cell r="CI229" t="str">
            <v>少1人</v>
          </cell>
          <cell r="CJ229">
            <v>1</v>
          </cell>
          <cell r="CK229" t="str">
            <v>少1人</v>
          </cell>
          <cell r="CL229">
            <v>0</v>
          </cell>
          <cell r="CM229" t="str">
            <v/>
          </cell>
          <cell r="CN229" t="str">
            <v/>
          </cell>
          <cell r="CO229">
            <v>0</v>
          </cell>
          <cell r="CP229">
            <v>2</v>
          </cell>
          <cell r="CQ229" t="str">
            <v>少2人</v>
          </cell>
          <cell r="CR229">
            <v>0</v>
          </cell>
          <cell r="CS229" t="str">
            <v>持平</v>
          </cell>
          <cell r="CT229" t="str">
            <v/>
          </cell>
          <cell r="CU229" t="str">
            <v/>
          </cell>
          <cell r="CV229">
            <v>0</v>
          </cell>
          <cell r="CW229" t="str">
            <v/>
          </cell>
          <cell r="CX229" t="str">
            <v/>
          </cell>
          <cell r="CY229">
            <v>0</v>
          </cell>
          <cell r="CZ229">
            <v>5</v>
          </cell>
          <cell r="DA229" t="str">
            <v>少5人</v>
          </cell>
          <cell r="DB229">
            <v>0</v>
          </cell>
          <cell r="DC229" t="str">
            <v>持平</v>
          </cell>
          <cell r="DD229" t="str">
            <v/>
          </cell>
          <cell r="DE229" t="str">
            <v/>
          </cell>
          <cell r="DF229">
            <v>0</v>
          </cell>
          <cell r="DG229" t="str">
            <v/>
          </cell>
          <cell r="DH229" t="str">
            <v/>
          </cell>
          <cell r="DI229">
            <v>0</v>
          </cell>
          <cell r="DJ229">
            <v>5</v>
          </cell>
          <cell r="DK229" t="str">
            <v>少5人</v>
          </cell>
          <cell r="DL229">
            <v>0</v>
          </cell>
          <cell r="DM229" t="str">
            <v>持平</v>
          </cell>
          <cell r="DN229">
            <v>0</v>
          </cell>
          <cell r="DO229">
            <v>6</v>
          </cell>
          <cell r="DP229" t="str">
            <v>少6人</v>
          </cell>
          <cell r="DQ229">
            <v>0</v>
          </cell>
          <cell r="DR229" t="str">
            <v>持平</v>
          </cell>
          <cell r="DS229">
            <v>0</v>
          </cell>
          <cell r="DT229">
            <v>6</v>
          </cell>
          <cell r="DU229" t="str">
            <v>少6人</v>
          </cell>
          <cell r="DV229">
            <v>0</v>
          </cell>
          <cell r="DW229" t="str">
            <v>持平</v>
          </cell>
          <cell r="DX229">
            <v>0</v>
          </cell>
          <cell r="DY229">
            <v>0</v>
          </cell>
          <cell r="DZ229" t="str">
            <v>持平</v>
          </cell>
          <cell r="EA229">
            <v>0</v>
          </cell>
          <cell r="EB229" t="str">
            <v>持平</v>
          </cell>
          <cell r="EC229">
            <v>0</v>
          </cell>
          <cell r="ED229">
            <v>0</v>
          </cell>
          <cell r="EE229" t="str">
            <v>持平</v>
          </cell>
          <cell r="EF229">
            <v>0</v>
          </cell>
          <cell r="EG229" t="str">
            <v>持平</v>
          </cell>
          <cell r="EH229" t="str">
            <v/>
          </cell>
          <cell r="EI229" t="str">
            <v/>
          </cell>
          <cell r="EJ229">
            <v>0</v>
          </cell>
          <cell r="EK229" t="str">
            <v/>
          </cell>
          <cell r="EL229" t="str">
            <v/>
          </cell>
          <cell r="EM229">
            <v>0</v>
          </cell>
          <cell r="EN229">
            <v>0</v>
          </cell>
          <cell r="EO229" t="str">
            <v>持平</v>
          </cell>
          <cell r="EP229">
            <v>0</v>
          </cell>
          <cell r="EQ229" t="str">
            <v>持平</v>
          </cell>
          <cell r="ER229">
            <v>0</v>
          </cell>
          <cell r="ES229">
            <v>0</v>
          </cell>
          <cell r="ET229" t="str">
            <v>持平</v>
          </cell>
          <cell r="EU229">
            <v>0</v>
          </cell>
          <cell r="EV229" t="str">
            <v>持平</v>
          </cell>
          <cell r="EW229" t="str">
            <v/>
          </cell>
          <cell r="EX229" t="str">
            <v/>
          </cell>
          <cell r="EY229">
            <v>0</v>
          </cell>
          <cell r="EZ229" t="str">
            <v/>
          </cell>
          <cell r="FA229" t="str">
            <v/>
          </cell>
        </row>
        <row r="230">
          <cell r="A230" t="str">
            <v>故意毁坏财物</v>
          </cell>
          <cell r="B230" t="str">
            <v>云城区</v>
          </cell>
        </row>
        <row r="230">
          <cell r="AM230">
            <v>0</v>
          </cell>
          <cell r="AN230">
            <v>0</v>
          </cell>
          <cell r="AO230" t="str">
            <v>持平</v>
          </cell>
          <cell r="AP230">
            <v>0</v>
          </cell>
          <cell r="AQ230" t="str">
            <v>持平</v>
          </cell>
          <cell r="AR230" t="str">
            <v/>
          </cell>
          <cell r="AS230" t="str">
            <v/>
          </cell>
          <cell r="AT230">
            <v>0</v>
          </cell>
          <cell r="AU230">
            <v>0</v>
          </cell>
          <cell r="AV230" t="str">
            <v>持平</v>
          </cell>
          <cell r="AW230">
            <v>0</v>
          </cell>
          <cell r="AX230" t="str">
            <v>持平</v>
          </cell>
          <cell r="AY230">
            <v>0</v>
          </cell>
          <cell r="AZ230">
            <v>0</v>
          </cell>
          <cell r="BA230" t="str">
            <v>持平</v>
          </cell>
          <cell r="BB230">
            <v>0</v>
          </cell>
          <cell r="BC230" t="str">
            <v>持平</v>
          </cell>
          <cell r="BD230" t="str">
            <v/>
          </cell>
          <cell r="BE230" t="str">
            <v/>
          </cell>
          <cell r="BF230">
            <v>0</v>
          </cell>
          <cell r="BG230">
            <v>0</v>
          </cell>
          <cell r="BH230" t="str">
            <v>持平</v>
          </cell>
          <cell r="BI230">
            <v>0</v>
          </cell>
          <cell r="BJ230" t="str">
            <v>持平</v>
          </cell>
          <cell r="BK230" t="str">
            <v/>
          </cell>
          <cell r="BL230">
            <v>0</v>
          </cell>
          <cell r="BM230">
            <v>0</v>
          </cell>
          <cell r="BN230" t="str">
            <v>持平</v>
          </cell>
          <cell r="BO230">
            <v>0</v>
          </cell>
          <cell r="BP230" t="str">
            <v>持平</v>
          </cell>
          <cell r="BQ230">
            <v>0</v>
          </cell>
          <cell r="BR230">
            <v>0</v>
          </cell>
          <cell r="BS230" t="str">
            <v>持平</v>
          </cell>
          <cell r="BT230">
            <v>0</v>
          </cell>
          <cell r="BU230" t="str">
            <v>持平</v>
          </cell>
          <cell r="BV230" t="str">
            <v/>
          </cell>
          <cell r="BW230" t="str">
            <v/>
          </cell>
          <cell r="BX230" t="str">
            <v/>
          </cell>
          <cell r="BY230" t="str">
            <v/>
          </cell>
          <cell r="BZ230">
            <v>0</v>
          </cell>
          <cell r="CA230">
            <v>0</v>
          </cell>
          <cell r="CB230" t="str">
            <v>持平</v>
          </cell>
          <cell r="CC230">
            <v>0</v>
          </cell>
          <cell r="CD230" t="str">
            <v>持平</v>
          </cell>
          <cell r="CE230" t="str">
            <v/>
          </cell>
          <cell r="CF230" t="str">
            <v/>
          </cell>
          <cell r="CG230">
            <v>0</v>
          </cell>
          <cell r="CH230">
            <v>0</v>
          </cell>
          <cell r="CI230" t="str">
            <v>持平</v>
          </cell>
          <cell r="CJ230">
            <v>0</v>
          </cell>
          <cell r="CK230" t="str">
            <v>持平</v>
          </cell>
          <cell r="CL230" t="str">
            <v/>
          </cell>
          <cell r="CM230" t="str">
            <v/>
          </cell>
          <cell r="CN230" t="str">
            <v/>
          </cell>
          <cell r="CO230">
            <v>0</v>
          </cell>
          <cell r="CP230">
            <v>0</v>
          </cell>
          <cell r="CQ230" t="str">
            <v>持平</v>
          </cell>
          <cell r="CR230">
            <v>0</v>
          </cell>
          <cell r="CS230" t="str">
            <v>持平</v>
          </cell>
          <cell r="CT230" t="str">
            <v/>
          </cell>
          <cell r="CU230" t="str">
            <v/>
          </cell>
          <cell r="CV230" t="str">
            <v/>
          </cell>
          <cell r="CW230" t="str">
            <v/>
          </cell>
          <cell r="CX230" t="str">
            <v/>
          </cell>
          <cell r="CY230">
            <v>0</v>
          </cell>
          <cell r="CZ230">
            <v>0</v>
          </cell>
          <cell r="DA230" t="str">
            <v>持平</v>
          </cell>
          <cell r="DB230">
            <v>0</v>
          </cell>
          <cell r="DC230" t="str">
            <v>持平</v>
          </cell>
          <cell r="DD230" t="str">
            <v/>
          </cell>
          <cell r="DE230" t="str">
            <v/>
          </cell>
          <cell r="DF230" t="str">
            <v/>
          </cell>
          <cell r="DG230" t="str">
            <v/>
          </cell>
          <cell r="DH230" t="str">
            <v/>
          </cell>
          <cell r="DI230">
            <v>0</v>
          </cell>
          <cell r="DJ230">
            <v>0</v>
          </cell>
          <cell r="DK230" t="str">
            <v>持平</v>
          </cell>
          <cell r="DL230">
            <v>0</v>
          </cell>
          <cell r="DM230" t="str">
            <v>持平</v>
          </cell>
          <cell r="DN230">
            <v>0</v>
          </cell>
          <cell r="DO230">
            <v>0</v>
          </cell>
          <cell r="DP230" t="str">
            <v>持平</v>
          </cell>
          <cell r="DQ230">
            <v>0</v>
          </cell>
          <cell r="DR230" t="str">
            <v>持平</v>
          </cell>
          <cell r="DS230">
            <v>0</v>
          </cell>
          <cell r="DT230">
            <v>0</v>
          </cell>
          <cell r="DU230" t="str">
            <v>持平</v>
          </cell>
          <cell r="DV230">
            <v>0</v>
          </cell>
          <cell r="DW230" t="str">
            <v>持平</v>
          </cell>
          <cell r="DX230">
            <v>0</v>
          </cell>
          <cell r="DY230">
            <v>0</v>
          </cell>
          <cell r="DZ230" t="str">
            <v>持平</v>
          </cell>
          <cell r="EA230">
            <v>0</v>
          </cell>
          <cell r="EB230" t="str">
            <v>持平</v>
          </cell>
          <cell r="EC230">
            <v>0</v>
          </cell>
          <cell r="ED230">
            <v>0</v>
          </cell>
          <cell r="EE230" t="str">
            <v>持平</v>
          </cell>
          <cell r="EF230">
            <v>0</v>
          </cell>
          <cell r="EG230" t="str">
            <v>持平</v>
          </cell>
          <cell r="EH230" t="str">
            <v/>
          </cell>
          <cell r="EI230" t="str">
            <v/>
          </cell>
          <cell r="EJ230" t="str">
            <v/>
          </cell>
          <cell r="EK230" t="str">
            <v/>
          </cell>
          <cell r="EL230" t="str">
            <v/>
          </cell>
          <cell r="EM230">
            <v>0</v>
          </cell>
          <cell r="EN230">
            <v>0</v>
          </cell>
          <cell r="EO230" t="str">
            <v>持平</v>
          </cell>
          <cell r="EP230">
            <v>0</v>
          </cell>
          <cell r="EQ230" t="str">
            <v>持平</v>
          </cell>
          <cell r="ER230">
            <v>0</v>
          </cell>
          <cell r="ES230">
            <v>0</v>
          </cell>
          <cell r="ET230" t="str">
            <v>持平</v>
          </cell>
          <cell r="EU230">
            <v>0</v>
          </cell>
          <cell r="EV230" t="str">
            <v>持平</v>
          </cell>
          <cell r="EW230" t="str">
            <v/>
          </cell>
          <cell r="EX230" t="str">
            <v/>
          </cell>
          <cell r="EY230" t="str">
            <v/>
          </cell>
          <cell r="EZ230" t="str">
            <v/>
          </cell>
          <cell r="FA230" t="str">
            <v/>
          </cell>
        </row>
        <row r="231">
          <cell r="A231" t="str">
            <v>故意毁坏财物</v>
          </cell>
          <cell r="B231" t="str">
            <v>云安区</v>
          </cell>
        </row>
        <row r="231">
          <cell r="AM231">
            <v>1</v>
          </cell>
          <cell r="AN231">
            <v>0</v>
          </cell>
          <cell r="AO231" t="str">
            <v>多1起</v>
          </cell>
          <cell r="AP231">
            <v>0</v>
          </cell>
          <cell r="AQ231" t="str">
            <v>多1起</v>
          </cell>
          <cell r="AR231" t="str">
            <v/>
          </cell>
          <cell r="AS231" t="str">
            <v/>
          </cell>
          <cell r="AT231">
            <v>0</v>
          </cell>
          <cell r="AU231">
            <v>0</v>
          </cell>
          <cell r="AV231" t="str">
            <v>持平</v>
          </cell>
          <cell r="AW231">
            <v>0</v>
          </cell>
          <cell r="AX231" t="str">
            <v>持平</v>
          </cell>
          <cell r="AY231">
            <v>0</v>
          </cell>
          <cell r="AZ231">
            <v>0</v>
          </cell>
          <cell r="BA231" t="str">
            <v>持平</v>
          </cell>
          <cell r="BB231">
            <v>0</v>
          </cell>
          <cell r="BC231" t="str">
            <v>持平</v>
          </cell>
          <cell r="BD231" t="str">
            <v/>
          </cell>
          <cell r="BE231" t="str">
            <v/>
          </cell>
          <cell r="BF231">
            <v>0</v>
          </cell>
          <cell r="BG231">
            <v>0</v>
          </cell>
          <cell r="BH231" t="str">
            <v>持平</v>
          </cell>
          <cell r="BI231">
            <v>0</v>
          </cell>
          <cell r="BJ231" t="str">
            <v>持平</v>
          </cell>
          <cell r="BK231" t="str">
            <v/>
          </cell>
          <cell r="BL231">
            <v>1</v>
          </cell>
          <cell r="BM231">
            <v>0</v>
          </cell>
          <cell r="BN231" t="str">
            <v>多1起</v>
          </cell>
          <cell r="BO231">
            <v>0</v>
          </cell>
          <cell r="BP231" t="str">
            <v>多1起</v>
          </cell>
          <cell r="BQ231">
            <v>0</v>
          </cell>
          <cell r="BR231">
            <v>0</v>
          </cell>
          <cell r="BS231" t="str">
            <v>持平</v>
          </cell>
          <cell r="BT231">
            <v>0</v>
          </cell>
          <cell r="BU231" t="str">
            <v>持平</v>
          </cell>
          <cell r="BV231" t="str">
            <v/>
          </cell>
          <cell r="BW231" t="str">
            <v/>
          </cell>
          <cell r="BX231" t="str">
            <v/>
          </cell>
          <cell r="BY231" t="str">
            <v/>
          </cell>
          <cell r="BZ231">
            <v>0</v>
          </cell>
          <cell r="CA231">
            <v>0</v>
          </cell>
          <cell r="CB231" t="str">
            <v>持平</v>
          </cell>
          <cell r="CC231">
            <v>0</v>
          </cell>
          <cell r="CD231" t="str">
            <v>持平</v>
          </cell>
          <cell r="CE231" t="str">
            <v/>
          </cell>
          <cell r="CF231" t="str">
            <v/>
          </cell>
          <cell r="CG231">
            <v>0</v>
          </cell>
          <cell r="CH231">
            <v>0</v>
          </cell>
          <cell r="CI231" t="str">
            <v>持平</v>
          </cell>
          <cell r="CJ231">
            <v>0</v>
          </cell>
          <cell r="CK231" t="str">
            <v>持平</v>
          </cell>
          <cell r="CL231" t="str">
            <v/>
          </cell>
          <cell r="CM231" t="str">
            <v/>
          </cell>
          <cell r="CN231" t="str">
            <v/>
          </cell>
          <cell r="CO231">
            <v>0</v>
          </cell>
          <cell r="CP231">
            <v>0</v>
          </cell>
          <cell r="CQ231" t="str">
            <v>持平</v>
          </cell>
          <cell r="CR231">
            <v>0</v>
          </cell>
          <cell r="CS231" t="str">
            <v>持平</v>
          </cell>
          <cell r="CT231" t="str">
            <v/>
          </cell>
          <cell r="CU231" t="str">
            <v/>
          </cell>
          <cell r="CV231" t="str">
            <v/>
          </cell>
          <cell r="CW231" t="str">
            <v/>
          </cell>
          <cell r="CX231" t="str">
            <v/>
          </cell>
          <cell r="CY231">
            <v>0</v>
          </cell>
          <cell r="CZ231">
            <v>0</v>
          </cell>
          <cell r="DA231" t="str">
            <v>持平</v>
          </cell>
          <cell r="DB231">
            <v>0</v>
          </cell>
          <cell r="DC231" t="str">
            <v>持平</v>
          </cell>
          <cell r="DD231" t="str">
            <v/>
          </cell>
          <cell r="DE231" t="str">
            <v/>
          </cell>
          <cell r="DF231" t="str">
            <v/>
          </cell>
          <cell r="DG231" t="str">
            <v/>
          </cell>
          <cell r="DH231" t="str">
            <v/>
          </cell>
          <cell r="DI231">
            <v>0</v>
          </cell>
          <cell r="DJ231">
            <v>0</v>
          </cell>
          <cell r="DK231" t="str">
            <v>持平</v>
          </cell>
          <cell r="DL231">
            <v>0</v>
          </cell>
          <cell r="DM231" t="str">
            <v>持平</v>
          </cell>
          <cell r="DN231">
            <v>0</v>
          </cell>
          <cell r="DO231">
            <v>0</v>
          </cell>
          <cell r="DP231" t="str">
            <v>持平</v>
          </cell>
          <cell r="DQ231">
            <v>0</v>
          </cell>
          <cell r="DR231" t="str">
            <v>持平</v>
          </cell>
          <cell r="DS231">
            <v>0</v>
          </cell>
          <cell r="DT231">
            <v>0</v>
          </cell>
          <cell r="DU231" t="str">
            <v>持平</v>
          </cell>
          <cell r="DV231">
            <v>0</v>
          </cell>
          <cell r="DW231" t="str">
            <v>持平</v>
          </cell>
          <cell r="DX231">
            <v>0</v>
          </cell>
          <cell r="DY231">
            <v>0</v>
          </cell>
          <cell r="DZ231" t="str">
            <v>持平</v>
          </cell>
          <cell r="EA231">
            <v>0</v>
          </cell>
          <cell r="EB231" t="str">
            <v>持平</v>
          </cell>
          <cell r="EC231">
            <v>0</v>
          </cell>
          <cell r="ED231">
            <v>0</v>
          </cell>
          <cell r="EE231" t="str">
            <v>持平</v>
          </cell>
          <cell r="EF231">
            <v>0</v>
          </cell>
          <cell r="EG231" t="str">
            <v>持平</v>
          </cell>
          <cell r="EH231" t="str">
            <v/>
          </cell>
          <cell r="EI231" t="str">
            <v/>
          </cell>
          <cell r="EJ231" t="str">
            <v/>
          </cell>
          <cell r="EK231" t="str">
            <v/>
          </cell>
          <cell r="EL231" t="str">
            <v/>
          </cell>
          <cell r="EM231">
            <v>0</v>
          </cell>
          <cell r="EN231">
            <v>0</v>
          </cell>
          <cell r="EO231" t="str">
            <v>持平</v>
          </cell>
          <cell r="EP231">
            <v>0</v>
          </cell>
          <cell r="EQ231" t="str">
            <v>持平</v>
          </cell>
          <cell r="ER231">
            <v>0</v>
          </cell>
          <cell r="ES231">
            <v>0</v>
          </cell>
          <cell r="ET231" t="str">
            <v>持平</v>
          </cell>
          <cell r="EU231">
            <v>0</v>
          </cell>
          <cell r="EV231" t="str">
            <v>持平</v>
          </cell>
          <cell r="EW231" t="str">
            <v/>
          </cell>
          <cell r="EX231" t="str">
            <v/>
          </cell>
          <cell r="EY231" t="str">
            <v/>
          </cell>
          <cell r="EZ231" t="str">
            <v/>
          </cell>
          <cell r="FA231" t="str">
            <v/>
          </cell>
        </row>
        <row r="232">
          <cell r="A232" t="str">
            <v>故意毁坏财物</v>
          </cell>
          <cell r="B232" t="str">
            <v>新兴县</v>
          </cell>
        </row>
        <row r="232">
          <cell r="AM232">
            <v>0</v>
          </cell>
          <cell r="AN232">
            <v>0</v>
          </cell>
          <cell r="AO232" t="str">
            <v>持平</v>
          </cell>
          <cell r="AP232">
            <v>0</v>
          </cell>
          <cell r="AQ232" t="str">
            <v>持平</v>
          </cell>
          <cell r="AR232" t="str">
            <v/>
          </cell>
          <cell r="AS232" t="str">
            <v/>
          </cell>
          <cell r="AT232">
            <v>0</v>
          </cell>
          <cell r="AU232">
            <v>0</v>
          </cell>
          <cell r="AV232" t="str">
            <v>持平</v>
          </cell>
          <cell r="AW232">
            <v>1</v>
          </cell>
          <cell r="AX232" t="str">
            <v>少1起</v>
          </cell>
          <cell r="AY232">
            <v>0</v>
          </cell>
          <cell r="AZ232">
            <v>0</v>
          </cell>
          <cell r="BA232" t="str">
            <v>持平</v>
          </cell>
          <cell r="BB232">
            <v>0</v>
          </cell>
          <cell r="BC232" t="str">
            <v>持平</v>
          </cell>
          <cell r="BD232" t="str">
            <v/>
          </cell>
          <cell r="BE232" t="str">
            <v/>
          </cell>
          <cell r="BF232">
            <v>0</v>
          </cell>
          <cell r="BG232">
            <v>0</v>
          </cell>
          <cell r="BH232" t="str">
            <v>持平</v>
          </cell>
          <cell r="BI232">
            <v>0</v>
          </cell>
          <cell r="BJ232" t="str">
            <v>持平</v>
          </cell>
          <cell r="BK232" t="str">
            <v/>
          </cell>
          <cell r="BL232">
            <v>0</v>
          </cell>
          <cell r="BM232">
            <v>0</v>
          </cell>
          <cell r="BN232" t="str">
            <v>持平</v>
          </cell>
          <cell r="BO232">
            <v>0</v>
          </cell>
          <cell r="BP232" t="str">
            <v>持平</v>
          </cell>
          <cell r="BQ232">
            <v>0</v>
          </cell>
          <cell r="BR232">
            <v>0</v>
          </cell>
          <cell r="BS232" t="str">
            <v>持平</v>
          </cell>
          <cell r="BT232">
            <v>0</v>
          </cell>
          <cell r="BU232" t="str">
            <v>持平</v>
          </cell>
          <cell r="BV232" t="str">
            <v/>
          </cell>
          <cell r="BW232" t="str">
            <v/>
          </cell>
          <cell r="BX232" t="str">
            <v/>
          </cell>
          <cell r="BY232" t="str">
            <v/>
          </cell>
          <cell r="BZ232">
            <v>0</v>
          </cell>
          <cell r="CA232">
            <v>0</v>
          </cell>
          <cell r="CB232" t="str">
            <v>持平</v>
          </cell>
          <cell r="CC232">
            <v>0</v>
          </cell>
          <cell r="CD232" t="str">
            <v>持平</v>
          </cell>
          <cell r="CE232" t="str">
            <v/>
          </cell>
          <cell r="CF232" t="str">
            <v/>
          </cell>
          <cell r="CG232">
            <v>0</v>
          </cell>
          <cell r="CH232">
            <v>1</v>
          </cell>
          <cell r="CI232" t="str">
            <v>少1人</v>
          </cell>
          <cell r="CJ232">
            <v>1</v>
          </cell>
          <cell r="CK232" t="str">
            <v>少1人</v>
          </cell>
          <cell r="CL232" t="str">
            <v/>
          </cell>
          <cell r="CM232" t="str">
            <v/>
          </cell>
          <cell r="CN232" t="str">
            <v/>
          </cell>
          <cell r="CO232">
            <v>0</v>
          </cell>
          <cell r="CP232">
            <v>0</v>
          </cell>
          <cell r="CQ232" t="str">
            <v>持平</v>
          </cell>
          <cell r="CR232">
            <v>0</v>
          </cell>
          <cell r="CS232" t="str">
            <v>持平</v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>
            <v>0</v>
          </cell>
          <cell r="CZ232">
            <v>0</v>
          </cell>
          <cell r="DA232" t="str">
            <v>持平</v>
          </cell>
          <cell r="DB232">
            <v>0</v>
          </cell>
          <cell r="DC232" t="str">
            <v>持平</v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>
            <v>0</v>
          </cell>
          <cell r="DJ232">
            <v>0</v>
          </cell>
          <cell r="DK232" t="str">
            <v>持平</v>
          </cell>
          <cell r="DL232">
            <v>0</v>
          </cell>
          <cell r="DM232" t="str">
            <v>持平</v>
          </cell>
          <cell r="DN232">
            <v>0</v>
          </cell>
          <cell r="DO232">
            <v>0</v>
          </cell>
          <cell r="DP232" t="str">
            <v>持平</v>
          </cell>
          <cell r="DQ232">
            <v>0</v>
          </cell>
          <cell r="DR232" t="str">
            <v>持平</v>
          </cell>
          <cell r="DS232">
            <v>0</v>
          </cell>
          <cell r="DT232">
            <v>0</v>
          </cell>
          <cell r="DU232" t="str">
            <v>持平</v>
          </cell>
          <cell r="DV232">
            <v>0</v>
          </cell>
          <cell r="DW232" t="str">
            <v>持平</v>
          </cell>
          <cell r="DX232">
            <v>0</v>
          </cell>
          <cell r="DY232">
            <v>0</v>
          </cell>
          <cell r="DZ232" t="str">
            <v>持平</v>
          </cell>
          <cell r="EA232">
            <v>0</v>
          </cell>
          <cell r="EB232" t="str">
            <v>持平</v>
          </cell>
          <cell r="EC232">
            <v>0</v>
          </cell>
          <cell r="ED232">
            <v>0</v>
          </cell>
          <cell r="EE232" t="str">
            <v>持平</v>
          </cell>
          <cell r="EF232">
            <v>0</v>
          </cell>
          <cell r="EG232" t="str">
            <v>持平</v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>
            <v>0</v>
          </cell>
          <cell r="EN232">
            <v>0</v>
          </cell>
          <cell r="EO232" t="str">
            <v>持平</v>
          </cell>
          <cell r="EP232">
            <v>0</v>
          </cell>
          <cell r="EQ232" t="str">
            <v>持平</v>
          </cell>
          <cell r="ER232">
            <v>0</v>
          </cell>
          <cell r="ES232">
            <v>0</v>
          </cell>
          <cell r="ET232" t="str">
            <v>持平</v>
          </cell>
          <cell r="EU232">
            <v>0</v>
          </cell>
          <cell r="EV232" t="str">
            <v>持平</v>
          </cell>
          <cell r="EW232" t="str">
            <v/>
          </cell>
          <cell r="EX232" t="str">
            <v/>
          </cell>
          <cell r="EY232" t="str">
            <v/>
          </cell>
          <cell r="EZ232" t="str">
            <v/>
          </cell>
          <cell r="FA232" t="str">
            <v/>
          </cell>
        </row>
        <row r="233">
          <cell r="A233" t="str">
            <v>故意毁坏财物</v>
          </cell>
          <cell r="B233" t="str">
            <v>郁南县</v>
          </cell>
        </row>
        <row r="233">
          <cell r="AM233">
            <v>0</v>
          </cell>
          <cell r="AN233">
            <v>0</v>
          </cell>
          <cell r="AO233" t="str">
            <v>持平</v>
          </cell>
          <cell r="AP233">
            <v>0</v>
          </cell>
          <cell r="AQ233" t="str">
            <v>持平</v>
          </cell>
          <cell r="AR233">
            <v>0</v>
          </cell>
          <cell r="AS233" t="str">
            <v/>
          </cell>
          <cell r="AT233">
            <v>0</v>
          </cell>
          <cell r="AU233">
            <v>0</v>
          </cell>
          <cell r="AV233" t="str">
            <v>持平</v>
          </cell>
          <cell r="AW233">
            <v>0</v>
          </cell>
          <cell r="AX233" t="str">
            <v>持平</v>
          </cell>
          <cell r="AY233">
            <v>0</v>
          </cell>
          <cell r="AZ233">
            <v>0</v>
          </cell>
          <cell r="BA233" t="str">
            <v>持平</v>
          </cell>
          <cell r="BB233">
            <v>0</v>
          </cell>
          <cell r="BC233" t="str">
            <v>持平</v>
          </cell>
          <cell r="BD233" t="str">
            <v/>
          </cell>
          <cell r="BE233" t="str">
            <v/>
          </cell>
          <cell r="BF233">
            <v>1</v>
          </cell>
          <cell r="BG233">
            <v>0</v>
          </cell>
          <cell r="BH233" t="str">
            <v>多1起</v>
          </cell>
          <cell r="BI233">
            <v>0</v>
          </cell>
          <cell r="BJ233" t="str">
            <v>多1起</v>
          </cell>
          <cell r="BK233">
            <v>1</v>
          </cell>
          <cell r="BL233">
            <v>0</v>
          </cell>
          <cell r="BM233">
            <v>0</v>
          </cell>
          <cell r="BN233" t="str">
            <v>持平</v>
          </cell>
          <cell r="BO233">
            <v>0</v>
          </cell>
          <cell r="BP233" t="str">
            <v>持平</v>
          </cell>
          <cell r="BQ233">
            <v>0</v>
          </cell>
          <cell r="BR233">
            <v>0</v>
          </cell>
          <cell r="BS233" t="str">
            <v>持平</v>
          </cell>
          <cell r="BT233">
            <v>0</v>
          </cell>
          <cell r="BU233" t="str">
            <v>持平</v>
          </cell>
          <cell r="BV233">
            <v>0</v>
          </cell>
          <cell r="BW233" t="str">
            <v/>
          </cell>
          <cell r="BX233" t="str">
            <v/>
          </cell>
          <cell r="BY233" t="str">
            <v/>
          </cell>
          <cell r="BZ233">
            <v>0</v>
          </cell>
          <cell r="CA233">
            <v>0</v>
          </cell>
          <cell r="CB233" t="str">
            <v>持平</v>
          </cell>
          <cell r="CC233">
            <v>0</v>
          </cell>
          <cell r="CD233" t="str">
            <v>持平</v>
          </cell>
          <cell r="CE233" t="str">
            <v/>
          </cell>
          <cell r="CF233" t="str">
            <v/>
          </cell>
          <cell r="CG233">
            <v>0</v>
          </cell>
          <cell r="CH233">
            <v>0</v>
          </cell>
          <cell r="CI233" t="str">
            <v>持平</v>
          </cell>
          <cell r="CJ233">
            <v>0</v>
          </cell>
          <cell r="CK233" t="str">
            <v>持平</v>
          </cell>
          <cell r="CL233">
            <v>0</v>
          </cell>
          <cell r="CM233" t="str">
            <v/>
          </cell>
          <cell r="CN233" t="str">
            <v/>
          </cell>
          <cell r="CO233">
            <v>0</v>
          </cell>
          <cell r="CP233">
            <v>0</v>
          </cell>
          <cell r="CQ233" t="str">
            <v>持平</v>
          </cell>
          <cell r="CR233">
            <v>0</v>
          </cell>
          <cell r="CS233" t="str">
            <v>持平</v>
          </cell>
          <cell r="CT233" t="str">
            <v/>
          </cell>
          <cell r="CU233" t="str">
            <v/>
          </cell>
          <cell r="CV233">
            <v>0</v>
          </cell>
          <cell r="CW233" t="str">
            <v/>
          </cell>
          <cell r="CX233" t="str">
            <v/>
          </cell>
          <cell r="CY233">
            <v>0</v>
          </cell>
          <cell r="CZ233">
            <v>0</v>
          </cell>
          <cell r="DA233" t="str">
            <v>持平</v>
          </cell>
          <cell r="DB233">
            <v>0</v>
          </cell>
          <cell r="DC233" t="str">
            <v>持平</v>
          </cell>
          <cell r="DD233" t="str">
            <v/>
          </cell>
          <cell r="DE233" t="str">
            <v/>
          </cell>
          <cell r="DF233">
            <v>0</v>
          </cell>
          <cell r="DG233" t="str">
            <v/>
          </cell>
          <cell r="DH233" t="str">
            <v/>
          </cell>
          <cell r="DI233">
            <v>0</v>
          </cell>
          <cell r="DJ233">
            <v>0</v>
          </cell>
          <cell r="DK233" t="str">
            <v>持平</v>
          </cell>
          <cell r="DL233">
            <v>0</v>
          </cell>
          <cell r="DM233" t="str">
            <v>持平</v>
          </cell>
          <cell r="DN233">
            <v>0</v>
          </cell>
          <cell r="DO233">
            <v>1</v>
          </cell>
          <cell r="DP233" t="str">
            <v>少1人</v>
          </cell>
          <cell r="DQ233">
            <v>0</v>
          </cell>
          <cell r="DR233" t="str">
            <v>持平</v>
          </cell>
          <cell r="DS233">
            <v>0</v>
          </cell>
          <cell r="DT233">
            <v>1</v>
          </cell>
          <cell r="DU233" t="str">
            <v>少1人</v>
          </cell>
          <cell r="DV233">
            <v>0</v>
          </cell>
          <cell r="DW233" t="str">
            <v>持平</v>
          </cell>
          <cell r="DX233">
            <v>0</v>
          </cell>
          <cell r="DY233">
            <v>0</v>
          </cell>
          <cell r="DZ233" t="str">
            <v>持平</v>
          </cell>
          <cell r="EA233">
            <v>0</v>
          </cell>
          <cell r="EB233" t="str">
            <v>持平</v>
          </cell>
          <cell r="EC233">
            <v>0</v>
          </cell>
          <cell r="ED233">
            <v>0</v>
          </cell>
          <cell r="EE233" t="str">
            <v>持平</v>
          </cell>
          <cell r="EF233">
            <v>0</v>
          </cell>
          <cell r="EG233" t="str">
            <v>持平</v>
          </cell>
          <cell r="EH233" t="str">
            <v/>
          </cell>
          <cell r="EI233" t="str">
            <v/>
          </cell>
          <cell r="EJ233">
            <v>0</v>
          </cell>
          <cell r="EK233" t="str">
            <v/>
          </cell>
          <cell r="EL233" t="str">
            <v/>
          </cell>
          <cell r="EM233">
            <v>0</v>
          </cell>
          <cell r="EN233">
            <v>0</v>
          </cell>
          <cell r="EO233" t="str">
            <v>持平</v>
          </cell>
          <cell r="EP233">
            <v>0</v>
          </cell>
          <cell r="EQ233" t="str">
            <v>持平</v>
          </cell>
          <cell r="ER233">
            <v>0</v>
          </cell>
          <cell r="ES233">
            <v>0</v>
          </cell>
          <cell r="ET233" t="str">
            <v>持平</v>
          </cell>
          <cell r="EU233">
            <v>0</v>
          </cell>
          <cell r="EV233" t="str">
            <v>持平</v>
          </cell>
          <cell r="EW233" t="str">
            <v/>
          </cell>
          <cell r="EX233" t="str">
            <v/>
          </cell>
          <cell r="EY233">
            <v>0</v>
          </cell>
          <cell r="EZ233" t="str">
            <v/>
          </cell>
          <cell r="FA233" t="str">
            <v/>
          </cell>
        </row>
        <row r="234">
          <cell r="A234" t="str">
            <v>故意毁坏财物</v>
          </cell>
          <cell r="B234" t="str">
            <v>罗定市</v>
          </cell>
        </row>
        <row r="234">
          <cell r="AM234">
            <v>0</v>
          </cell>
          <cell r="AN234">
            <v>1</v>
          </cell>
          <cell r="AO234" t="str">
            <v>少1起</v>
          </cell>
          <cell r="AP234">
            <v>0</v>
          </cell>
          <cell r="AQ234" t="str">
            <v>持平</v>
          </cell>
          <cell r="AR234" t="str">
            <v/>
          </cell>
          <cell r="AS234" t="str">
            <v/>
          </cell>
          <cell r="AT234">
            <v>0</v>
          </cell>
          <cell r="AU234">
            <v>0</v>
          </cell>
          <cell r="AV234" t="str">
            <v>持平</v>
          </cell>
          <cell r="AW234">
            <v>0</v>
          </cell>
          <cell r="AX234" t="str">
            <v>持平</v>
          </cell>
          <cell r="AY234">
            <v>0</v>
          </cell>
          <cell r="AZ234">
            <v>0</v>
          </cell>
          <cell r="BA234" t="str">
            <v>持平</v>
          </cell>
          <cell r="BB234">
            <v>0</v>
          </cell>
          <cell r="BC234" t="str">
            <v>持平</v>
          </cell>
          <cell r="BD234" t="str">
            <v/>
          </cell>
          <cell r="BE234" t="str">
            <v/>
          </cell>
          <cell r="BF234">
            <v>0</v>
          </cell>
          <cell r="BG234">
            <v>0</v>
          </cell>
          <cell r="BH234" t="str">
            <v>持平</v>
          </cell>
          <cell r="BI234">
            <v>0</v>
          </cell>
          <cell r="BJ234" t="str">
            <v>持平</v>
          </cell>
          <cell r="BK234" t="str">
            <v/>
          </cell>
          <cell r="BL234">
            <v>0</v>
          </cell>
          <cell r="BM234">
            <v>1</v>
          </cell>
          <cell r="BN234" t="str">
            <v>少1起</v>
          </cell>
          <cell r="BO234">
            <v>0</v>
          </cell>
          <cell r="BP234" t="str">
            <v>持平</v>
          </cell>
          <cell r="BQ234">
            <v>0</v>
          </cell>
          <cell r="BR234">
            <v>0</v>
          </cell>
          <cell r="BS234" t="str">
            <v>持平</v>
          </cell>
          <cell r="BT234">
            <v>0</v>
          </cell>
          <cell r="BU234" t="str">
            <v>持平</v>
          </cell>
          <cell r="BV234" t="str">
            <v/>
          </cell>
          <cell r="BW234" t="str">
            <v/>
          </cell>
          <cell r="BX234" t="str">
            <v/>
          </cell>
          <cell r="BY234" t="str">
            <v/>
          </cell>
          <cell r="BZ234">
            <v>0</v>
          </cell>
          <cell r="CA234">
            <v>0</v>
          </cell>
          <cell r="CB234" t="str">
            <v>持平</v>
          </cell>
          <cell r="CC234">
            <v>0</v>
          </cell>
          <cell r="CD234" t="str">
            <v>持平</v>
          </cell>
          <cell r="CE234" t="str">
            <v/>
          </cell>
          <cell r="CF234" t="str">
            <v/>
          </cell>
          <cell r="CG234">
            <v>0</v>
          </cell>
          <cell r="CH234">
            <v>0</v>
          </cell>
          <cell r="CI234" t="str">
            <v>持平</v>
          </cell>
          <cell r="CJ234">
            <v>0</v>
          </cell>
          <cell r="CK234" t="str">
            <v>持平</v>
          </cell>
          <cell r="CL234" t="str">
            <v/>
          </cell>
          <cell r="CM234" t="str">
            <v/>
          </cell>
          <cell r="CN234" t="str">
            <v/>
          </cell>
          <cell r="CO234">
            <v>0</v>
          </cell>
          <cell r="CP234">
            <v>2</v>
          </cell>
          <cell r="CQ234" t="str">
            <v>少2人</v>
          </cell>
          <cell r="CR234">
            <v>0</v>
          </cell>
          <cell r="CS234" t="str">
            <v>持平</v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>
            <v>0</v>
          </cell>
          <cell r="CZ234">
            <v>5</v>
          </cell>
          <cell r="DA234" t="str">
            <v>少5人</v>
          </cell>
          <cell r="DB234">
            <v>0</v>
          </cell>
          <cell r="DC234" t="str">
            <v>持平</v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>
            <v>0</v>
          </cell>
          <cell r="DJ234">
            <v>0</v>
          </cell>
          <cell r="DK234" t="str">
            <v>持平</v>
          </cell>
          <cell r="DL234">
            <v>0</v>
          </cell>
          <cell r="DM234" t="str">
            <v>持平</v>
          </cell>
          <cell r="DN234">
            <v>0</v>
          </cell>
          <cell r="DO234">
            <v>5</v>
          </cell>
          <cell r="DP234" t="str">
            <v>少5人</v>
          </cell>
          <cell r="DQ234">
            <v>0</v>
          </cell>
          <cell r="DR234" t="str">
            <v>持平</v>
          </cell>
          <cell r="DS234">
            <v>0</v>
          </cell>
          <cell r="DT234">
            <v>5</v>
          </cell>
          <cell r="DU234" t="str">
            <v>少5人</v>
          </cell>
          <cell r="DV234">
            <v>0</v>
          </cell>
          <cell r="DW234" t="str">
            <v>持平</v>
          </cell>
          <cell r="DX234">
            <v>0</v>
          </cell>
          <cell r="DY234">
            <v>0</v>
          </cell>
          <cell r="DZ234" t="str">
            <v>持平</v>
          </cell>
          <cell r="EA234">
            <v>0</v>
          </cell>
          <cell r="EB234" t="str">
            <v>持平</v>
          </cell>
          <cell r="EC234">
            <v>0</v>
          </cell>
          <cell r="ED234">
            <v>0</v>
          </cell>
          <cell r="EE234" t="str">
            <v>持平</v>
          </cell>
          <cell r="EF234">
            <v>0</v>
          </cell>
          <cell r="EG234" t="str">
            <v>持平</v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>
            <v>0</v>
          </cell>
          <cell r="EN234">
            <v>0</v>
          </cell>
          <cell r="EO234" t="str">
            <v>持平</v>
          </cell>
          <cell r="EP234">
            <v>0</v>
          </cell>
          <cell r="EQ234" t="str">
            <v>持平</v>
          </cell>
          <cell r="ER234">
            <v>0</v>
          </cell>
          <cell r="ES234">
            <v>0</v>
          </cell>
          <cell r="ET234" t="str">
            <v>持平</v>
          </cell>
          <cell r="EU234">
            <v>0</v>
          </cell>
          <cell r="EV234" t="str">
            <v>持平</v>
          </cell>
          <cell r="EW234" t="str">
            <v/>
          </cell>
          <cell r="EX234" t="str">
            <v/>
          </cell>
          <cell r="EY234" t="str">
            <v/>
          </cell>
          <cell r="EZ234" t="str">
            <v/>
          </cell>
          <cell r="FA234" t="str">
            <v/>
          </cell>
        </row>
        <row r="235">
          <cell r="A235" t="str">
            <v>经济（含职务侵占、挪用资金）</v>
          </cell>
          <cell r="B235" t="str">
            <v>全省</v>
          </cell>
        </row>
        <row r="235">
          <cell r="AM235">
            <v>1540</v>
          </cell>
          <cell r="AN235">
            <v>761</v>
          </cell>
          <cell r="AO235">
            <v>1.0237</v>
          </cell>
          <cell r="AP235">
            <v>1753</v>
          </cell>
          <cell r="AQ235">
            <v>-0.1215</v>
          </cell>
          <cell r="AR235">
            <v>0.8144</v>
          </cell>
          <cell r="AS235">
            <v>0.1474</v>
          </cell>
          <cell r="AT235">
            <v>836</v>
          </cell>
          <cell r="AU235">
            <v>406</v>
          </cell>
          <cell r="AV235">
            <v>1.0591</v>
          </cell>
          <cell r="AW235">
            <v>1361</v>
          </cell>
          <cell r="AX235">
            <v>-0.3857</v>
          </cell>
          <cell r="AY235">
            <v>537</v>
          </cell>
          <cell r="AZ235">
            <v>191</v>
          </cell>
          <cell r="BA235">
            <v>1.8115</v>
          </cell>
          <cell r="BB235">
            <v>1011</v>
          </cell>
          <cell r="BC235">
            <v>-0.4688</v>
          </cell>
          <cell r="BD235">
            <v>0.6423</v>
          </cell>
          <cell r="BE235">
            <v>0.1719</v>
          </cell>
          <cell r="BF235">
            <v>1055</v>
          </cell>
          <cell r="BG235">
            <v>735</v>
          </cell>
          <cell r="BH235">
            <v>0.4354</v>
          </cell>
          <cell r="BI235">
            <v>457</v>
          </cell>
          <cell r="BJ235">
            <v>1.3085</v>
          </cell>
          <cell r="BK235">
            <v>0.5579</v>
          </cell>
          <cell r="BL235">
            <v>1003</v>
          </cell>
          <cell r="BM235">
            <v>570</v>
          </cell>
          <cell r="BN235">
            <v>0.7596</v>
          </cell>
          <cell r="BO235">
            <v>742</v>
          </cell>
          <cell r="BP235">
            <v>0.3518</v>
          </cell>
          <cell r="BQ235">
            <v>696</v>
          </cell>
          <cell r="BR235">
            <v>443</v>
          </cell>
          <cell r="BS235">
            <v>0.5711</v>
          </cell>
          <cell r="BT235">
            <v>1155</v>
          </cell>
          <cell r="BU235">
            <v>-0.3974</v>
          </cell>
          <cell r="BV235">
            <v>0.3681</v>
          </cell>
          <cell r="BW235">
            <v>-0.0202</v>
          </cell>
          <cell r="BX235">
            <v>0.8325</v>
          </cell>
          <cell r="BY235">
            <v>-0.2586</v>
          </cell>
          <cell r="BZ235">
            <v>0</v>
          </cell>
          <cell r="CA235">
            <v>1</v>
          </cell>
          <cell r="CB235" t="str">
            <v>少1起</v>
          </cell>
          <cell r="CC235">
            <v>32</v>
          </cell>
          <cell r="CD235" t="str">
            <v>少32起</v>
          </cell>
          <cell r="CE235" t="str">
            <v/>
          </cell>
          <cell r="CF235" t="str">
            <v/>
          </cell>
          <cell r="CG235">
            <v>3458</v>
          </cell>
          <cell r="CH235">
            <v>1534</v>
          </cell>
          <cell r="CI235">
            <v>1.2542</v>
          </cell>
          <cell r="CJ235">
            <v>2916</v>
          </cell>
          <cell r="CK235">
            <v>0.1859</v>
          </cell>
          <cell r="CL235">
            <v>183</v>
          </cell>
          <cell r="CM235">
            <v>48</v>
          </cell>
          <cell r="CN235">
            <v>0.3602</v>
          </cell>
          <cell r="CO235">
            <v>3474</v>
          </cell>
          <cell r="CP235">
            <v>1240</v>
          </cell>
          <cell r="CQ235">
            <v>1.8016</v>
          </cell>
          <cell r="CR235">
            <v>2929</v>
          </cell>
          <cell r="CS235">
            <v>0.1861</v>
          </cell>
          <cell r="CT235">
            <v>1.0046</v>
          </cell>
          <cell r="CU235">
            <v>0.1963</v>
          </cell>
          <cell r="CV235">
            <v>184</v>
          </cell>
          <cell r="CW235">
            <v>75</v>
          </cell>
          <cell r="CX235">
            <v>0.6904</v>
          </cell>
          <cell r="CY235">
            <v>3684</v>
          </cell>
          <cell r="CZ235">
            <v>1484</v>
          </cell>
          <cell r="DA235">
            <v>1.4825</v>
          </cell>
          <cell r="DB235">
            <v>3187</v>
          </cell>
          <cell r="DC235">
            <v>0.1559</v>
          </cell>
          <cell r="DD235">
            <v>1.0654</v>
          </cell>
          <cell r="DE235">
            <v>0.098</v>
          </cell>
          <cell r="DF235">
            <v>195</v>
          </cell>
          <cell r="DG235">
            <v>65</v>
          </cell>
          <cell r="DH235">
            <v>0.4979</v>
          </cell>
          <cell r="DI235">
            <v>3713</v>
          </cell>
          <cell r="DJ235">
            <v>1723</v>
          </cell>
          <cell r="DK235">
            <v>1.155</v>
          </cell>
          <cell r="DL235">
            <v>3124</v>
          </cell>
          <cell r="DM235">
            <v>0.1885</v>
          </cell>
          <cell r="DN235">
            <v>1902</v>
          </cell>
          <cell r="DO235">
            <v>1284</v>
          </cell>
          <cell r="DP235">
            <v>0.4813</v>
          </cell>
          <cell r="DQ235">
            <v>1861</v>
          </cell>
          <cell r="DR235">
            <v>0.022</v>
          </cell>
          <cell r="DS235">
            <v>1903</v>
          </cell>
          <cell r="DT235">
            <v>1284</v>
          </cell>
          <cell r="DU235">
            <v>0.4821</v>
          </cell>
          <cell r="DV235">
            <v>1861</v>
          </cell>
          <cell r="DW235">
            <v>0.0226</v>
          </cell>
          <cell r="DX235">
            <v>2647</v>
          </cell>
          <cell r="DY235">
            <v>1496</v>
          </cell>
          <cell r="DZ235">
            <v>0.7694</v>
          </cell>
          <cell r="EA235">
            <v>1875</v>
          </cell>
          <cell r="EB235">
            <v>0.4117</v>
          </cell>
          <cell r="EC235">
            <v>985</v>
          </cell>
          <cell r="ED235">
            <v>827</v>
          </cell>
          <cell r="EE235">
            <v>0.1911</v>
          </cell>
          <cell r="EF235">
            <v>990</v>
          </cell>
          <cell r="EG235">
            <v>-0.0051</v>
          </cell>
          <cell r="EH235">
            <v>0.2835</v>
          </cell>
          <cell r="EI235">
            <v>-0.3834</v>
          </cell>
          <cell r="EJ235">
            <v>52</v>
          </cell>
          <cell r="EK235">
            <v>-20</v>
          </cell>
          <cell r="EL235">
            <v>-0.2813</v>
          </cell>
          <cell r="EM235">
            <v>1026</v>
          </cell>
          <cell r="EN235">
            <v>835</v>
          </cell>
          <cell r="EO235">
            <v>0.2287</v>
          </cell>
          <cell r="EP235">
            <v>1010</v>
          </cell>
          <cell r="EQ235">
            <v>0.0158</v>
          </cell>
          <cell r="ER235">
            <v>1415</v>
          </cell>
          <cell r="ES235">
            <v>976</v>
          </cell>
          <cell r="ET235">
            <v>0.4498</v>
          </cell>
          <cell r="EU235">
            <v>2245</v>
          </cell>
          <cell r="EV235">
            <v>-0.3697</v>
          </cell>
          <cell r="EW235">
            <v>0.4073</v>
          </cell>
          <cell r="EX235">
            <v>-0.3798</v>
          </cell>
          <cell r="EY235">
            <v>75</v>
          </cell>
          <cell r="EZ235">
            <v>-11</v>
          </cell>
          <cell r="FA235">
            <v>-0.1252</v>
          </cell>
        </row>
        <row r="236">
          <cell r="A236" t="str">
            <v>经济（含职务侵占、挪用资金）</v>
          </cell>
          <cell r="B236" t="str">
            <v>云浮</v>
          </cell>
        </row>
        <row r="236">
          <cell r="AM236">
            <v>18</v>
          </cell>
          <cell r="AN236">
            <v>5</v>
          </cell>
          <cell r="AO236">
            <v>2.6</v>
          </cell>
          <cell r="AP236">
            <v>18</v>
          </cell>
          <cell r="AQ236">
            <v>0</v>
          </cell>
          <cell r="AR236">
            <v>1</v>
          </cell>
          <cell r="AS236">
            <v>0.375</v>
          </cell>
          <cell r="AT236">
            <v>8</v>
          </cell>
          <cell r="AU236">
            <v>3</v>
          </cell>
          <cell r="AV236">
            <v>1.6667</v>
          </cell>
          <cell r="AW236">
            <v>13</v>
          </cell>
          <cell r="AX236">
            <v>-0.3846</v>
          </cell>
          <cell r="AY236">
            <v>5</v>
          </cell>
          <cell r="AZ236">
            <v>1</v>
          </cell>
          <cell r="BA236">
            <v>4</v>
          </cell>
          <cell r="BB236">
            <v>8</v>
          </cell>
          <cell r="BC236">
            <v>-0.375</v>
          </cell>
          <cell r="BD236">
            <v>0.625</v>
          </cell>
          <cell r="BE236">
            <v>0.2917</v>
          </cell>
          <cell r="BF236">
            <v>10</v>
          </cell>
          <cell r="BG236">
            <v>5</v>
          </cell>
          <cell r="BH236">
            <v>1</v>
          </cell>
          <cell r="BI236">
            <v>4</v>
          </cell>
          <cell r="BJ236">
            <v>1.5</v>
          </cell>
          <cell r="BK236">
            <v>0.5556</v>
          </cell>
          <cell r="BL236">
            <v>13</v>
          </cell>
          <cell r="BM236">
            <v>4</v>
          </cell>
          <cell r="BN236">
            <v>2.25</v>
          </cell>
          <cell r="BO236">
            <v>10</v>
          </cell>
          <cell r="BP236">
            <v>0.3</v>
          </cell>
          <cell r="BQ236">
            <v>7</v>
          </cell>
          <cell r="BR236">
            <v>7</v>
          </cell>
          <cell r="BS236">
            <v>0</v>
          </cell>
          <cell r="BT236">
            <v>17</v>
          </cell>
          <cell r="BU236">
            <v>-0.5882</v>
          </cell>
          <cell r="BV236">
            <v>0.3889</v>
          </cell>
          <cell r="BW236">
            <v>-0.4861</v>
          </cell>
          <cell r="BX236">
            <v>0.875</v>
          </cell>
          <cell r="BY236">
            <v>-1.4583</v>
          </cell>
          <cell r="BZ236">
            <v>0</v>
          </cell>
          <cell r="CA236">
            <v>0</v>
          </cell>
          <cell r="CB236" t="str">
            <v>持平</v>
          </cell>
          <cell r="CC236">
            <v>0</v>
          </cell>
          <cell r="CD236" t="str">
            <v>持平</v>
          </cell>
          <cell r="CE236" t="str">
            <v/>
          </cell>
          <cell r="CF236" t="str">
            <v/>
          </cell>
          <cell r="CG236">
            <v>17</v>
          </cell>
          <cell r="CH236">
            <v>6</v>
          </cell>
          <cell r="CI236">
            <v>1.8333</v>
          </cell>
          <cell r="CJ236">
            <v>42</v>
          </cell>
          <cell r="CK236">
            <v>-0.5952</v>
          </cell>
          <cell r="CL236">
            <v>94</v>
          </cell>
          <cell r="CM236">
            <v>19</v>
          </cell>
          <cell r="CN236">
            <v>0.2593</v>
          </cell>
          <cell r="CO236">
            <v>22</v>
          </cell>
          <cell r="CP236">
            <v>9</v>
          </cell>
          <cell r="CQ236">
            <v>1.4444</v>
          </cell>
          <cell r="CR236">
            <v>34</v>
          </cell>
          <cell r="CS236">
            <v>-0.3529</v>
          </cell>
          <cell r="CT236">
            <v>1.2941</v>
          </cell>
          <cell r="CU236">
            <v>-0.2059</v>
          </cell>
          <cell r="CV236">
            <v>122</v>
          </cell>
          <cell r="CW236">
            <v>10</v>
          </cell>
          <cell r="CX236">
            <v>0.0864</v>
          </cell>
          <cell r="CY236">
            <v>23</v>
          </cell>
          <cell r="CZ236">
            <v>9</v>
          </cell>
          <cell r="DA236">
            <v>1.5556</v>
          </cell>
          <cell r="DB236">
            <v>42</v>
          </cell>
          <cell r="DC236">
            <v>-0.4524</v>
          </cell>
          <cell r="DD236">
            <v>1.3529</v>
          </cell>
          <cell r="DE236">
            <v>-0.1471</v>
          </cell>
          <cell r="DF236">
            <v>128</v>
          </cell>
          <cell r="DG236">
            <v>15</v>
          </cell>
          <cell r="DH236">
            <v>0.1358</v>
          </cell>
          <cell r="DI236">
            <v>17</v>
          </cell>
          <cell r="DJ236">
            <v>10</v>
          </cell>
          <cell r="DK236">
            <v>0.7</v>
          </cell>
          <cell r="DL236">
            <v>38</v>
          </cell>
          <cell r="DM236">
            <v>-0.5526</v>
          </cell>
          <cell r="DN236">
            <v>20</v>
          </cell>
          <cell r="DO236">
            <v>3</v>
          </cell>
          <cell r="DP236">
            <v>5.6667</v>
          </cell>
          <cell r="DQ236">
            <v>20</v>
          </cell>
          <cell r="DR236">
            <v>0</v>
          </cell>
          <cell r="DS236">
            <v>20</v>
          </cell>
          <cell r="DT236">
            <v>3</v>
          </cell>
          <cell r="DU236">
            <v>5.6667</v>
          </cell>
          <cell r="DV236">
            <v>20</v>
          </cell>
          <cell r="DW236">
            <v>0</v>
          </cell>
          <cell r="DX236">
            <v>31</v>
          </cell>
          <cell r="DY236">
            <v>6</v>
          </cell>
          <cell r="DZ236">
            <v>4.1667</v>
          </cell>
          <cell r="EA236">
            <v>18</v>
          </cell>
          <cell r="EB236">
            <v>0.7222</v>
          </cell>
          <cell r="EC236">
            <v>28</v>
          </cell>
          <cell r="ED236">
            <v>5</v>
          </cell>
          <cell r="EE236">
            <v>4.6</v>
          </cell>
          <cell r="EF236">
            <v>10</v>
          </cell>
          <cell r="EG236">
            <v>1.8</v>
          </cell>
          <cell r="EH236">
            <v>1.2727</v>
          </cell>
          <cell r="EI236">
            <v>0.7172</v>
          </cell>
          <cell r="EJ236">
            <v>156</v>
          </cell>
          <cell r="EK236">
            <v>93</v>
          </cell>
          <cell r="EL236">
            <v>1.4889</v>
          </cell>
          <cell r="EM236">
            <v>29</v>
          </cell>
          <cell r="EN236">
            <v>5</v>
          </cell>
          <cell r="EO236">
            <v>4.8</v>
          </cell>
          <cell r="EP236">
            <v>11</v>
          </cell>
          <cell r="EQ236">
            <v>1.6364</v>
          </cell>
          <cell r="ER236">
            <v>12</v>
          </cell>
          <cell r="ES236">
            <v>16</v>
          </cell>
          <cell r="ET236">
            <v>-0.25</v>
          </cell>
          <cell r="EU236">
            <v>32</v>
          </cell>
          <cell r="EV236">
            <v>-0.625</v>
          </cell>
          <cell r="EW236">
            <v>0.5455</v>
          </cell>
          <cell r="EX236">
            <v>-1.2323</v>
          </cell>
          <cell r="EY236">
            <v>67</v>
          </cell>
          <cell r="EZ236">
            <v>-133</v>
          </cell>
          <cell r="FA236">
            <v>-0.6667</v>
          </cell>
        </row>
        <row r="237">
          <cell r="A237" t="str">
            <v>经济（含职务侵占、挪用资金）</v>
          </cell>
          <cell r="B237" t="str">
            <v>云城区</v>
          </cell>
        </row>
        <row r="237">
          <cell r="AM237">
            <v>2</v>
          </cell>
          <cell r="AN237">
            <v>1</v>
          </cell>
          <cell r="AO237">
            <v>1</v>
          </cell>
          <cell r="AP237">
            <v>4</v>
          </cell>
          <cell r="AQ237">
            <v>-0.5</v>
          </cell>
          <cell r="AR237">
            <v>0.6667</v>
          </cell>
          <cell r="AS237">
            <v>-0.3333</v>
          </cell>
          <cell r="AT237">
            <v>2</v>
          </cell>
          <cell r="AU237">
            <v>0</v>
          </cell>
          <cell r="AV237" t="str">
            <v>多2起</v>
          </cell>
          <cell r="AW237">
            <v>2</v>
          </cell>
          <cell r="AX237">
            <v>0</v>
          </cell>
          <cell r="AY237">
            <v>0</v>
          </cell>
          <cell r="AZ237">
            <v>0</v>
          </cell>
          <cell r="BA237" t="str">
            <v>持平</v>
          </cell>
          <cell r="BB237">
            <v>1</v>
          </cell>
          <cell r="BC237" t="str">
            <v>少1起</v>
          </cell>
          <cell r="BD237">
            <v>0</v>
          </cell>
          <cell r="BE237" t="str">
            <v/>
          </cell>
          <cell r="BF237">
            <v>1</v>
          </cell>
          <cell r="BG237">
            <v>1</v>
          </cell>
          <cell r="BH237">
            <v>0</v>
          </cell>
          <cell r="BI237">
            <v>0</v>
          </cell>
          <cell r="BJ237" t="str">
            <v>多1起</v>
          </cell>
          <cell r="BK237">
            <v>0.3333</v>
          </cell>
          <cell r="BL237">
            <v>2</v>
          </cell>
          <cell r="BM237">
            <v>1</v>
          </cell>
          <cell r="BN237">
            <v>1</v>
          </cell>
          <cell r="BO237">
            <v>3</v>
          </cell>
          <cell r="BP237">
            <v>-0.3333</v>
          </cell>
          <cell r="BQ237">
            <v>0</v>
          </cell>
          <cell r="BR237">
            <v>1</v>
          </cell>
          <cell r="BS237" t="str">
            <v>少1起</v>
          </cell>
          <cell r="BT237">
            <v>2</v>
          </cell>
          <cell r="BU237" t="str">
            <v>少2起</v>
          </cell>
          <cell r="BV237">
            <v>0</v>
          </cell>
          <cell r="BW237">
            <v>-1</v>
          </cell>
          <cell r="BX237">
            <v>0</v>
          </cell>
          <cell r="BY237" t="str">
            <v/>
          </cell>
          <cell r="BZ237">
            <v>0</v>
          </cell>
          <cell r="CA237">
            <v>0</v>
          </cell>
          <cell r="CB237" t="str">
            <v>持平</v>
          </cell>
          <cell r="CC237">
            <v>0</v>
          </cell>
          <cell r="CD237" t="str">
            <v>持平</v>
          </cell>
          <cell r="CE237" t="str">
            <v/>
          </cell>
          <cell r="CF237" t="str">
            <v/>
          </cell>
          <cell r="CG237">
            <v>1</v>
          </cell>
          <cell r="CH237">
            <v>0</v>
          </cell>
          <cell r="CI237" t="str">
            <v>多1人</v>
          </cell>
          <cell r="CJ237">
            <v>20</v>
          </cell>
          <cell r="CK237">
            <v>-0.95</v>
          </cell>
          <cell r="CL237">
            <v>33</v>
          </cell>
          <cell r="CM237">
            <v>33</v>
          </cell>
          <cell r="CN237" t="str">
            <v/>
          </cell>
          <cell r="CO237">
            <v>0</v>
          </cell>
          <cell r="CP237">
            <v>1</v>
          </cell>
          <cell r="CQ237" t="str">
            <v>少1人</v>
          </cell>
          <cell r="CR237">
            <v>2</v>
          </cell>
          <cell r="CS237" t="str">
            <v>少2人</v>
          </cell>
          <cell r="CT237">
            <v>0</v>
          </cell>
          <cell r="CU237" t="str">
            <v/>
          </cell>
          <cell r="CV237">
            <v>0</v>
          </cell>
          <cell r="CW237">
            <v>-100</v>
          </cell>
          <cell r="CX237">
            <v>-1</v>
          </cell>
          <cell r="CY237">
            <v>0</v>
          </cell>
          <cell r="CZ237">
            <v>1</v>
          </cell>
          <cell r="DA237" t="str">
            <v>少1人</v>
          </cell>
          <cell r="DB237">
            <v>2</v>
          </cell>
          <cell r="DC237" t="str">
            <v>少2人</v>
          </cell>
          <cell r="DD237">
            <v>0</v>
          </cell>
          <cell r="DE237" t="str">
            <v/>
          </cell>
          <cell r="DF237">
            <v>0</v>
          </cell>
          <cell r="DG237">
            <v>-100</v>
          </cell>
          <cell r="DH237">
            <v>-1</v>
          </cell>
          <cell r="DI237">
            <v>0</v>
          </cell>
          <cell r="DJ237">
            <v>0</v>
          </cell>
          <cell r="DK237" t="str">
            <v>持平</v>
          </cell>
          <cell r="DL237">
            <v>0</v>
          </cell>
          <cell r="DM237" t="str">
            <v>持平</v>
          </cell>
          <cell r="DN237">
            <v>3</v>
          </cell>
          <cell r="DO237">
            <v>0</v>
          </cell>
          <cell r="DP237" t="str">
            <v>多3人</v>
          </cell>
          <cell r="DQ237">
            <v>2</v>
          </cell>
          <cell r="DR237">
            <v>0.5</v>
          </cell>
          <cell r="DS237">
            <v>3</v>
          </cell>
          <cell r="DT237">
            <v>0</v>
          </cell>
          <cell r="DU237" t="str">
            <v>多3人</v>
          </cell>
          <cell r="DV237">
            <v>2</v>
          </cell>
          <cell r="DW237">
            <v>0.5</v>
          </cell>
          <cell r="DX237">
            <v>18</v>
          </cell>
          <cell r="DY237">
            <v>1</v>
          </cell>
          <cell r="DZ237">
            <v>17</v>
          </cell>
          <cell r="EA237">
            <v>1</v>
          </cell>
          <cell r="EB237">
            <v>17</v>
          </cell>
          <cell r="EC237">
            <v>16</v>
          </cell>
          <cell r="ED237">
            <v>1</v>
          </cell>
          <cell r="EE237">
            <v>15</v>
          </cell>
          <cell r="EF237">
            <v>0</v>
          </cell>
          <cell r="EG237" t="str">
            <v>多16人</v>
          </cell>
          <cell r="EH237" t="str">
            <v/>
          </cell>
          <cell r="EI237" t="str">
            <v/>
          </cell>
          <cell r="EJ237">
            <v>533</v>
          </cell>
          <cell r="EK237">
            <v>433</v>
          </cell>
          <cell r="EL237">
            <v>4.3333</v>
          </cell>
          <cell r="EM237">
            <v>17</v>
          </cell>
          <cell r="EN237">
            <v>1</v>
          </cell>
          <cell r="EO237">
            <v>16</v>
          </cell>
          <cell r="EP237">
            <v>0</v>
          </cell>
          <cell r="EQ237" t="str">
            <v>多17人</v>
          </cell>
          <cell r="ER237">
            <v>0</v>
          </cell>
          <cell r="ES237">
            <v>2</v>
          </cell>
          <cell r="ET237" t="str">
            <v>少2人</v>
          </cell>
          <cell r="EU237">
            <v>3</v>
          </cell>
          <cell r="EV237" t="str">
            <v>少3人</v>
          </cell>
          <cell r="EW237" t="str">
            <v/>
          </cell>
          <cell r="EX237" t="str">
            <v/>
          </cell>
          <cell r="EY237">
            <v>0</v>
          </cell>
          <cell r="EZ237">
            <v>-200</v>
          </cell>
          <cell r="FA237">
            <v>-1</v>
          </cell>
        </row>
        <row r="238">
          <cell r="A238" t="str">
            <v>经济（含职务侵占、挪用资金）</v>
          </cell>
          <cell r="B238" t="str">
            <v>云安区</v>
          </cell>
        </row>
        <row r="238">
          <cell r="AM238">
            <v>3</v>
          </cell>
          <cell r="AN238">
            <v>2</v>
          </cell>
          <cell r="AO238">
            <v>0.5</v>
          </cell>
          <cell r="AP238">
            <v>2</v>
          </cell>
          <cell r="AQ238">
            <v>0.5</v>
          </cell>
          <cell r="AR238">
            <v>0.75</v>
          </cell>
          <cell r="AS238">
            <v>0.0833</v>
          </cell>
          <cell r="AT238">
            <v>2</v>
          </cell>
          <cell r="AU238">
            <v>2</v>
          </cell>
          <cell r="AV238">
            <v>0</v>
          </cell>
          <cell r="AW238">
            <v>0</v>
          </cell>
          <cell r="AX238" t="str">
            <v>多2起</v>
          </cell>
          <cell r="AY238">
            <v>2</v>
          </cell>
          <cell r="AZ238">
            <v>1</v>
          </cell>
          <cell r="BA238">
            <v>1</v>
          </cell>
          <cell r="BB238">
            <v>0</v>
          </cell>
          <cell r="BC238" t="str">
            <v>多2起</v>
          </cell>
          <cell r="BD238">
            <v>1</v>
          </cell>
          <cell r="BE238">
            <v>0.5</v>
          </cell>
          <cell r="BF238">
            <v>2</v>
          </cell>
          <cell r="BG238">
            <v>1</v>
          </cell>
          <cell r="BH238">
            <v>1</v>
          </cell>
          <cell r="BI238">
            <v>0</v>
          </cell>
          <cell r="BJ238" t="str">
            <v>多2起</v>
          </cell>
          <cell r="BK238">
            <v>0.5</v>
          </cell>
          <cell r="BL238">
            <v>1</v>
          </cell>
          <cell r="BM238">
            <v>1</v>
          </cell>
          <cell r="BN238">
            <v>0</v>
          </cell>
          <cell r="BO238">
            <v>2</v>
          </cell>
          <cell r="BP238">
            <v>-0.5</v>
          </cell>
          <cell r="BQ238">
            <v>1</v>
          </cell>
          <cell r="BR238">
            <v>1</v>
          </cell>
          <cell r="BS238">
            <v>0</v>
          </cell>
          <cell r="BT238">
            <v>4</v>
          </cell>
          <cell r="BU238">
            <v>-0.75</v>
          </cell>
          <cell r="BV238">
            <v>0.25</v>
          </cell>
          <cell r="BW238">
            <v>-0.0833</v>
          </cell>
          <cell r="BX238">
            <v>0.5</v>
          </cell>
          <cell r="BY238">
            <v>0</v>
          </cell>
          <cell r="BZ238">
            <v>0</v>
          </cell>
          <cell r="CA238">
            <v>0</v>
          </cell>
          <cell r="CB238" t="str">
            <v>持平</v>
          </cell>
          <cell r="CC238">
            <v>0</v>
          </cell>
          <cell r="CD238" t="str">
            <v>持平</v>
          </cell>
          <cell r="CE238" t="str">
            <v/>
          </cell>
          <cell r="CF238" t="str">
            <v/>
          </cell>
          <cell r="CG238">
            <v>7</v>
          </cell>
          <cell r="CH238">
            <v>4</v>
          </cell>
          <cell r="CI238">
            <v>0.75</v>
          </cell>
          <cell r="CJ238">
            <v>5</v>
          </cell>
          <cell r="CK238">
            <v>0.4</v>
          </cell>
          <cell r="CL238">
            <v>175</v>
          </cell>
          <cell r="CM238">
            <v>42</v>
          </cell>
          <cell r="CN238">
            <v>0.3125</v>
          </cell>
          <cell r="CO238">
            <v>8</v>
          </cell>
          <cell r="CP238">
            <v>5</v>
          </cell>
          <cell r="CQ238">
            <v>0.6</v>
          </cell>
          <cell r="CR238">
            <v>3</v>
          </cell>
          <cell r="CS238">
            <v>1.6667</v>
          </cell>
          <cell r="CT238">
            <v>1.1429</v>
          </cell>
          <cell r="CU238">
            <v>-0.1071</v>
          </cell>
          <cell r="CV238">
            <v>200</v>
          </cell>
          <cell r="CW238">
            <v>33</v>
          </cell>
          <cell r="CX238">
            <v>0.2</v>
          </cell>
          <cell r="CY238">
            <v>8</v>
          </cell>
          <cell r="CZ238">
            <v>5</v>
          </cell>
          <cell r="DA238">
            <v>0.6</v>
          </cell>
          <cell r="DB238">
            <v>3</v>
          </cell>
          <cell r="DC238">
            <v>1.6667</v>
          </cell>
          <cell r="DD238">
            <v>1.1429</v>
          </cell>
          <cell r="DE238">
            <v>-0.1071</v>
          </cell>
          <cell r="DF238">
            <v>200</v>
          </cell>
          <cell r="DG238">
            <v>33</v>
          </cell>
          <cell r="DH238">
            <v>0.2</v>
          </cell>
          <cell r="DI238">
            <v>0</v>
          </cell>
          <cell r="DJ238">
            <v>0</v>
          </cell>
          <cell r="DK238" t="str">
            <v>持平</v>
          </cell>
          <cell r="DL238">
            <v>0</v>
          </cell>
          <cell r="DM238" t="str">
            <v>持平</v>
          </cell>
          <cell r="DN238">
            <v>0</v>
          </cell>
          <cell r="DO238">
            <v>2</v>
          </cell>
          <cell r="DP238" t="str">
            <v>少2人</v>
          </cell>
          <cell r="DQ238">
            <v>1</v>
          </cell>
          <cell r="DR238" t="str">
            <v>少1人</v>
          </cell>
          <cell r="DS238">
            <v>0</v>
          </cell>
          <cell r="DT238">
            <v>2</v>
          </cell>
          <cell r="DU238" t="str">
            <v>少2人</v>
          </cell>
          <cell r="DV238">
            <v>1</v>
          </cell>
          <cell r="DW238" t="str">
            <v>少1人</v>
          </cell>
          <cell r="DX238">
            <v>4</v>
          </cell>
          <cell r="DY238">
            <v>5</v>
          </cell>
          <cell r="DZ238">
            <v>-0.2</v>
          </cell>
          <cell r="EA238">
            <v>3</v>
          </cell>
          <cell r="EB238">
            <v>0.3333</v>
          </cell>
          <cell r="EC238">
            <v>4</v>
          </cell>
          <cell r="ED238">
            <v>4</v>
          </cell>
          <cell r="EE238">
            <v>0</v>
          </cell>
          <cell r="EF238">
            <v>1</v>
          </cell>
          <cell r="EG238">
            <v>3</v>
          </cell>
          <cell r="EH238">
            <v>0.5</v>
          </cell>
          <cell r="EI238">
            <v>-0.3</v>
          </cell>
          <cell r="EJ238">
            <v>100</v>
          </cell>
          <cell r="EK238">
            <v>-33</v>
          </cell>
          <cell r="EL238">
            <v>-0.25</v>
          </cell>
          <cell r="EM238">
            <v>4</v>
          </cell>
          <cell r="EN238">
            <v>4</v>
          </cell>
          <cell r="EO238">
            <v>0</v>
          </cell>
          <cell r="EP238">
            <v>1</v>
          </cell>
          <cell r="EQ238">
            <v>3</v>
          </cell>
          <cell r="ER238">
            <v>3</v>
          </cell>
          <cell r="ES238">
            <v>2</v>
          </cell>
          <cell r="ET238">
            <v>0.5</v>
          </cell>
          <cell r="EU238">
            <v>6</v>
          </cell>
          <cell r="EV238">
            <v>-0.5</v>
          </cell>
          <cell r="EW238">
            <v>0.375</v>
          </cell>
          <cell r="EX238">
            <v>-0.025</v>
          </cell>
          <cell r="EY238">
            <v>75</v>
          </cell>
          <cell r="EZ238">
            <v>8</v>
          </cell>
          <cell r="FA238">
            <v>0.125</v>
          </cell>
        </row>
        <row r="239">
          <cell r="A239" t="str">
            <v>经济（含职务侵占、挪用资金）</v>
          </cell>
          <cell r="B239" t="str">
            <v>新兴县</v>
          </cell>
        </row>
        <row r="239">
          <cell r="AM239">
            <v>3</v>
          </cell>
          <cell r="AN239">
            <v>0</v>
          </cell>
          <cell r="AO239" t="str">
            <v>多3起</v>
          </cell>
          <cell r="AP239">
            <v>3</v>
          </cell>
          <cell r="AQ239">
            <v>0</v>
          </cell>
          <cell r="AR239">
            <v>0.75</v>
          </cell>
          <cell r="AS239">
            <v>0.75</v>
          </cell>
          <cell r="AT239">
            <v>1</v>
          </cell>
          <cell r="AU239">
            <v>0</v>
          </cell>
          <cell r="AV239" t="str">
            <v>多1起</v>
          </cell>
          <cell r="AW239">
            <v>4</v>
          </cell>
          <cell r="AX239">
            <v>-0.75</v>
          </cell>
          <cell r="AY239">
            <v>1</v>
          </cell>
          <cell r="AZ239">
            <v>0</v>
          </cell>
          <cell r="BA239" t="str">
            <v>多1起</v>
          </cell>
          <cell r="BB239">
            <v>1</v>
          </cell>
          <cell r="BC239">
            <v>0</v>
          </cell>
          <cell r="BD239">
            <v>1</v>
          </cell>
          <cell r="BE239" t="str">
            <v/>
          </cell>
          <cell r="BF239">
            <v>3</v>
          </cell>
          <cell r="BG239">
            <v>1</v>
          </cell>
          <cell r="BH239">
            <v>2</v>
          </cell>
          <cell r="BI239">
            <v>2</v>
          </cell>
          <cell r="BJ239">
            <v>0.5</v>
          </cell>
          <cell r="BK239">
            <v>0.75</v>
          </cell>
          <cell r="BL239">
            <v>2</v>
          </cell>
          <cell r="BM239">
            <v>0</v>
          </cell>
          <cell r="BN239" t="str">
            <v>多2起</v>
          </cell>
          <cell r="BO239">
            <v>2</v>
          </cell>
          <cell r="BP239">
            <v>0</v>
          </cell>
          <cell r="BQ239">
            <v>1</v>
          </cell>
          <cell r="BR239">
            <v>0</v>
          </cell>
          <cell r="BS239" t="str">
            <v>多1起</v>
          </cell>
          <cell r="BT239">
            <v>1</v>
          </cell>
          <cell r="BU239">
            <v>0</v>
          </cell>
          <cell r="BV239">
            <v>0.25</v>
          </cell>
          <cell r="BW239">
            <v>0.25</v>
          </cell>
          <cell r="BX239">
            <v>1</v>
          </cell>
          <cell r="BY239" t="str">
            <v/>
          </cell>
          <cell r="BZ239">
            <v>0</v>
          </cell>
          <cell r="CA239">
            <v>0</v>
          </cell>
          <cell r="CB239" t="str">
            <v>持平</v>
          </cell>
          <cell r="CC239">
            <v>0</v>
          </cell>
          <cell r="CD239" t="str">
            <v>持平</v>
          </cell>
          <cell r="CE239" t="str">
            <v/>
          </cell>
          <cell r="CF239" t="str">
            <v/>
          </cell>
          <cell r="CG239">
            <v>3</v>
          </cell>
          <cell r="CH239">
            <v>2</v>
          </cell>
          <cell r="CI239">
            <v>0.5</v>
          </cell>
          <cell r="CJ239">
            <v>5</v>
          </cell>
          <cell r="CK239">
            <v>-0.4</v>
          </cell>
          <cell r="CL239">
            <v>75</v>
          </cell>
          <cell r="CM239">
            <v>-125</v>
          </cell>
          <cell r="CN239">
            <v>-0.625</v>
          </cell>
          <cell r="CO239">
            <v>2</v>
          </cell>
          <cell r="CP239">
            <v>2</v>
          </cell>
          <cell r="CQ239">
            <v>0</v>
          </cell>
          <cell r="CR239">
            <v>1</v>
          </cell>
          <cell r="CS239">
            <v>1</v>
          </cell>
          <cell r="CT239">
            <v>0.6667</v>
          </cell>
          <cell r="CU239">
            <v>-0.3333</v>
          </cell>
          <cell r="CV239">
            <v>50</v>
          </cell>
          <cell r="CW239">
            <v>-150</v>
          </cell>
          <cell r="CX239">
            <v>-0.75</v>
          </cell>
          <cell r="CY239">
            <v>2</v>
          </cell>
          <cell r="CZ239">
            <v>2</v>
          </cell>
          <cell r="DA239">
            <v>0</v>
          </cell>
          <cell r="DB239">
            <v>1</v>
          </cell>
          <cell r="DC239">
            <v>1</v>
          </cell>
          <cell r="DD239">
            <v>0.6667</v>
          </cell>
          <cell r="DE239">
            <v>-0.3333</v>
          </cell>
          <cell r="DF239">
            <v>50</v>
          </cell>
          <cell r="DG239">
            <v>-150</v>
          </cell>
          <cell r="DH239">
            <v>-0.75</v>
          </cell>
          <cell r="DI239">
            <v>1</v>
          </cell>
          <cell r="DJ239">
            <v>3</v>
          </cell>
          <cell r="DK239">
            <v>-0.6667</v>
          </cell>
          <cell r="DL239">
            <v>0</v>
          </cell>
          <cell r="DM239" t="str">
            <v>多1人</v>
          </cell>
          <cell r="DN239">
            <v>4</v>
          </cell>
          <cell r="DO239">
            <v>0</v>
          </cell>
          <cell r="DP239" t="str">
            <v>多4人</v>
          </cell>
          <cell r="DQ239">
            <v>3</v>
          </cell>
          <cell r="DR239">
            <v>0.3333</v>
          </cell>
          <cell r="DS239">
            <v>4</v>
          </cell>
          <cell r="DT239">
            <v>0</v>
          </cell>
          <cell r="DU239" t="str">
            <v>多4人</v>
          </cell>
          <cell r="DV239">
            <v>3</v>
          </cell>
          <cell r="DW239">
            <v>0.3333</v>
          </cell>
          <cell r="DX239">
            <v>1</v>
          </cell>
          <cell r="DY239">
            <v>0</v>
          </cell>
          <cell r="DZ239" t="str">
            <v>多1人</v>
          </cell>
          <cell r="EA239">
            <v>1</v>
          </cell>
          <cell r="EB239">
            <v>0</v>
          </cell>
          <cell r="EC239">
            <v>0</v>
          </cell>
          <cell r="ED239">
            <v>0</v>
          </cell>
          <cell r="EE239" t="str">
            <v>持平</v>
          </cell>
          <cell r="EF239">
            <v>0</v>
          </cell>
          <cell r="EG239" t="str">
            <v>持平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 t="str">
            <v/>
          </cell>
          <cell r="EM239">
            <v>0</v>
          </cell>
          <cell r="EN239">
            <v>0</v>
          </cell>
          <cell r="EO239" t="str">
            <v>持平</v>
          </cell>
          <cell r="EP239">
            <v>0</v>
          </cell>
          <cell r="EQ239" t="str">
            <v>持平</v>
          </cell>
          <cell r="ER239">
            <v>1</v>
          </cell>
          <cell r="ES239">
            <v>0</v>
          </cell>
          <cell r="ET239" t="str">
            <v>多1人</v>
          </cell>
          <cell r="EU239">
            <v>1</v>
          </cell>
          <cell r="EV239">
            <v>0</v>
          </cell>
          <cell r="EW239">
            <v>0.5</v>
          </cell>
          <cell r="EX239">
            <v>0.5</v>
          </cell>
          <cell r="EY239">
            <v>25</v>
          </cell>
          <cell r="EZ239">
            <v>25</v>
          </cell>
          <cell r="FA239" t="str">
            <v/>
          </cell>
        </row>
        <row r="240">
          <cell r="A240" t="str">
            <v>经济（含职务侵占、挪用资金）</v>
          </cell>
          <cell r="B240" t="str">
            <v>郁南县</v>
          </cell>
        </row>
        <row r="240">
          <cell r="AM240">
            <v>4</v>
          </cell>
          <cell r="AN240">
            <v>1</v>
          </cell>
          <cell r="AO240">
            <v>3</v>
          </cell>
          <cell r="AP240">
            <v>3</v>
          </cell>
          <cell r="AQ240">
            <v>0.3333</v>
          </cell>
          <cell r="AR240">
            <v>2</v>
          </cell>
          <cell r="AS240">
            <v>1</v>
          </cell>
          <cell r="AT240">
            <v>2</v>
          </cell>
          <cell r="AU240">
            <v>0</v>
          </cell>
          <cell r="AV240" t="str">
            <v>多2起</v>
          </cell>
          <cell r="AW240">
            <v>4</v>
          </cell>
          <cell r="AX240">
            <v>-0.5</v>
          </cell>
          <cell r="AY240">
            <v>2</v>
          </cell>
          <cell r="AZ240">
            <v>0</v>
          </cell>
          <cell r="BA240" t="str">
            <v>多2起</v>
          </cell>
          <cell r="BB240">
            <v>3</v>
          </cell>
          <cell r="BC240">
            <v>-0.3333</v>
          </cell>
          <cell r="BD240">
            <v>1</v>
          </cell>
          <cell r="BE240" t="str">
            <v/>
          </cell>
          <cell r="BF240">
            <v>0</v>
          </cell>
          <cell r="BG240">
            <v>1</v>
          </cell>
          <cell r="BH240" t="str">
            <v>少1起</v>
          </cell>
          <cell r="BI240">
            <v>1</v>
          </cell>
          <cell r="BJ240" t="str">
            <v>少1起</v>
          </cell>
          <cell r="BK240">
            <v>0</v>
          </cell>
          <cell r="BL240">
            <v>2</v>
          </cell>
          <cell r="BM240">
            <v>1</v>
          </cell>
          <cell r="BN240">
            <v>1</v>
          </cell>
          <cell r="BO240">
            <v>0</v>
          </cell>
          <cell r="BP240" t="str">
            <v>多2起</v>
          </cell>
          <cell r="BQ240">
            <v>2</v>
          </cell>
          <cell r="BR240">
            <v>2</v>
          </cell>
          <cell r="BS240">
            <v>0</v>
          </cell>
          <cell r="BT240">
            <v>5</v>
          </cell>
          <cell r="BU240">
            <v>-0.6</v>
          </cell>
          <cell r="BV240">
            <v>1</v>
          </cell>
          <cell r="BW240">
            <v>-1</v>
          </cell>
          <cell r="BX240">
            <v>1</v>
          </cell>
          <cell r="BY240" t="str">
            <v/>
          </cell>
          <cell r="BZ240">
            <v>0</v>
          </cell>
          <cell r="CA240">
            <v>0</v>
          </cell>
          <cell r="CB240" t="str">
            <v>持平</v>
          </cell>
          <cell r="CC240">
            <v>0</v>
          </cell>
          <cell r="CD240" t="str">
            <v>持平</v>
          </cell>
          <cell r="CE240" t="str">
            <v/>
          </cell>
          <cell r="CF240" t="str">
            <v/>
          </cell>
          <cell r="CG240">
            <v>2</v>
          </cell>
          <cell r="CH240">
            <v>0</v>
          </cell>
          <cell r="CI240" t="str">
            <v>多2人</v>
          </cell>
          <cell r="CJ240">
            <v>7</v>
          </cell>
          <cell r="CK240">
            <v>-0.7143</v>
          </cell>
          <cell r="CL240">
            <v>100</v>
          </cell>
          <cell r="CM240">
            <v>100</v>
          </cell>
          <cell r="CN240" t="str">
            <v/>
          </cell>
          <cell r="CO240">
            <v>4</v>
          </cell>
          <cell r="CP240">
            <v>0</v>
          </cell>
          <cell r="CQ240" t="str">
            <v>多4人</v>
          </cell>
          <cell r="CR240">
            <v>6</v>
          </cell>
          <cell r="CS240">
            <v>-0.3333</v>
          </cell>
          <cell r="CT240">
            <v>2</v>
          </cell>
          <cell r="CU240" t="str">
            <v/>
          </cell>
          <cell r="CV240">
            <v>200</v>
          </cell>
          <cell r="CW240">
            <v>200</v>
          </cell>
          <cell r="CX240" t="str">
            <v/>
          </cell>
          <cell r="CY240">
            <v>4</v>
          </cell>
          <cell r="CZ240">
            <v>0</v>
          </cell>
          <cell r="DA240" t="str">
            <v>多4人</v>
          </cell>
          <cell r="DB240">
            <v>6</v>
          </cell>
          <cell r="DC240">
            <v>-0.3333</v>
          </cell>
          <cell r="DD240">
            <v>2</v>
          </cell>
          <cell r="DE240" t="str">
            <v/>
          </cell>
          <cell r="DF240">
            <v>200</v>
          </cell>
          <cell r="DG240">
            <v>200</v>
          </cell>
          <cell r="DH240" t="str">
            <v/>
          </cell>
          <cell r="DI240">
            <v>4</v>
          </cell>
          <cell r="DJ240">
            <v>0</v>
          </cell>
          <cell r="DK240" t="str">
            <v>多4人</v>
          </cell>
          <cell r="DL240">
            <v>5</v>
          </cell>
          <cell r="DM240">
            <v>-0.2</v>
          </cell>
          <cell r="DN240">
            <v>4</v>
          </cell>
          <cell r="DO240">
            <v>0</v>
          </cell>
          <cell r="DP240" t="str">
            <v>多4人</v>
          </cell>
          <cell r="DQ240">
            <v>5</v>
          </cell>
          <cell r="DR240">
            <v>-0.2</v>
          </cell>
          <cell r="DS240">
            <v>4</v>
          </cell>
          <cell r="DT240">
            <v>0</v>
          </cell>
          <cell r="DU240" t="str">
            <v>多4人</v>
          </cell>
          <cell r="DV240">
            <v>5</v>
          </cell>
          <cell r="DW240">
            <v>-0.2</v>
          </cell>
          <cell r="DX240">
            <v>2</v>
          </cell>
          <cell r="DY240">
            <v>0</v>
          </cell>
          <cell r="DZ240" t="str">
            <v>多2人</v>
          </cell>
          <cell r="EA240">
            <v>8</v>
          </cell>
          <cell r="EB240">
            <v>-0.75</v>
          </cell>
          <cell r="EC240">
            <v>4</v>
          </cell>
          <cell r="ED240">
            <v>0</v>
          </cell>
          <cell r="EE240" t="str">
            <v>多4人</v>
          </cell>
          <cell r="EF240">
            <v>3</v>
          </cell>
          <cell r="EG240">
            <v>0.3333</v>
          </cell>
          <cell r="EH240">
            <v>1</v>
          </cell>
          <cell r="EI240" t="str">
            <v/>
          </cell>
          <cell r="EJ240">
            <v>200</v>
          </cell>
          <cell r="EK240">
            <v>200</v>
          </cell>
          <cell r="EL240" t="str">
            <v/>
          </cell>
          <cell r="EM240">
            <v>4</v>
          </cell>
          <cell r="EN240">
            <v>0</v>
          </cell>
          <cell r="EO240" t="str">
            <v>多4人</v>
          </cell>
          <cell r="EP240">
            <v>3</v>
          </cell>
          <cell r="EQ240">
            <v>0.3333</v>
          </cell>
          <cell r="ER240">
            <v>2</v>
          </cell>
          <cell r="ES240">
            <v>8</v>
          </cell>
          <cell r="ET240">
            <v>-0.75</v>
          </cell>
          <cell r="EU240">
            <v>11</v>
          </cell>
          <cell r="EV240">
            <v>-0.8182</v>
          </cell>
          <cell r="EW240">
            <v>0.5</v>
          </cell>
          <cell r="EX240" t="str">
            <v/>
          </cell>
          <cell r="EY240">
            <v>100</v>
          </cell>
          <cell r="EZ240">
            <v>-700</v>
          </cell>
          <cell r="FA240">
            <v>-0.875</v>
          </cell>
        </row>
        <row r="241">
          <cell r="A241" t="str">
            <v>经济（含职务侵占、挪用资金）</v>
          </cell>
          <cell r="B241" t="str">
            <v>罗定市</v>
          </cell>
        </row>
        <row r="241">
          <cell r="AM241">
            <v>4</v>
          </cell>
          <cell r="AN241">
            <v>1</v>
          </cell>
          <cell r="AO241">
            <v>3</v>
          </cell>
          <cell r="AP241">
            <v>3</v>
          </cell>
          <cell r="AQ241">
            <v>0.3333</v>
          </cell>
          <cell r="AR241">
            <v>1.3333</v>
          </cell>
          <cell r="AS241">
            <v>0.8333</v>
          </cell>
          <cell r="AT241">
            <v>1</v>
          </cell>
          <cell r="AU241">
            <v>1</v>
          </cell>
          <cell r="AV241">
            <v>0</v>
          </cell>
          <cell r="AW241">
            <v>1</v>
          </cell>
          <cell r="AX241">
            <v>0</v>
          </cell>
          <cell r="AY241">
            <v>0</v>
          </cell>
          <cell r="AZ241">
            <v>0</v>
          </cell>
          <cell r="BA241" t="str">
            <v>持平</v>
          </cell>
          <cell r="BB241">
            <v>3</v>
          </cell>
          <cell r="BC241" t="str">
            <v>少3起</v>
          </cell>
          <cell r="BD241">
            <v>0</v>
          </cell>
          <cell r="BE241">
            <v>0</v>
          </cell>
          <cell r="BF241">
            <v>2</v>
          </cell>
          <cell r="BG241">
            <v>1</v>
          </cell>
          <cell r="BH241">
            <v>1</v>
          </cell>
          <cell r="BI241">
            <v>1</v>
          </cell>
          <cell r="BJ241">
            <v>1</v>
          </cell>
          <cell r="BK241">
            <v>0.6667</v>
          </cell>
          <cell r="BL241">
            <v>4</v>
          </cell>
          <cell r="BM241">
            <v>1</v>
          </cell>
          <cell r="BN241">
            <v>3</v>
          </cell>
          <cell r="BO241">
            <v>0</v>
          </cell>
          <cell r="BP241" t="str">
            <v>多4起</v>
          </cell>
          <cell r="BQ241">
            <v>2</v>
          </cell>
          <cell r="BR241">
            <v>3</v>
          </cell>
          <cell r="BS241">
            <v>-0.3333</v>
          </cell>
          <cell r="BT241">
            <v>5</v>
          </cell>
          <cell r="BU241">
            <v>-0.6</v>
          </cell>
          <cell r="BV241">
            <v>0.6667</v>
          </cell>
          <cell r="BW241">
            <v>-0.8333</v>
          </cell>
          <cell r="BX241">
            <v>2</v>
          </cell>
          <cell r="BY241">
            <v>-1</v>
          </cell>
          <cell r="BZ241">
            <v>0</v>
          </cell>
          <cell r="CA241">
            <v>0</v>
          </cell>
          <cell r="CB241" t="str">
            <v>持平</v>
          </cell>
          <cell r="CC241">
            <v>0</v>
          </cell>
          <cell r="CD241" t="str">
            <v>持平</v>
          </cell>
          <cell r="CE241" t="str">
            <v/>
          </cell>
          <cell r="CF241" t="str">
            <v/>
          </cell>
          <cell r="CG241">
            <v>1</v>
          </cell>
          <cell r="CH241">
            <v>0</v>
          </cell>
          <cell r="CI241" t="str">
            <v>多1人</v>
          </cell>
          <cell r="CJ241">
            <v>5</v>
          </cell>
          <cell r="CK241">
            <v>-0.8</v>
          </cell>
          <cell r="CL241">
            <v>33</v>
          </cell>
          <cell r="CM241">
            <v>33</v>
          </cell>
          <cell r="CN241" t="str">
            <v/>
          </cell>
          <cell r="CO241">
            <v>4</v>
          </cell>
          <cell r="CP241">
            <v>1</v>
          </cell>
          <cell r="CQ241">
            <v>3</v>
          </cell>
          <cell r="CR241">
            <v>3</v>
          </cell>
          <cell r="CS241">
            <v>0.3333</v>
          </cell>
          <cell r="CT241">
            <v>4</v>
          </cell>
          <cell r="CU241" t="str">
            <v/>
          </cell>
          <cell r="CV241">
            <v>133</v>
          </cell>
          <cell r="CW241">
            <v>83</v>
          </cell>
          <cell r="CX241">
            <v>1.6667</v>
          </cell>
          <cell r="CY241">
            <v>4</v>
          </cell>
          <cell r="CZ241">
            <v>1</v>
          </cell>
          <cell r="DA241">
            <v>3</v>
          </cell>
          <cell r="DB241">
            <v>3</v>
          </cell>
          <cell r="DC241">
            <v>0.3333</v>
          </cell>
          <cell r="DD241">
            <v>4</v>
          </cell>
          <cell r="DE241" t="str">
            <v/>
          </cell>
          <cell r="DF241">
            <v>133</v>
          </cell>
          <cell r="DG241">
            <v>83</v>
          </cell>
          <cell r="DH241">
            <v>1.6667</v>
          </cell>
          <cell r="DI241">
            <v>3</v>
          </cell>
          <cell r="DJ241">
            <v>0</v>
          </cell>
          <cell r="DK241" t="str">
            <v>多3人</v>
          </cell>
          <cell r="DL241">
            <v>3</v>
          </cell>
          <cell r="DM241">
            <v>0</v>
          </cell>
          <cell r="DN241">
            <v>1</v>
          </cell>
          <cell r="DO241">
            <v>0</v>
          </cell>
          <cell r="DP241" t="str">
            <v>多1人</v>
          </cell>
          <cell r="DQ241">
            <v>1</v>
          </cell>
          <cell r="DR241">
            <v>0</v>
          </cell>
          <cell r="DS241">
            <v>1</v>
          </cell>
          <cell r="DT241">
            <v>0</v>
          </cell>
          <cell r="DU241" t="str">
            <v>多1人</v>
          </cell>
          <cell r="DV241">
            <v>1</v>
          </cell>
          <cell r="DW241">
            <v>0</v>
          </cell>
          <cell r="DX241">
            <v>5</v>
          </cell>
          <cell r="DY241">
            <v>0</v>
          </cell>
          <cell r="DZ241" t="str">
            <v>多5人</v>
          </cell>
          <cell r="EA241">
            <v>5</v>
          </cell>
          <cell r="EB241">
            <v>0</v>
          </cell>
          <cell r="EC241">
            <v>4</v>
          </cell>
          <cell r="ED241">
            <v>0</v>
          </cell>
          <cell r="EE241" t="str">
            <v>多4人</v>
          </cell>
          <cell r="EF241">
            <v>5</v>
          </cell>
          <cell r="EG241">
            <v>-0.2</v>
          </cell>
          <cell r="EH241">
            <v>1</v>
          </cell>
          <cell r="EI241">
            <v>1</v>
          </cell>
          <cell r="EJ241">
            <v>133</v>
          </cell>
          <cell r="EK241">
            <v>133</v>
          </cell>
          <cell r="EL241" t="str">
            <v/>
          </cell>
          <cell r="EM241">
            <v>4</v>
          </cell>
          <cell r="EN241">
            <v>0</v>
          </cell>
          <cell r="EO241" t="str">
            <v>多4人</v>
          </cell>
          <cell r="EP241">
            <v>6</v>
          </cell>
          <cell r="EQ241">
            <v>-0.3333</v>
          </cell>
          <cell r="ER241">
            <v>3</v>
          </cell>
          <cell r="ES241">
            <v>4</v>
          </cell>
          <cell r="ET241">
            <v>-0.25</v>
          </cell>
          <cell r="EU241">
            <v>11</v>
          </cell>
          <cell r="EV241">
            <v>-0.7273</v>
          </cell>
          <cell r="EW241">
            <v>0.75</v>
          </cell>
          <cell r="EX241">
            <v>-3.25</v>
          </cell>
          <cell r="EY241">
            <v>100</v>
          </cell>
          <cell r="EZ241">
            <v>-100</v>
          </cell>
          <cell r="FA241">
            <v>-0.5</v>
          </cell>
        </row>
        <row r="242">
          <cell r="A242" t="str">
            <v>经济</v>
          </cell>
          <cell r="B242" t="str">
            <v>全省</v>
          </cell>
        </row>
        <row r="242">
          <cell r="AM242">
            <v>1282</v>
          </cell>
          <cell r="AN242">
            <v>600</v>
          </cell>
          <cell r="AO242">
            <v>1.1367</v>
          </cell>
          <cell r="AP242">
            <v>1420</v>
          </cell>
          <cell r="AQ242">
            <v>-0.0972</v>
          </cell>
          <cell r="AR242">
            <v>0.8319</v>
          </cell>
          <cell r="AS242">
            <v>0.1555</v>
          </cell>
          <cell r="AT242">
            <v>733</v>
          </cell>
          <cell r="AU242">
            <v>357</v>
          </cell>
          <cell r="AV242">
            <v>1.0532</v>
          </cell>
          <cell r="AW242">
            <v>1141</v>
          </cell>
          <cell r="AX242">
            <v>-0.3576</v>
          </cell>
          <cell r="AY242">
            <v>490</v>
          </cell>
          <cell r="AZ242">
            <v>170</v>
          </cell>
          <cell r="BA242">
            <v>1.8824</v>
          </cell>
          <cell r="BB242">
            <v>838</v>
          </cell>
          <cell r="BC242">
            <v>-0.4153</v>
          </cell>
          <cell r="BD242">
            <v>0.6685</v>
          </cell>
          <cell r="BE242">
            <v>0.1923</v>
          </cell>
          <cell r="BF242">
            <v>808</v>
          </cell>
          <cell r="BG242">
            <v>530</v>
          </cell>
          <cell r="BH242">
            <v>0.5245</v>
          </cell>
          <cell r="BI242">
            <v>344</v>
          </cell>
          <cell r="BJ242">
            <v>1.3488</v>
          </cell>
          <cell r="BK242">
            <v>0.5243</v>
          </cell>
          <cell r="BL242">
            <v>792</v>
          </cell>
          <cell r="BM242">
            <v>430</v>
          </cell>
          <cell r="BN242">
            <v>0.8419</v>
          </cell>
          <cell r="BO242">
            <v>582</v>
          </cell>
          <cell r="BP242">
            <v>0.3608</v>
          </cell>
          <cell r="BQ242">
            <v>534</v>
          </cell>
          <cell r="BR242">
            <v>361</v>
          </cell>
          <cell r="BS242">
            <v>0.4792</v>
          </cell>
          <cell r="BT242">
            <v>949</v>
          </cell>
          <cell r="BU242">
            <v>-0.4373</v>
          </cell>
          <cell r="BV242">
            <v>0.3465</v>
          </cell>
          <cell r="BW242">
            <v>-0.0605</v>
          </cell>
          <cell r="BX242">
            <v>0.7285</v>
          </cell>
          <cell r="BY242">
            <v>-0.2827</v>
          </cell>
          <cell r="BZ242">
            <v>0</v>
          </cell>
          <cell r="CA242">
            <v>1</v>
          </cell>
          <cell r="CB242" t="str">
            <v>少1起</v>
          </cell>
          <cell r="CC242">
            <v>24</v>
          </cell>
          <cell r="CD242" t="str">
            <v>少24起</v>
          </cell>
          <cell r="CE242" t="str">
            <v/>
          </cell>
          <cell r="CF242" t="str">
            <v/>
          </cell>
          <cell r="CG242">
            <v>3148</v>
          </cell>
          <cell r="CH242">
            <v>1344</v>
          </cell>
          <cell r="CI242">
            <v>1.3423</v>
          </cell>
          <cell r="CJ242">
            <v>2602</v>
          </cell>
          <cell r="CK242">
            <v>0.2098</v>
          </cell>
          <cell r="CL242">
            <v>204</v>
          </cell>
          <cell r="CM242">
            <v>53</v>
          </cell>
          <cell r="CN242">
            <v>0.3482</v>
          </cell>
          <cell r="CO242">
            <v>3127</v>
          </cell>
          <cell r="CP242">
            <v>1083</v>
          </cell>
          <cell r="CQ242">
            <v>1.8873</v>
          </cell>
          <cell r="CR242">
            <v>2590</v>
          </cell>
          <cell r="CS242">
            <v>0.2073</v>
          </cell>
          <cell r="CT242">
            <v>0.9933</v>
          </cell>
          <cell r="CU242">
            <v>0.1875</v>
          </cell>
          <cell r="CV242">
            <v>203</v>
          </cell>
          <cell r="CW242">
            <v>81</v>
          </cell>
          <cell r="CX242">
            <v>0.662</v>
          </cell>
          <cell r="CY242">
            <v>3295</v>
          </cell>
          <cell r="CZ242">
            <v>1304</v>
          </cell>
          <cell r="DA242">
            <v>1.5268</v>
          </cell>
          <cell r="DB242">
            <v>2799</v>
          </cell>
          <cell r="DC242">
            <v>0.1772</v>
          </cell>
          <cell r="DD242">
            <v>1.0467</v>
          </cell>
          <cell r="DE242">
            <v>0.0765</v>
          </cell>
          <cell r="DF242">
            <v>214</v>
          </cell>
          <cell r="DG242">
            <v>67</v>
          </cell>
          <cell r="DH242">
            <v>0.4545</v>
          </cell>
          <cell r="DI242">
            <v>3365</v>
          </cell>
          <cell r="DJ242">
            <v>1541</v>
          </cell>
          <cell r="DK242">
            <v>1.1836</v>
          </cell>
          <cell r="DL242">
            <v>2775</v>
          </cell>
          <cell r="DM242">
            <v>0.2126</v>
          </cell>
          <cell r="DN242">
            <v>1630</v>
          </cell>
          <cell r="DO242">
            <v>1108</v>
          </cell>
          <cell r="DP242">
            <v>0.4711</v>
          </cell>
          <cell r="DQ242">
            <v>1591</v>
          </cell>
          <cell r="DR242">
            <v>0.0245</v>
          </cell>
          <cell r="DS242">
            <v>1631</v>
          </cell>
          <cell r="DT242">
            <v>1108</v>
          </cell>
          <cell r="DU242">
            <v>0.472</v>
          </cell>
          <cell r="DV242">
            <v>1591</v>
          </cell>
          <cell r="DW242">
            <v>0.0251</v>
          </cell>
          <cell r="DX242">
            <v>2380</v>
          </cell>
          <cell r="DY242">
            <v>1293</v>
          </cell>
          <cell r="DZ242">
            <v>0.8407</v>
          </cell>
          <cell r="EA242">
            <v>1636</v>
          </cell>
          <cell r="EB242">
            <v>0.4548</v>
          </cell>
          <cell r="EC242">
            <v>872</v>
          </cell>
          <cell r="ED242">
            <v>702</v>
          </cell>
          <cell r="EE242">
            <v>0.2422</v>
          </cell>
          <cell r="EF242">
            <v>857</v>
          </cell>
          <cell r="EG242">
            <v>0.0175</v>
          </cell>
          <cell r="EH242">
            <v>0.2789</v>
          </cell>
          <cell r="EI242">
            <v>-0.3693</v>
          </cell>
          <cell r="EJ242">
            <v>57</v>
          </cell>
          <cell r="EK242">
            <v>-23</v>
          </cell>
          <cell r="EL242">
            <v>-0.285</v>
          </cell>
          <cell r="EM242">
            <v>914</v>
          </cell>
          <cell r="EN242">
            <v>709</v>
          </cell>
          <cell r="EO242">
            <v>0.2891</v>
          </cell>
          <cell r="EP242">
            <v>876</v>
          </cell>
          <cell r="EQ242">
            <v>0.0434</v>
          </cell>
          <cell r="ER242">
            <v>1193</v>
          </cell>
          <cell r="ES242">
            <v>862</v>
          </cell>
          <cell r="ET242">
            <v>0.384</v>
          </cell>
          <cell r="EU242">
            <v>1975</v>
          </cell>
          <cell r="EV242">
            <v>-0.3959</v>
          </cell>
          <cell r="EW242">
            <v>0.3815</v>
          </cell>
          <cell r="EX242">
            <v>-0.4144</v>
          </cell>
          <cell r="EY242">
            <v>77</v>
          </cell>
          <cell r="EZ242">
            <v>-20</v>
          </cell>
          <cell r="FA242">
            <v>-0.2034</v>
          </cell>
        </row>
        <row r="243">
          <cell r="A243" t="str">
            <v>经济</v>
          </cell>
          <cell r="B243" t="str">
            <v>云浮</v>
          </cell>
        </row>
        <row r="243">
          <cell r="AM243">
            <v>16</v>
          </cell>
          <cell r="AN243">
            <v>4</v>
          </cell>
          <cell r="AO243">
            <v>3</v>
          </cell>
          <cell r="AP243">
            <v>16</v>
          </cell>
          <cell r="AQ243">
            <v>0</v>
          </cell>
          <cell r="AR243">
            <v>1.0667</v>
          </cell>
          <cell r="AS243">
            <v>0.4952</v>
          </cell>
          <cell r="AT243">
            <v>8</v>
          </cell>
          <cell r="AU243">
            <v>3</v>
          </cell>
          <cell r="AV243">
            <v>1.6667</v>
          </cell>
          <cell r="AW243">
            <v>13</v>
          </cell>
          <cell r="AX243">
            <v>-0.3846</v>
          </cell>
          <cell r="AY243">
            <v>5</v>
          </cell>
          <cell r="AZ243">
            <v>1</v>
          </cell>
          <cell r="BA243">
            <v>4</v>
          </cell>
          <cell r="BB243">
            <v>7</v>
          </cell>
          <cell r="BC243">
            <v>-0.2857</v>
          </cell>
          <cell r="BD243">
            <v>0.625</v>
          </cell>
          <cell r="BE243">
            <v>0.2917</v>
          </cell>
          <cell r="BF243">
            <v>7</v>
          </cell>
          <cell r="BG243">
            <v>4</v>
          </cell>
          <cell r="BH243">
            <v>0.75</v>
          </cell>
          <cell r="BI243">
            <v>3</v>
          </cell>
          <cell r="BJ243">
            <v>1.3333</v>
          </cell>
          <cell r="BK243">
            <v>0.4667</v>
          </cell>
          <cell r="BL243">
            <v>11</v>
          </cell>
          <cell r="BM243">
            <v>3</v>
          </cell>
          <cell r="BN243">
            <v>2.6667</v>
          </cell>
          <cell r="BO243">
            <v>9</v>
          </cell>
          <cell r="BP243">
            <v>0.2222</v>
          </cell>
          <cell r="BQ243">
            <v>7</v>
          </cell>
          <cell r="BR243">
            <v>7</v>
          </cell>
          <cell r="BS243">
            <v>0</v>
          </cell>
          <cell r="BT243">
            <v>15</v>
          </cell>
          <cell r="BU243">
            <v>-0.5333</v>
          </cell>
          <cell r="BV243">
            <v>0.4667</v>
          </cell>
          <cell r="BW243">
            <v>-0.5333</v>
          </cell>
          <cell r="BX243">
            <v>0.875</v>
          </cell>
          <cell r="BY243">
            <v>-1.4583</v>
          </cell>
          <cell r="BZ243">
            <v>0</v>
          </cell>
          <cell r="CA243">
            <v>0</v>
          </cell>
          <cell r="CB243" t="str">
            <v>持平</v>
          </cell>
          <cell r="CC243">
            <v>0</v>
          </cell>
          <cell r="CD243" t="str">
            <v>持平</v>
          </cell>
          <cell r="CE243" t="str">
            <v/>
          </cell>
          <cell r="CF243" t="str">
            <v/>
          </cell>
          <cell r="CG243">
            <v>17</v>
          </cell>
          <cell r="CH243">
            <v>6</v>
          </cell>
          <cell r="CI243">
            <v>1.8333</v>
          </cell>
          <cell r="CJ243">
            <v>39</v>
          </cell>
          <cell r="CK243">
            <v>-0.5641</v>
          </cell>
          <cell r="CL243">
            <v>113</v>
          </cell>
          <cell r="CM243">
            <v>28</v>
          </cell>
          <cell r="CN243">
            <v>0.3222</v>
          </cell>
          <cell r="CO243">
            <v>18</v>
          </cell>
          <cell r="CP243">
            <v>8</v>
          </cell>
          <cell r="CQ243">
            <v>1.25</v>
          </cell>
          <cell r="CR243">
            <v>33</v>
          </cell>
          <cell r="CS243">
            <v>-0.4545</v>
          </cell>
          <cell r="CT243">
            <v>1.0588</v>
          </cell>
          <cell r="CU243">
            <v>-0.2745</v>
          </cell>
          <cell r="CV243">
            <v>120</v>
          </cell>
          <cell r="CW243">
            <v>6</v>
          </cell>
          <cell r="CX243">
            <v>0.05</v>
          </cell>
          <cell r="CY243">
            <v>19</v>
          </cell>
          <cell r="CZ243">
            <v>8</v>
          </cell>
          <cell r="DA243">
            <v>1.375</v>
          </cell>
          <cell r="DB243">
            <v>41</v>
          </cell>
          <cell r="DC243">
            <v>-0.5366</v>
          </cell>
          <cell r="DD243">
            <v>1.1176</v>
          </cell>
          <cell r="DE243">
            <v>-0.2157</v>
          </cell>
          <cell r="DF243">
            <v>127</v>
          </cell>
          <cell r="DG243">
            <v>12</v>
          </cell>
          <cell r="DH243">
            <v>0.1083</v>
          </cell>
          <cell r="DI243">
            <v>15</v>
          </cell>
          <cell r="DJ243">
            <v>10</v>
          </cell>
          <cell r="DK243">
            <v>0.5</v>
          </cell>
          <cell r="DL243">
            <v>38</v>
          </cell>
          <cell r="DM243">
            <v>-0.6053</v>
          </cell>
          <cell r="DN243">
            <v>18</v>
          </cell>
          <cell r="DO243">
            <v>3</v>
          </cell>
          <cell r="DP243">
            <v>5</v>
          </cell>
          <cell r="DQ243">
            <v>18</v>
          </cell>
          <cell r="DR243">
            <v>0</v>
          </cell>
          <cell r="DS243">
            <v>18</v>
          </cell>
          <cell r="DT243">
            <v>3</v>
          </cell>
          <cell r="DU243">
            <v>5</v>
          </cell>
          <cell r="DV243">
            <v>18</v>
          </cell>
          <cell r="DW243">
            <v>0</v>
          </cell>
          <cell r="DX243">
            <v>30</v>
          </cell>
          <cell r="DY243">
            <v>6</v>
          </cell>
          <cell r="DZ243">
            <v>4</v>
          </cell>
          <cell r="EA243">
            <v>16</v>
          </cell>
          <cell r="EB243">
            <v>0.875</v>
          </cell>
          <cell r="EC243">
            <v>27</v>
          </cell>
          <cell r="ED243">
            <v>5</v>
          </cell>
          <cell r="EE243">
            <v>4.4</v>
          </cell>
          <cell r="EF243">
            <v>9</v>
          </cell>
          <cell r="EG243">
            <v>2</v>
          </cell>
          <cell r="EH243">
            <v>1.5</v>
          </cell>
          <cell r="EI243">
            <v>0.875</v>
          </cell>
          <cell r="EJ243">
            <v>180</v>
          </cell>
          <cell r="EK243">
            <v>109</v>
          </cell>
          <cell r="EL243">
            <v>1.52</v>
          </cell>
          <cell r="EM243">
            <v>28</v>
          </cell>
          <cell r="EN243">
            <v>5</v>
          </cell>
          <cell r="EO243">
            <v>4.6</v>
          </cell>
          <cell r="EP243">
            <v>10</v>
          </cell>
          <cell r="EQ243">
            <v>1.8</v>
          </cell>
          <cell r="ER243">
            <v>12</v>
          </cell>
          <cell r="ES243">
            <v>16</v>
          </cell>
          <cell r="ET243">
            <v>-0.25</v>
          </cell>
          <cell r="EU243">
            <v>30</v>
          </cell>
          <cell r="EV243">
            <v>-0.6</v>
          </cell>
          <cell r="EW243">
            <v>0.6667</v>
          </cell>
          <cell r="EX243">
            <v>-1.3333</v>
          </cell>
          <cell r="EY243">
            <v>80</v>
          </cell>
          <cell r="EZ243">
            <v>-149</v>
          </cell>
          <cell r="FA243">
            <v>-0.65</v>
          </cell>
        </row>
        <row r="244">
          <cell r="A244" t="str">
            <v>经济</v>
          </cell>
          <cell r="B244" t="str">
            <v>云城区</v>
          </cell>
        </row>
        <row r="244">
          <cell r="AM244">
            <v>2</v>
          </cell>
          <cell r="AN244">
            <v>0</v>
          </cell>
          <cell r="AO244" t="str">
            <v>多2起</v>
          </cell>
          <cell r="AP244">
            <v>3</v>
          </cell>
          <cell r="AQ244">
            <v>-0.3333</v>
          </cell>
          <cell r="AR244">
            <v>1</v>
          </cell>
          <cell r="AS244">
            <v>1</v>
          </cell>
          <cell r="AT244">
            <v>2</v>
          </cell>
          <cell r="AU244">
            <v>0</v>
          </cell>
          <cell r="AV244" t="str">
            <v>多2起</v>
          </cell>
          <cell r="AW244">
            <v>2</v>
          </cell>
          <cell r="AX244">
            <v>0</v>
          </cell>
          <cell r="AY244">
            <v>0</v>
          </cell>
          <cell r="AZ244">
            <v>0</v>
          </cell>
          <cell r="BA244" t="str">
            <v>持平</v>
          </cell>
          <cell r="BB244">
            <v>1</v>
          </cell>
          <cell r="BC244" t="str">
            <v>少1起</v>
          </cell>
          <cell r="BD244">
            <v>0</v>
          </cell>
          <cell r="BE244" t="str">
            <v/>
          </cell>
          <cell r="BF244">
            <v>0</v>
          </cell>
          <cell r="BG244">
            <v>1</v>
          </cell>
          <cell r="BH244" t="str">
            <v>少1起</v>
          </cell>
          <cell r="BI244">
            <v>0</v>
          </cell>
          <cell r="BJ244" t="str">
            <v>持平</v>
          </cell>
          <cell r="BK244">
            <v>0</v>
          </cell>
          <cell r="BL244">
            <v>2</v>
          </cell>
          <cell r="BM244">
            <v>0</v>
          </cell>
          <cell r="BN244" t="str">
            <v>多2起</v>
          </cell>
          <cell r="BO244">
            <v>2</v>
          </cell>
          <cell r="BP244">
            <v>0</v>
          </cell>
          <cell r="BQ244">
            <v>0</v>
          </cell>
          <cell r="BR244">
            <v>1</v>
          </cell>
          <cell r="BS244" t="str">
            <v>少1起</v>
          </cell>
          <cell r="BT244">
            <v>1</v>
          </cell>
          <cell r="BU244" t="str">
            <v>少1起</v>
          </cell>
          <cell r="BV244">
            <v>0</v>
          </cell>
          <cell r="BW244">
            <v>-1</v>
          </cell>
          <cell r="BX244">
            <v>0</v>
          </cell>
          <cell r="BY244" t="str">
            <v/>
          </cell>
          <cell r="BZ244">
            <v>0</v>
          </cell>
          <cell r="CA244">
            <v>0</v>
          </cell>
          <cell r="CB244" t="str">
            <v>持平</v>
          </cell>
          <cell r="CC244">
            <v>0</v>
          </cell>
          <cell r="CD244" t="str">
            <v>持平</v>
          </cell>
          <cell r="CE244" t="str">
            <v/>
          </cell>
          <cell r="CF244" t="str">
            <v/>
          </cell>
          <cell r="CG244">
            <v>1</v>
          </cell>
          <cell r="CH244">
            <v>0</v>
          </cell>
          <cell r="CI244" t="str">
            <v>多1人</v>
          </cell>
          <cell r="CJ244">
            <v>20</v>
          </cell>
          <cell r="CK244">
            <v>-0.95</v>
          </cell>
          <cell r="CL244">
            <v>50</v>
          </cell>
          <cell r="CM244">
            <v>50</v>
          </cell>
          <cell r="CN244" t="str">
            <v/>
          </cell>
          <cell r="CO244">
            <v>0</v>
          </cell>
          <cell r="CP244">
            <v>0</v>
          </cell>
          <cell r="CQ244" t="str">
            <v>持平</v>
          </cell>
          <cell r="CR244">
            <v>2</v>
          </cell>
          <cell r="CS244" t="str">
            <v>少2人</v>
          </cell>
          <cell r="CT244">
            <v>0</v>
          </cell>
          <cell r="CU244" t="str">
            <v/>
          </cell>
          <cell r="CV244">
            <v>0</v>
          </cell>
          <cell r="CW244">
            <v>0</v>
          </cell>
          <cell r="CX244" t="str">
            <v/>
          </cell>
          <cell r="CY244">
            <v>0</v>
          </cell>
          <cell r="CZ244">
            <v>0</v>
          </cell>
          <cell r="DA244" t="str">
            <v>持平</v>
          </cell>
          <cell r="DB244">
            <v>2</v>
          </cell>
          <cell r="DC244" t="str">
            <v>少2人</v>
          </cell>
          <cell r="DD244">
            <v>0</v>
          </cell>
          <cell r="DE244" t="str">
            <v/>
          </cell>
          <cell r="DF244">
            <v>0</v>
          </cell>
          <cell r="DG244">
            <v>0</v>
          </cell>
          <cell r="DH244" t="str">
            <v/>
          </cell>
          <cell r="DI244">
            <v>0</v>
          </cell>
          <cell r="DJ244">
            <v>0</v>
          </cell>
          <cell r="DK244" t="str">
            <v>持平</v>
          </cell>
          <cell r="DL244">
            <v>0</v>
          </cell>
          <cell r="DM244" t="str">
            <v>持平</v>
          </cell>
          <cell r="DN244">
            <v>3</v>
          </cell>
          <cell r="DO244">
            <v>0</v>
          </cell>
          <cell r="DP244" t="str">
            <v>多3人</v>
          </cell>
          <cell r="DQ244">
            <v>2</v>
          </cell>
          <cell r="DR244">
            <v>0.5</v>
          </cell>
          <cell r="DS244">
            <v>3</v>
          </cell>
          <cell r="DT244">
            <v>0</v>
          </cell>
          <cell r="DU244" t="str">
            <v>多3人</v>
          </cell>
          <cell r="DV244">
            <v>2</v>
          </cell>
          <cell r="DW244">
            <v>0.5</v>
          </cell>
          <cell r="DX244">
            <v>18</v>
          </cell>
          <cell r="DY244">
            <v>1</v>
          </cell>
          <cell r="DZ244">
            <v>17</v>
          </cell>
          <cell r="EA244">
            <v>1</v>
          </cell>
          <cell r="EB244">
            <v>17</v>
          </cell>
          <cell r="EC244">
            <v>16</v>
          </cell>
          <cell r="ED244">
            <v>1</v>
          </cell>
          <cell r="EE244">
            <v>15</v>
          </cell>
          <cell r="EF244">
            <v>0</v>
          </cell>
          <cell r="EG244" t="str">
            <v>多16人</v>
          </cell>
          <cell r="EH244" t="str">
            <v/>
          </cell>
          <cell r="EI244" t="str">
            <v/>
          </cell>
          <cell r="EJ244">
            <v>800</v>
          </cell>
          <cell r="EK244">
            <v>700</v>
          </cell>
          <cell r="EL244">
            <v>7</v>
          </cell>
          <cell r="EM244">
            <v>17</v>
          </cell>
          <cell r="EN244">
            <v>1</v>
          </cell>
          <cell r="EO244">
            <v>16</v>
          </cell>
          <cell r="EP244">
            <v>0</v>
          </cell>
          <cell r="EQ244" t="str">
            <v>多17人</v>
          </cell>
          <cell r="ER244">
            <v>0</v>
          </cell>
          <cell r="ES244">
            <v>2</v>
          </cell>
          <cell r="ET244" t="str">
            <v>少2人</v>
          </cell>
          <cell r="EU244">
            <v>2</v>
          </cell>
          <cell r="EV244" t="str">
            <v>少2人</v>
          </cell>
          <cell r="EW244" t="str">
            <v/>
          </cell>
          <cell r="EX244" t="str">
            <v/>
          </cell>
          <cell r="EY244">
            <v>0</v>
          </cell>
          <cell r="EZ244">
            <v>-200</v>
          </cell>
          <cell r="FA244">
            <v>-1</v>
          </cell>
        </row>
        <row r="245">
          <cell r="A245" t="str">
            <v>经济</v>
          </cell>
          <cell r="B245" t="str">
            <v>云安区</v>
          </cell>
        </row>
        <row r="245">
          <cell r="AM245">
            <v>3</v>
          </cell>
          <cell r="AN245">
            <v>2</v>
          </cell>
          <cell r="AO245">
            <v>0.5</v>
          </cell>
          <cell r="AP245">
            <v>2</v>
          </cell>
          <cell r="AQ245">
            <v>0.5</v>
          </cell>
          <cell r="AR245">
            <v>0.75</v>
          </cell>
          <cell r="AS245">
            <v>0.0833</v>
          </cell>
          <cell r="AT245">
            <v>2</v>
          </cell>
          <cell r="AU245">
            <v>2</v>
          </cell>
          <cell r="AV245">
            <v>0</v>
          </cell>
          <cell r="AW245">
            <v>0</v>
          </cell>
          <cell r="AX245" t="str">
            <v>多2起</v>
          </cell>
          <cell r="AY245">
            <v>2</v>
          </cell>
          <cell r="AZ245">
            <v>1</v>
          </cell>
          <cell r="BA245">
            <v>1</v>
          </cell>
          <cell r="BB245">
            <v>0</v>
          </cell>
          <cell r="BC245" t="str">
            <v>多2起</v>
          </cell>
          <cell r="BD245">
            <v>1</v>
          </cell>
          <cell r="BE245">
            <v>0.5</v>
          </cell>
          <cell r="BF245">
            <v>2</v>
          </cell>
          <cell r="BG245">
            <v>1</v>
          </cell>
          <cell r="BH245">
            <v>1</v>
          </cell>
          <cell r="BI245">
            <v>0</v>
          </cell>
          <cell r="BJ245" t="str">
            <v>多2起</v>
          </cell>
          <cell r="BK245">
            <v>0.5</v>
          </cell>
          <cell r="BL245">
            <v>1</v>
          </cell>
          <cell r="BM245">
            <v>1</v>
          </cell>
          <cell r="BN245">
            <v>0</v>
          </cell>
          <cell r="BO245">
            <v>2</v>
          </cell>
          <cell r="BP245">
            <v>-0.5</v>
          </cell>
          <cell r="BQ245">
            <v>1</v>
          </cell>
          <cell r="BR245">
            <v>1</v>
          </cell>
          <cell r="BS245">
            <v>0</v>
          </cell>
          <cell r="BT245">
            <v>4</v>
          </cell>
          <cell r="BU245">
            <v>-0.75</v>
          </cell>
          <cell r="BV245">
            <v>0.25</v>
          </cell>
          <cell r="BW245">
            <v>-0.0833</v>
          </cell>
          <cell r="BX245">
            <v>0.5</v>
          </cell>
          <cell r="BY245">
            <v>0</v>
          </cell>
          <cell r="BZ245">
            <v>0</v>
          </cell>
          <cell r="CA245">
            <v>0</v>
          </cell>
          <cell r="CB245" t="str">
            <v>持平</v>
          </cell>
          <cell r="CC245">
            <v>0</v>
          </cell>
          <cell r="CD245" t="str">
            <v>持平</v>
          </cell>
          <cell r="CE245" t="str">
            <v/>
          </cell>
          <cell r="CF245" t="str">
            <v/>
          </cell>
          <cell r="CG245">
            <v>7</v>
          </cell>
          <cell r="CH245">
            <v>4</v>
          </cell>
          <cell r="CI245">
            <v>0.75</v>
          </cell>
          <cell r="CJ245">
            <v>5</v>
          </cell>
          <cell r="CK245">
            <v>0.4</v>
          </cell>
          <cell r="CL245">
            <v>175</v>
          </cell>
          <cell r="CM245">
            <v>42</v>
          </cell>
          <cell r="CN245">
            <v>0.3125</v>
          </cell>
          <cell r="CO245">
            <v>8</v>
          </cell>
          <cell r="CP245">
            <v>5</v>
          </cell>
          <cell r="CQ245">
            <v>0.6</v>
          </cell>
          <cell r="CR245">
            <v>3</v>
          </cell>
          <cell r="CS245">
            <v>1.6667</v>
          </cell>
          <cell r="CT245">
            <v>1.1429</v>
          </cell>
          <cell r="CU245">
            <v>-0.1071</v>
          </cell>
          <cell r="CV245">
            <v>200</v>
          </cell>
          <cell r="CW245">
            <v>33</v>
          </cell>
          <cell r="CX245">
            <v>0.2</v>
          </cell>
          <cell r="CY245">
            <v>8</v>
          </cell>
          <cell r="CZ245">
            <v>5</v>
          </cell>
          <cell r="DA245">
            <v>0.6</v>
          </cell>
          <cell r="DB245">
            <v>3</v>
          </cell>
          <cell r="DC245">
            <v>1.6667</v>
          </cell>
          <cell r="DD245">
            <v>1.1429</v>
          </cell>
          <cell r="DE245">
            <v>-0.1071</v>
          </cell>
          <cell r="DF245">
            <v>200</v>
          </cell>
          <cell r="DG245">
            <v>33</v>
          </cell>
          <cell r="DH245">
            <v>0.2</v>
          </cell>
          <cell r="DI245">
            <v>0</v>
          </cell>
          <cell r="DJ245">
            <v>0</v>
          </cell>
          <cell r="DK245" t="str">
            <v>持平</v>
          </cell>
          <cell r="DL245">
            <v>0</v>
          </cell>
          <cell r="DM245" t="str">
            <v>持平</v>
          </cell>
          <cell r="DN245">
            <v>0</v>
          </cell>
          <cell r="DO245">
            <v>2</v>
          </cell>
          <cell r="DP245" t="str">
            <v>少2人</v>
          </cell>
          <cell r="DQ245">
            <v>1</v>
          </cell>
          <cell r="DR245" t="str">
            <v>少1人</v>
          </cell>
          <cell r="DS245">
            <v>0</v>
          </cell>
          <cell r="DT245">
            <v>2</v>
          </cell>
          <cell r="DU245" t="str">
            <v>少2人</v>
          </cell>
          <cell r="DV245">
            <v>1</v>
          </cell>
          <cell r="DW245" t="str">
            <v>少1人</v>
          </cell>
          <cell r="DX245">
            <v>4</v>
          </cell>
          <cell r="DY245">
            <v>5</v>
          </cell>
          <cell r="DZ245">
            <v>-0.2</v>
          </cell>
          <cell r="EA245">
            <v>3</v>
          </cell>
          <cell r="EB245">
            <v>0.3333</v>
          </cell>
          <cell r="EC245">
            <v>4</v>
          </cell>
          <cell r="ED245">
            <v>4</v>
          </cell>
          <cell r="EE245">
            <v>0</v>
          </cell>
          <cell r="EF245">
            <v>1</v>
          </cell>
          <cell r="EG245">
            <v>3</v>
          </cell>
          <cell r="EH245">
            <v>0.5</v>
          </cell>
          <cell r="EI245">
            <v>-0.3</v>
          </cell>
          <cell r="EJ245">
            <v>100</v>
          </cell>
          <cell r="EK245">
            <v>-33</v>
          </cell>
          <cell r="EL245">
            <v>-0.25</v>
          </cell>
          <cell r="EM245">
            <v>4</v>
          </cell>
          <cell r="EN245">
            <v>4</v>
          </cell>
          <cell r="EO245">
            <v>0</v>
          </cell>
          <cell r="EP245">
            <v>1</v>
          </cell>
          <cell r="EQ245">
            <v>3</v>
          </cell>
          <cell r="ER245">
            <v>3</v>
          </cell>
          <cell r="ES245">
            <v>2</v>
          </cell>
          <cell r="ET245">
            <v>0.5</v>
          </cell>
          <cell r="EU245">
            <v>6</v>
          </cell>
          <cell r="EV245">
            <v>-0.5</v>
          </cell>
          <cell r="EW245">
            <v>0.375</v>
          </cell>
          <cell r="EX245">
            <v>-0.025</v>
          </cell>
          <cell r="EY245">
            <v>75</v>
          </cell>
          <cell r="EZ245">
            <v>8</v>
          </cell>
          <cell r="FA245">
            <v>0.125</v>
          </cell>
        </row>
        <row r="246">
          <cell r="A246" t="str">
            <v>经济</v>
          </cell>
          <cell r="B246" t="str">
            <v>新兴县</v>
          </cell>
        </row>
        <row r="246">
          <cell r="AM246">
            <v>3</v>
          </cell>
          <cell r="AN246">
            <v>0</v>
          </cell>
          <cell r="AO246" t="str">
            <v>多3起</v>
          </cell>
          <cell r="AP246">
            <v>2</v>
          </cell>
          <cell r="AQ246">
            <v>0.5</v>
          </cell>
          <cell r="AR246">
            <v>1</v>
          </cell>
          <cell r="AS246">
            <v>1</v>
          </cell>
          <cell r="AT246">
            <v>1</v>
          </cell>
          <cell r="AU246">
            <v>0</v>
          </cell>
          <cell r="AV246" t="str">
            <v>多1起</v>
          </cell>
          <cell r="AW246">
            <v>4</v>
          </cell>
          <cell r="AX246">
            <v>-0.75</v>
          </cell>
          <cell r="AY246">
            <v>1</v>
          </cell>
          <cell r="AZ246">
            <v>0</v>
          </cell>
          <cell r="BA246" t="str">
            <v>多1起</v>
          </cell>
          <cell r="BB246">
            <v>0</v>
          </cell>
          <cell r="BC246" t="str">
            <v>多1起</v>
          </cell>
          <cell r="BD246">
            <v>1</v>
          </cell>
          <cell r="BE246" t="str">
            <v/>
          </cell>
          <cell r="BF246">
            <v>2</v>
          </cell>
          <cell r="BG246">
            <v>1</v>
          </cell>
          <cell r="BH246">
            <v>1</v>
          </cell>
          <cell r="BI246">
            <v>1</v>
          </cell>
          <cell r="BJ246">
            <v>1</v>
          </cell>
          <cell r="BK246">
            <v>0.6667</v>
          </cell>
          <cell r="BL246">
            <v>2</v>
          </cell>
          <cell r="BM246">
            <v>0</v>
          </cell>
          <cell r="BN246" t="str">
            <v>多2起</v>
          </cell>
          <cell r="BO246">
            <v>2</v>
          </cell>
          <cell r="BP246">
            <v>0</v>
          </cell>
          <cell r="BQ246">
            <v>1</v>
          </cell>
          <cell r="BR246">
            <v>0</v>
          </cell>
          <cell r="BS246" t="str">
            <v>多1起</v>
          </cell>
          <cell r="BT246">
            <v>0</v>
          </cell>
          <cell r="BU246" t="str">
            <v>多1起</v>
          </cell>
          <cell r="BV246">
            <v>0.3333</v>
          </cell>
          <cell r="BW246">
            <v>0.3333</v>
          </cell>
          <cell r="BX246">
            <v>1</v>
          </cell>
          <cell r="BY246" t="str">
            <v/>
          </cell>
          <cell r="BZ246">
            <v>0</v>
          </cell>
          <cell r="CA246">
            <v>0</v>
          </cell>
          <cell r="CB246" t="str">
            <v>持平</v>
          </cell>
          <cell r="CC246">
            <v>0</v>
          </cell>
          <cell r="CD246" t="str">
            <v>持平</v>
          </cell>
          <cell r="CE246" t="str">
            <v/>
          </cell>
          <cell r="CF246" t="str">
            <v/>
          </cell>
          <cell r="CG246">
            <v>3</v>
          </cell>
          <cell r="CH246">
            <v>2</v>
          </cell>
          <cell r="CI246">
            <v>0.5</v>
          </cell>
          <cell r="CJ246">
            <v>2</v>
          </cell>
          <cell r="CK246">
            <v>0.5</v>
          </cell>
          <cell r="CL246">
            <v>100</v>
          </cell>
          <cell r="CM246">
            <v>-100</v>
          </cell>
          <cell r="CN246">
            <v>-0.5</v>
          </cell>
          <cell r="CO246">
            <v>1</v>
          </cell>
          <cell r="CP246">
            <v>2</v>
          </cell>
          <cell r="CQ246">
            <v>-0.5</v>
          </cell>
          <cell r="CR246">
            <v>0</v>
          </cell>
          <cell r="CS246" t="str">
            <v>多1人</v>
          </cell>
          <cell r="CT246">
            <v>0.3333</v>
          </cell>
          <cell r="CU246">
            <v>-0.6667</v>
          </cell>
          <cell r="CV246">
            <v>33</v>
          </cell>
          <cell r="CW246">
            <v>-167</v>
          </cell>
          <cell r="CX246">
            <v>-0.8333</v>
          </cell>
          <cell r="CY246">
            <v>1</v>
          </cell>
          <cell r="CZ246">
            <v>2</v>
          </cell>
          <cell r="DA246">
            <v>-0.5</v>
          </cell>
          <cell r="DB246">
            <v>0</v>
          </cell>
          <cell r="DC246" t="str">
            <v>多1人</v>
          </cell>
          <cell r="DD246">
            <v>0.3333</v>
          </cell>
          <cell r="DE246">
            <v>-0.6667</v>
          </cell>
          <cell r="DF246">
            <v>33</v>
          </cell>
          <cell r="DG246">
            <v>-167</v>
          </cell>
          <cell r="DH246">
            <v>-0.8333</v>
          </cell>
          <cell r="DI246">
            <v>1</v>
          </cell>
          <cell r="DJ246">
            <v>3</v>
          </cell>
          <cell r="DK246">
            <v>-0.6667</v>
          </cell>
          <cell r="DL246">
            <v>0</v>
          </cell>
          <cell r="DM246" t="str">
            <v>多1人</v>
          </cell>
          <cell r="DN246">
            <v>4</v>
          </cell>
          <cell r="DO246">
            <v>0</v>
          </cell>
          <cell r="DP246" t="str">
            <v>多4人</v>
          </cell>
          <cell r="DQ246">
            <v>1</v>
          </cell>
          <cell r="DR246">
            <v>3</v>
          </cell>
          <cell r="DS246">
            <v>4</v>
          </cell>
          <cell r="DT246">
            <v>0</v>
          </cell>
          <cell r="DU246" t="str">
            <v>多4人</v>
          </cell>
          <cell r="DV246">
            <v>1</v>
          </cell>
          <cell r="DW246">
            <v>3</v>
          </cell>
          <cell r="DX246">
            <v>1</v>
          </cell>
          <cell r="DY246">
            <v>0</v>
          </cell>
          <cell r="DZ246" t="str">
            <v>多1人</v>
          </cell>
          <cell r="EA246">
            <v>0</v>
          </cell>
          <cell r="EB246" t="str">
            <v>多1人</v>
          </cell>
          <cell r="EC246">
            <v>0</v>
          </cell>
          <cell r="ED246">
            <v>0</v>
          </cell>
          <cell r="EE246" t="str">
            <v>持平</v>
          </cell>
          <cell r="EF246">
            <v>0</v>
          </cell>
          <cell r="EG246" t="str">
            <v>持平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 t="str">
            <v/>
          </cell>
          <cell r="EM246">
            <v>0</v>
          </cell>
          <cell r="EN246">
            <v>0</v>
          </cell>
          <cell r="EO246" t="str">
            <v>持平</v>
          </cell>
          <cell r="EP246">
            <v>0</v>
          </cell>
          <cell r="EQ246" t="str">
            <v>持平</v>
          </cell>
          <cell r="ER246">
            <v>1</v>
          </cell>
          <cell r="ES246">
            <v>0</v>
          </cell>
          <cell r="ET246" t="str">
            <v>多1人</v>
          </cell>
          <cell r="EU246">
            <v>0</v>
          </cell>
          <cell r="EV246" t="str">
            <v>多1人</v>
          </cell>
          <cell r="EW246">
            <v>1</v>
          </cell>
          <cell r="EX246">
            <v>1</v>
          </cell>
          <cell r="EY246">
            <v>33</v>
          </cell>
          <cell r="EZ246">
            <v>33</v>
          </cell>
          <cell r="FA246" t="str">
            <v/>
          </cell>
        </row>
        <row r="247">
          <cell r="A247" t="str">
            <v>经济</v>
          </cell>
          <cell r="B247" t="str">
            <v>郁南县</v>
          </cell>
        </row>
        <row r="247">
          <cell r="AM247">
            <v>3</v>
          </cell>
          <cell r="AN247">
            <v>1</v>
          </cell>
          <cell r="AO247">
            <v>2</v>
          </cell>
          <cell r="AP247">
            <v>3</v>
          </cell>
          <cell r="AQ247">
            <v>0</v>
          </cell>
          <cell r="AR247">
            <v>1.5</v>
          </cell>
          <cell r="AS247">
            <v>0.5</v>
          </cell>
          <cell r="AT247">
            <v>2</v>
          </cell>
          <cell r="AU247">
            <v>0</v>
          </cell>
          <cell r="AV247" t="str">
            <v>多2起</v>
          </cell>
          <cell r="AW247">
            <v>4</v>
          </cell>
          <cell r="AX247">
            <v>-0.5</v>
          </cell>
          <cell r="AY247">
            <v>2</v>
          </cell>
          <cell r="AZ247">
            <v>0</v>
          </cell>
          <cell r="BA247" t="str">
            <v>多2起</v>
          </cell>
          <cell r="BB247">
            <v>3</v>
          </cell>
          <cell r="BC247">
            <v>-0.3333</v>
          </cell>
          <cell r="BD247">
            <v>1</v>
          </cell>
          <cell r="BE247" t="str">
            <v/>
          </cell>
          <cell r="BF247">
            <v>0</v>
          </cell>
          <cell r="BG247">
            <v>1</v>
          </cell>
          <cell r="BH247" t="str">
            <v>少1起</v>
          </cell>
          <cell r="BI247">
            <v>1</v>
          </cell>
          <cell r="BJ247" t="str">
            <v>少1起</v>
          </cell>
          <cell r="BK247">
            <v>0</v>
          </cell>
          <cell r="BL247">
            <v>1</v>
          </cell>
          <cell r="BM247">
            <v>1</v>
          </cell>
          <cell r="BN247">
            <v>0</v>
          </cell>
          <cell r="BO247">
            <v>0</v>
          </cell>
          <cell r="BP247" t="str">
            <v>多1起</v>
          </cell>
          <cell r="BQ247">
            <v>2</v>
          </cell>
          <cell r="BR247">
            <v>2</v>
          </cell>
          <cell r="BS247">
            <v>0</v>
          </cell>
          <cell r="BT247">
            <v>5</v>
          </cell>
          <cell r="BU247">
            <v>-0.6</v>
          </cell>
          <cell r="BV247">
            <v>1</v>
          </cell>
          <cell r="BW247">
            <v>-1</v>
          </cell>
          <cell r="BX247">
            <v>1</v>
          </cell>
          <cell r="BY247" t="str">
            <v/>
          </cell>
          <cell r="BZ247">
            <v>0</v>
          </cell>
          <cell r="CA247">
            <v>0</v>
          </cell>
          <cell r="CB247" t="str">
            <v>持平</v>
          </cell>
          <cell r="CC247">
            <v>0</v>
          </cell>
          <cell r="CD247" t="str">
            <v>持平</v>
          </cell>
          <cell r="CE247" t="str">
            <v/>
          </cell>
          <cell r="CF247" t="str">
            <v/>
          </cell>
          <cell r="CG247">
            <v>2</v>
          </cell>
          <cell r="CH247">
            <v>0</v>
          </cell>
          <cell r="CI247" t="str">
            <v>多2人</v>
          </cell>
          <cell r="CJ247">
            <v>7</v>
          </cell>
          <cell r="CK247">
            <v>-0.7143</v>
          </cell>
          <cell r="CL247">
            <v>100</v>
          </cell>
          <cell r="CM247">
            <v>100</v>
          </cell>
          <cell r="CN247" t="str">
            <v/>
          </cell>
          <cell r="CO247">
            <v>3</v>
          </cell>
          <cell r="CP247">
            <v>0</v>
          </cell>
          <cell r="CQ247" t="str">
            <v>多3人</v>
          </cell>
          <cell r="CR247">
            <v>6</v>
          </cell>
          <cell r="CS247">
            <v>-0.5</v>
          </cell>
          <cell r="CT247">
            <v>1.5</v>
          </cell>
          <cell r="CU247" t="str">
            <v/>
          </cell>
          <cell r="CV247">
            <v>150</v>
          </cell>
          <cell r="CW247">
            <v>150</v>
          </cell>
          <cell r="CX247" t="str">
            <v/>
          </cell>
          <cell r="CY247">
            <v>3</v>
          </cell>
          <cell r="CZ247">
            <v>0</v>
          </cell>
          <cell r="DA247" t="str">
            <v>多3人</v>
          </cell>
          <cell r="DB247">
            <v>6</v>
          </cell>
          <cell r="DC247">
            <v>-0.5</v>
          </cell>
          <cell r="DD247">
            <v>1.5</v>
          </cell>
          <cell r="DE247" t="str">
            <v/>
          </cell>
          <cell r="DF247">
            <v>150</v>
          </cell>
          <cell r="DG247">
            <v>150</v>
          </cell>
          <cell r="DH247" t="str">
            <v/>
          </cell>
          <cell r="DI247">
            <v>4</v>
          </cell>
          <cell r="DJ247">
            <v>0</v>
          </cell>
          <cell r="DK247" t="str">
            <v>多4人</v>
          </cell>
          <cell r="DL247">
            <v>5</v>
          </cell>
          <cell r="DM247">
            <v>-0.2</v>
          </cell>
          <cell r="DN247">
            <v>3</v>
          </cell>
          <cell r="DO247">
            <v>0</v>
          </cell>
          <cell r="DP247" t="str">
            <v>多3人</v>
          </cell>
          <cell r="DQ247">
            <v>5</v>
          </cell>
          <cell r="DR247">
            <v>-0.4</v>
          </cell>
          <cell r="DS247">
            <v>3</v>
          </cell>
          <cell r="DT247">
            <v>0</v>
          </cell>
          <cell r="DU247" t="str">
            <v>多3人</v>
          </cell>
          <cell r="DV247">
            <v>5</v>
          </cell>
          <cell r="DW247">
            <v>-0.4</v>
          </cell>
          <cell r="DX247">
            <v>2</v>
          </cell>
          <cell r="DY247">
            <v>0</v>
          </cell>
          <cell r="DZ247" t="str">
            <v>多2人</v>
          </cell>
          <cell r="EA247">
            <v>8</v>
          </cell>
          <cell r="EB247">
            <v>-0.75</v>
          </cell>
          <cell r="EC247">
            <v>4</v>
          </cell>
          <cell r="ED247">
            <v>0</v>
          </cell>
          <cell r="EE247" t="str">
            <v>多4人</v>
          </cell>
          <cell r="EF247">
            <v>3</v>
          </cell>
          <cell r="EG247">
            <v>0.3333</v>
          </cell>
          <cell r="EH247">
            <v>1.3333</v>
          </cell>
          <cell r="EI247" t="str">
            <v/>
          </cell>
          <cell r="EJ247">
            <v>200</v>
          </cell>
          <cell r="EK247">
            <v>200</v>
          </cell>
          <cell r="EL247" t="str">
            <v/>
          </cell>
          <cell r="EM247">
            <v>4</v>
          </cell>
          <cell r="EN247">
            <v>0</v>
          </cell>
          <cell r="EO247" t="str">
            <v>多4人</v>
          </cell>
          <cell r="EP247">
            <v>3</v>
          </cell>
          <cell r="EQ247">
            <v>0.3333</v>
          </cell>
          <cell r="ER247">
            <v>2</v>
          </cell>
          <cell r="ES247">
            <v>8</v>
          </cell>
          <cell r="ET247">
            <v>-0.75</v>
          </cell>
          <cell r="EU247">
            <v>11</v>
          </cell>
          <cell r="EV247">
            <v>-0.8182</v>
          </cell>
          <cell r="EW247">
            <v>0.6667</v>
          </cell>
          <cell r="EX247" t="str">
            <v/>
          </cell>
          <cell r="EY247">
            <v>100</v>
          </cell>
          <cell r="EZ247">
            <v>-700</v>
          </cell>
          <cell r="FA247">
            <v>-0.875</v>
          </cell>
        </row>
        <row r="248">
          <cell r="A248" t="str">
            <v>经济</v>
          </cell>
          <cell r="B248" t="str">
            <v>罗定市</v>
          </cell>
        </row>
        <row r="248">
          <cell r="AM248">
            <v>3</v>
          </cell>
          <cell r="AN248">
            <v>1</v>
          </cell>
          <cell r="AO248">
            <v>2</v>
          </cell>
          <cell r="AP248">
            <v>3</v>
          </cell>
          <cell r="AQ248">
            <v>0</v>
          </cell>
          <cell r="AR248">
            <v>1.5</v>
          </cell>
          <cell r="AS248">
            <v>0.5</v>
          </cell>
          <cell r="AT248">
            <v>1</v>
          </cell>
          <cell r="AU248">
            <v>1</v>
          </cell>
          <cell r="AV248">
            <v>0</v>
          </cell>
          <cell r="AW248">
            <v>1</v>
          </cell>
          <cell r="AX248">
            <v>0</v>
          </cell>
          <cell r="AY248">
            <v>0</v>
          </cell>
          <cell r="AZ248">
            <v>0</v>
          </cell>
          <cell r="BA248" t="str">
            <v>持平</v>
          </cell>
          <cell r="BB248">
            <v>3</v>
          </cell>
          <cell r="BC248" t="str">
            <v>少3起</v>
          </cell>
          <cell r="BD248">
            <v>0</v>
          </cell>
          <cell r="BE248">
            <v>0</v>
          </cell>
          <cell r="BF248">
            <v>1</v>
          </cell>
          <cell r="BG248">
            <v>0</v>
          </cell>
          <cell r="BH248" t="str">
            <v>多1起</v>
          </cell>
          <cell r="BI248">
            <v>1</v>
          </cell>
          <cell r="BJ248">
            <v>0</v>
          </cell>
          <cell r="BK248">
            <v>0.5</v>
          </cell>
          <cell r="BL248">
            <v>3</v>
          </cell>
          <cell r="BM248">
            <v>1</v>
          </cell>
          <cell r="BN248">
            <v>2</v>
          </cell>
          <cell r="BO248">
            <v>0</v>
          </cell>
          <cell r="BP248" t="str">
            <v>多3起</v>
          </cell>
          <cell r="BQ248">
            <v>2</v>
          </cell>
          <cell r="BR248">
            <v>3</v>
          </cell>
          <cell r="BS248">
            <v>-0.3333</v>
          </cell>
          <cell r="BT248">
            <v>5</v>
          </cell>
          <cell r="BU248">
            <v>-0.6</v>
          </cell>
          <cell r="BV248">
            <v>1</v>
          </cell>
          <cell r="BW248">
            <v>-2</v>
          </cell>
          <cell r="BX248">
            <v>2</v>
          </cell>
          <cell r="BY248">
            <v>-1</v>
          </cell>
          <cell r="BZ248">
            <v>0</v>
          </cell>
          <cell r="CA248">
            <v>0</v>
          </cell>
          <cell r="CB248" t="str">
            <v>持平</v>
          </cell>
          <cell r="CC248">
            <v>0</v>
          </cell>
          <cell r="CD248" t="str">
            <v>持平</v>
          </cell>
          <cell r="CE248" t="str">
            <v/>
          </cell>
          <cell r="CF248" t="str">
            <v/>
          </cell>
          <cell r="CG248">
            <v>1</v>
          </cell>
          <cell r="CH248">
            <v>0</v>
          </cell>
          <cell r="CI248" t="str">
            <v>多1人</v>
          </cell>
          <cell r="CJ248">
            <v>5</v>
          </cell>
          <cell r="CK248">
            <v>-0.8</v>
          </cell>
          <cell r="CL248">
            <v>50</v>
          </cell>
          <cell r="CM248">
            <v>50</v>
          </cell>
          <cell r="CN248" t="str">
            <v/>
          </cell>
          <cell r="CO248">
            <v>2</v>
          </cell>
          <cell r="CP248">
            <v>1</v>
          </cell>
          <cell r="CQ248">
            <v>1</v>
          </cell>
          <cell r="CR248">
            <v>3</v>
          </cell>
          <cell r="CS248">
            <v>-0.3333</v>
          </cell>
          <cell r="CT248">
            <v>2</v>
          </cell>
          <cell r="CU248" t="str">
            <v/>
          </cell>
          <cell r="CV248">
            <v>100</v>
          </cell>
          <cell r="CW248">
            <v>0</v>
          </cell>
          <cell r="CX248">
            <v>0</v>
          </cell>
          <cell r="CY248">
            <v>2</v>
          </cell>
          <cell r="CZ248">
            <v>1</v>
          </cell>
          <cell r="DA248">
            <v>1</v>
          </cell>
          <cell r="DB248">
            <v>3</v>
          </cell>
          <cell r="DC248">
            <v>-0.3333</v>
          </cell>
          <cell r="DD248">
            <v>2</v>
          </cell>
          <cell r="DE248" t="str">
            <v/>
          </cell>
          <cell r="DF248">
            <v>100</v>
          </cell>
          <cell r="DG248">
            <v>0</v>
          </cell>
          <cell r="DH248">
            <v>0</v>
          </cell>
          <cell r="DI248">
            <v>1</v>
          </cell>
          <cell r="DJ248">
            <v>0</v>
          </cell>
          <cell r="DK248" t="str">
            <v>多1人</v>
          </cell>
          <cell r="DL248">
            <v>3</v>
          </cell>
          <cell r="DM248">
            <v>-0.6667</v>
          </cell>
          <cell r="DN248">
            <v>0</v>
          </cell>
          <cell r="DO248">
            <v>0</v>
          </cell>
          <cell r="DP248" t="str">
            <v>持平</v>
          </cell>
          <cell r="DQ248">
            <v>1</v>
          </cell>
          <cell r="DR248" t="str">
            <v>少1人</v>
          </cell>
          <cell r="DS248">
            <v>0</v>
          </cell>
          <cell r="DT248">
            <v>0</v>
          </cell>
          <cell r="DU248" t="str">
            <v>持平</v>
          </cell>
          <cell r="DV248">
            <v>1</v>
          </cell>
          <cell r="DW248" t="str">
            <v>少1人</v>
          </cell>
          <cell r="DX248">
            <v>4</v>
          </cell>
          <cell r="DY248">
            <v>0</v>
          </cell>
          <cell r="DZ248" t="str">
            <v>多4人</v>
          </cell>
          <cell r="EA248">
            <v>4</v>
          </cell>
          <cell r="EB248">
            <v>0</v>
          </cell>
          <cell r="EC248">
            <v>3</v>
          </cell>
          <cell r="ED248">
            <v>0</v>
          </cell>
          <cell r="EE248" t="str">
            <v>多3人</v>
          </cell>
          <cell r="EF248">
            <v>4</v>
          </cell>
          <cell r="EG248">
            <v>-0.25</v>
          </cell>
          <cell r="EH248">
            <v>1.5</v>
          </cell>
          <cell r="EI248">
            <v>1.5</v>
          </cell>
          <cell r="EJ248">
            <v>150</v>
          </cell>
          <cell r="EK248">
            <v>150</v>
          </cell>
          <cell r="EL248" t="str">
            <v/>
          </cell>
          <cell r="EM248">
            <v>3</v>
          </cell>
          <cell r="EN248">
            <v>0</v>
          </cell>
          <cell r="EO248" t="str">
            <v>多3人</v>
          </cell>
          <cell r="EP248">
            <v>5</v>
          </cell>
          <cell r="EQ248">
            <v>-0.4</v>
          </cell>
          <cell r="ER248">
            <v>3</v>
          </cell>
          <cell r="ES248">
            <v>4</v>
          </cell>
          <cell r="ET248">
            <v>-0.25</v>
          </cell>
          <cell r="EU248">
            <v>11</v>
          </cell>
          <cell r="EV248">
            <v>-0.7273</v>
          </cell>
          <cell r="EW248">
            <v>1.5</v>
          </cell>
          <cell r="EX248">
            <v>-2.5</v>
          </cell>
          <cell r="EY248">
            <v>150</v>
          </cell>
          <cell r="EZ248">
            <v>-250</v>
          </cell>
          <cell r="FA248">
            <v>-0.625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29" sqref="E29"/>
    </sheetView>
  </sheetViews>
  <sheetFormatPr defaultColWidth="9" defaultRowHeight="13.5" outlineLevelCol="5"/>
  <cols>
    <col min="1" max="1" width="21.5" customWidth="1"/>
    <col min="2" max="2" width="21.25" customWidth="1"/>
    <col min="3" max="3" width="12.875" customWidth="1"/>
    <col min="4" max="4" width="15.7166666666667" customWidth="1"/>
    <col min="5" max="5" width="25.375" customWidth="1"/>
    <col min="6" max="6" width="97.75" style="55" customWidth="1"/>
  </cols>
  <sheetData>
    <row r="1" ht="25" customHeight="1" spans="1:6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ht="27" spans="1:6">
      <c r="A2" s="57" t="s">
        <v>6</v>
      </c>
      <c r="B2" s="57" t="s">
        <v>7</v>
      </c>
      <c r="C2" s="57" t="s">
        <v>8</v>
      </c>
      <c r="D2" s="57" t="s">
        <v>9</v>
      </c>
      <c r="E2" s="57" t="s">
        <v>10</v>
      </c>
      <c r="F2" s="58" t="s">
        <v>11</v>
      </c>
    </row>
    <row r="3" spans="1:6">
      <c r="A3" s="57" t="s">
        <v>12</v>
      </c>
      <c r="B3" s="57" t="s">
        <v>13</v>
      </c>
      <c r="C3" s="57" t="s">
        <v>14</v>
      </c>
      <c r="D3" s="57" t="s">
        <v>9</v>
      </c>
      <c r="E3" s="57" t="s">
        <v>15</v>
      </c>
      <c r="F3" s="58" t="s">
        <v>16</v>
      </c>
    </row>
    <row r="4" ht="27" spans="1:6">
      <c r="A4" s="57" t="s">
        <v>17</v>
      </c>
      <c r="B4" s="57" t="s">
        <v>18</v>
      </c>
      <c r="C4" s="57" t="s">
        <v>19</v>
      </c>
      <c r="D4" s="57" t="s">
        <v>20</v>
      </c>
      <c r="E4" s="57" t="s">
        <v>21</v>
      </c>
      <c r="F4" s="58" t="s">
        <v>22</v>
      </c>
    </row>
    <row r="5" spans="1:6">
      <c r="A5" s="57" t="s">
        <v>23</v>
      </c>
      <c r="B5" s="57" t="s">
        <v>24</v>
      </c>
      <c r="C5" s="57" t="s">
        <v>14</v>
      </c>
      <c r="D5" s="57" t="s">
        <v>25</v>
      </c>
      <c r="E5" s="57" t="s">
        <v>26</v>
      </c>
      <c r="F5" s="58" t="s">
        <v>27</v>
      </c>
    </row>
    <row r="6" spans="1:6">
      <c r="A6" s="57" t="s">
        <v>28</v>
      </c>
      <c r="B6" s="57" t="s">
        <v>29</v>
      </c>
      <c r="C6" s="57" t="s">
        <v>14</v>
      </c>
      <c r="D6" s="57" t="s">
        <v>30</v>
      </c>
      <c r="E6" s="57" t="s">
        <v>31</v>
      </c>
      <c r="F6" s="58" t="s">
        <v>32</v>
      </c>
    </row>
    <row r="7" spans="1:6">
      <c r="A7" s="57" t="s">
        <v>33</v>
      </c>
      <c r="B7" s="57" t="s">
        <v>34</v>
      </c>
      <c r="C7" s="57" t="s">
        <v>14</v>
      </c>
      <c r="D7" s="57" t="s">
        <v>30</v>
      </c>
      <c r="E7" s="57" t="s">
        <v>35</v>
      </c>
      <c r="F7" s="58" t="s">
        <v>36</v>
      </c>
    </row>
    <row r="8" ht="27" spans="1:6">
      <c r="A8" s="57" t="s">
        <v>37</v>
      </c>
      <c r="B8" s="57" t="s">
        <v>38</v>
      </c>
      <c r="C8" s="57" t="s">
        <v>14</v>
      </c>
      <c r="D8" s="57" t="s">
        <v>39</v>
      </c>
      <c r="E8" s="57" t="s">
        <v>40</v>
      </c>
      <c r="F8" s="58" t="s">
        <v>41</v>
      </c>
    </row>
    <row r="9" spans="1:6">
      <c r="A9" s="57" t="s">
        <v>42</v>
      </c>
      <c r="B9" s="57" t="s">
        <v>43</v>
      </c>
      <c r="C9" s="57" t="s">
        <v>8</v>
      </c>
      <c r="D9" s="57" t="s">
        <v>44</v>
      </c>
      <c r="E9" s="57" t="s">
        <v>45</v>
      </c>
      <c r="F9" s="58" t="s">
        <v>46</v>
      </c>
    </row>
    <row r="10" spans="1:6">
      <c r="A10" s="57" t="s">
        <v>47</v>
      </c>
      <c r="B10" s="57" t="s">
        <v>13</v>
      </c>
      <c r="C10" s="57" t="s">
        <v>14</v>
      </c>
      <c r="D10" s="57" t="s">
        <v>30</v>
      </c>
      <c r="E10" s="57" t="s">
        <v>48</v>
      </c>
      <c r="F10" s="58" t="s">
        <v>49</v>
      </c>
    </row>
    <row r="11" ht="27" spans="1:6">
      <c r="A11" s="57" t="s">
        <v>50</v>
      </c>
      <c r="B11" s="57" t="s">
        <v>51</v>
      </c>
      <c r="C11" s="57" t="s">
        <v>52</v>
      </c>
      <c r="D11" s="57" t="s">
        <v>9</v>
      </c>
      <c r="E11" s="57" t="s">
        <v>53</v>
      </c>
      <c r="F11" s="58" t="s">
        <v>54</v>
      </c>
    </row>
    <row r="12" spans="1:6">
      <c r="A12" s="57" t="s">
        <v>55</v>
      </c>
      <c r="B12" s="57" t="s">
        <v>56</v>
      </c>
      <c r="C12" s="57" t="s">
        <v>57</v>
      </c>
      <c r="D12" s="57" t="s">
        <v>58</v>
      </c>
      <c r="E12" s="57" t="s">
        <v>59</v>
      </c>
      <c r="F12" s="58" t="s">
        <v>60</v>
      </c>
    </row>
    <row r="13" spans="1:6">
      <c r="A13" s="57" t="s">
        <v>61</v>
      </c>
      <c r="B13" s="57" t="s">
        <v>62</v>
      </c>
      <c r="C13" s="57" t="s">
        <v>14</v>
      </c>
      <c r="D13" s="57" t="s">
        <v>9</v>
      </c>
      <c r="E13" s="57" t="s">
        <v>63</v>
      </c>
      <c r="F13" s="58" t="s">
        <v>64</v>
      </c>
    </row>
    <row r="14" spans="1:6">
      <c r="A14" s="57" t="s">
        <v>65</v>
      </c>
      <c r="B14" s="57" t="s">
        <v>66</v>
      </c>
      <c r="C14" s="57" t="s">
        <v>57</v>
      </c>
      <c r="D14" s="57" t="s">
        <v>67</v>
      </c>
      <c r="E14" s="57" t="s">
        <v>68</v>
      </c>
      <c r="F14" s="58" t="s">
        <v>69</v>
      </c>
    </row>
    <row r="15" spans="1:6">
      <c r="A15" s="57" t="s">
        <v>70</v>
      </c>
      <c r="B15" s="57" t="s">
        <v>71</v>
      </c>
      <c r="C15" s="57" t="s">
        <v>8</v>
      </c>
      <c r="D15" s="57" t="s">
        <v>30</v>
      </c>
      <c r="E15" s="57" t="s">
        <v>72</v>
      </c>
      <c r="F15" s="58" t="s">
        <v>73</v>
      </c>
    </row>
    <row r="16" spans="1:6">
      <c r="A16" s="57" t="s">
        <v>74</v>
      </c>
      <c r="B16" s="57" t="s">
        <v>75</v>
      </c>
      <c r="C16" s="57" t="s">
        <v>14</v>
      </c>
      <c r="D16" s="57" t="s">
        <v>9</v>
      </c>
      <c r="E16" s="57" t="s">
        <v>76</v>
      </c>
      <c r="F16" s="58" t="s">
        <v>77</v>
      </c>
    </row>
    <row r="17" ht="27" spans="1:6">
      <c r="A17" s="57" t="s">
        <v>78</v>
      </c>
      <c r="B17" s="57" t="s">
        <v>79</v>
      </c>
      <c r="C17" s="57" t="s">
        <v>19</v>
      </c>
      <c r="D17" s="57" t="s">
        <v>80</v>
      </c>
      <c r="E17" s="57" t="s">
        <v>81</v>
      </c>
      <c r="F17" s="58" t="s">
        <v>82</v>
      </c>
    </row>
    <row r="18" spans="1:6">
      <c r="A18" s="57" t="s">
        <v>83</v>
      </c>
      <c r="B18" s="57" t="s">
        <v>84</v>
      </c>
      <c r="C18" s="57" t="s">
        <v>52</v>
      </c>
      <c r="D18" s="57" t="s">
        <v>85</v>
      </c>
      <c r="E18" s="57" t="s">
        <v>86</v>
      </c>
      <c r="F18" s="58" t="s">
        <v>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32"/>
  <sheetViews>
    <sheetView zoomScale="70" zoomScaleNormal="70" workbookViewId="0">
      <selection activeCell="F30" sqref="F30"/>
    </sheetView>
  </sheetViews>
  <sheetFormatPr defaultColWidth="9" defaultRowHeight="13.5"/>
  <cols>
    <col min="1" max="1" width="8.25" style="33" customWidth="1"/>
    <col min="2" max="2" width="17.2666666666667" style="33" customWidth="1"/>
    <col min="3" max="12" width="12.625" style="33" customWidth="1"/>
    <col min="13" max="27" width="11.5833333333333" style="33" customWidth="1"/>
    <col min="28" max="16384" width="9" style="33"/>
  </cols>
  <sheetData>
    <row r="1" ht="20.25" spans="1:27">
      <c r="A1" s="34" t="s">
        <v>88</v>
      </c>
    </row>
    <row r="2" ht="32.25" spans="1:27">
      <c r="A2" s="35" t="s">
        <v>89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4.25" spans="1:27">
      <c r="A3" s="37"/>
    </row>
    <row r="4" spans="1:27">
      <c r="A4" s="38" t="s">
        <v>90</v>
      </c>
      <c r="B4" s="39" t="s">
        <v>91</v>
      </c>
      <c r="C4" s="38" t="s">
        <v>92</v>
      </c>
      <c r="D4" s="40"/>
      <c r="E4" s="40"/>
      <c r="F4" s="40"/>
      <c r="G4" s="41"/>
      <c r="H4" s="42" t="s">
        <v>93</v>
      </c>
      <c r="I4" s="40"/>
      <c r="J4" s="41"/>
    </row>
    <row r="5" spans="1:27">
      <c r="A5" s="38"/>
      <c r="B5" s="39"/>
      <c r="C5" s="43"/>
      <c r="D5" s="44"/>
      <c r="E5" s="44"/>
      <c r="F5" s="44"/>
      <c r="G5" s="45"/>
      <c r="H5" s="43"/>
      <c r="I5" s="44"/>
      <c r="J5" s="45"/>
    </row>
    <row r="6" ht="40.5" spans="1:27">
      <c r="A6" s="38"/>
      <c r="B6" s="39"/>
      <c r="C6" s="42" t="s">
        <v>94</v>
      </c>
      <c r="D6" s="42" t="s">
        <v>95</v>
      </c>
      <c r="E6" s="42" t="s">
        <v>96</v>
      </c>
      <c r="F6" s="42" t="s">
        <v>97</v>
      </c>
      <c r="G6" s="42" t="s">
        <v>98</v>
      </c>
      <c r="H6" s="42" t="s">
        <v>99</v>
      </c>
      <c r="I6" s="42" t="s">
        <v>100</v>
      </c>
      <c r="J6" s="42" t="s">
        <v>101</v>
      </c>
    </row>
    <row r="7" ht="20.25" spans="1:27">
      <c r="A7" s="46"/>
      <c r="B7" s="47" t="s">
        <v>102</v>
      </c>
      <c r="C7" s="48">
        <v>14</v>
      </c>
      <c r="D7" s="48">
        <v>11</v>
      </c>
      <c r="E7" s="49" t="s">
        <v>103</v>
      </c>
      <c r="F7" s="49" t="s">
        <v>104</v>
      </c>
      <c r="G7" s="46"/>
      <c r="H7" s="48">
        <v>14</v>
      </c>
      <c r="I7" s="48">
        <v>13</v>
      </c>
      <c r="J7" s="49" t="s">
        <v>105</v>
      </c>
    </row>
    <row r="8" ht="20.25" spans="1:27">
      <c r="A8" s="47">
        <v>1</v>
      </c>
      <c r="B8" s="47" t="s">
        <v>106</v>
      </c>
      <c r="C8" s="48">
        <v>1</v>
      </c>
      <c r="D8" s="48">
        <v>0</v>
      </c>
      <c r="E8" s="49" t="s">
        <v>107</v>
      </c>
      <c r="F8" s="49" t="s">
        <v>108</v>
      </c>
      <c r="G8" s="49" t="s">
        <v>109</v>
      </c>
      <c r="H8" s="48">
        <v>1</v>
      </c>
      <c r="I8" s="48">
        <v>4</v>
      </c>
      <c r="J8" s="49" t="s">
        <v>110</v>
      </c>
    </row>
    <row r="9" ht="20.25" spans="1:27">
      <c r="A9" s="47">
        <v>2</v>
      </c>
      <c r="B9" s="47" t="s">
        <v>111</v>
      </c>
      <c r="C9" s="48">
        <v>2</v>
      </c>
      <c r="D9" s="48">
        <v>1</v>
      </c>
      <c r="E9" s="49" t="s">
        <v>112</v>
      </c>
      <c r="F9" s="49" t="s">
        <v>113</v>
      </c>
      <c r="G9" s="49" t="s">
        <v>114</v>
      </c>
      <c r="H9" s="48">
        <v>2</v>
      </c>
      <c r="I9" s="48">
        <v>2</v>
      </c>
      <c r="J9" s="49" t="s">
        <v>112</v>
      </c>
    </row>
    <row r="10" ht="20.25" spans="1:27">
      <c r="A10" s="47">
        <v>3</v>
      </c>
      <c r="B10" s="47" t="s">
        <v>115</v>
      </c>
      <c r="C10" s="48">
        <v>7</v>
      </c>
      <c r="D10" s="48">
        <v>7</v>
      </c>
      <c r="E10" s="49" t="s">
        <v>116</v>
      </c>
      <c r="F10" s="49" t="s">
        <v>117</v>
      </c>
      <c r="G10" s="49" t="s">
        <v>118</v>
      </c>
      <c r="H10" s="48">
        <v>7</v>
      </c>
      <c r="I10" s="48">
        <v>3</v>
      </c>
      <c r="J10" s="49" t="s">
        <v>119</v>
      </c>
    </row>
    <row r="11" ht="20.25" spans="1:27">
      <c r="A11" s="47">
        <v>4</v>
      </c>
      <c r="B11" s="47" t="s">
        <v>120</v>
      </c>
      <c r="C11" s="48">
        <v>2</v>
      </c>
      <c r="D11" s="48">
        <v>0</v>
      </c>
      <c r="E11" s="49" t="s">
        <v>113</v>
      </c>
      <c r="F11" s="49" t="s">
        <v>121</v>
      </c>
      <c r="G11" s="49" t="s">
        <v>122</v>
      </c>
      <c r="H11" s="48">
        <v>2</v>
      </c>
      <c r="I11" s="48">
        <v>3</v>
      </c>
      <c r="J11" s="49" t="s">
        <v>123</v>
      </c>
    </row>
    <row r="12" ht="20.25" spans="1:27">
      <c r="A12" s="50">
        <v>5</v>
      </c>
      <c r="B12" s="50" t="s">
        <v>124</v>
      </c>
      <c r="C12" s="51">
        <v>2</v>
      </c>
      <c r="D12" s="51">
        <v>3</v>
      </c>
      <c r="E12" s="52" t="s">
        <v>121</v>
      </c>
      <c r="F12" s="52" t="s">
        <v>125</v>
      </c>
      <c r="G12" s="52" t="s">
        <v>126</v>
      </c>
      <c r="H12" s="48">
        <v>2</v>
      </c>
      <c r="I12" s="48">
        <v>1</v>
      </c>
      <c r="J12" s="49" t="s">
        <v>127</v>
      </c>
    </row>
    <row r="13" ht="20.25" spans="1:27">
      <c r="A13" s="38" t="s">
        <v>90</v>
      </c>
      <c r="B13" s="39" t="s">
        <v>91</v>
      </c>
      <c r="C13" s="38" t="s">
        <v>128</v>
      </c>
      <c r="D13" s="38"/>
      <c r="E13" s="38"/>
      <c r="F13" s="38"/>
      <c r="G13" s="38"/>
      <c r="H13" s="38"/>
      <c r="I13" s="38"/>
      <c r="J13" s="38"/>
      <c r="K13" s="38"/>
      <c r="L13" s="38"/>
    </row>
    <row r="14" ht="20.25" spans="1:27">
      <c r="A14" s="38"/>
      <c r="B14" s="39"/>
      <c r="C14" s="38" t="s">
        <v>129</v>
      </c>
      <c r="D14" s="38"/>
      <c r="E14" s="38"/>
      <c r="F14" s="38"/>
      <c r="G14" s="38"/>
      <c r="H14" s="42" t="s">
        <v>130</v>
      </c>
      <c r="I14" s="42"/>
      <c r="J14" s="42"/>
      <c r="K14" s="42"/>
      <c r="L14" s="42"/>
    </row>
    <row r="15" ht="40.5" spans="1:27">
      <c r="A15" s="38"/>
      <c r="B15" s="39"/>
      <c r="C15" s="42" t="s">
        <v>94</v>
      </c>
      <c r="D15" s="42" t="s">
        <v>95</v>
      </c>
      <c r="E15" s="42" t="s">
        <v>96</v>
      </c>
      <c r="F15" s="42" t="s">
        <v>97</v>
      </c>
      <c r="G15" s="42" t="s">
        <v>98</v>
      </c>
      <c r="H15" s="42" t="s">
        <v>94</v>
      </c>
      <c r="I15" s="42" t="s">
        <v>95</v>
      </c>
      <c r="J15" s="42" t="s">
        <v>96</v>
      </c>
      <c r="K15" s="42" t="s">
        <v>97</v>
      </c>
      <c r="L15" s="42" t="s">
        <v>98</v>
      </c>
    </row>
    <row r="16" ht="20.25" spans="1:27">
      <c r="A16" s="46"/>
      <c r="B16" s="47" t="s">
        <v>102</v>
      </c>
      <c r="C16" s="48">
        <v>12</v>
      </c>
      <c r="D16" s="48">
        <v>10</v>
      </c>
      <c r="E16" s="49" t="s">
        <v>131</v>
      </c>
      <c r="F16" s="49" t="s">
        <v>132</v>
      </c>
      <c r="G16" s="46"/>
      <c r="H16" s="48">
        <v>28</v>
      </c>
      <c r="I16" s="48">
        <v>6</v>
      </c>
      <c r="J16" s="49" t="s">
        <v>133</v>
      </c>
      <c r="K16" s="49" t="s">
        <v>134</v>
      </c>
      <c r="L16" s="46"/>
    </row>
    <row r="17" ht="20.25" spans="1:12">
      <c r="A17" s="47">
        <v>1</v>
      </c>
      <c r="B17" s="47" t="s">
        <v>106</v>
      </c>
      <c r="C17" s="48">
        <v>3</v>
      </c>
      <c r="D17" s="48">
        <v>1</v>
      </c>
      <c r="E17" s="49" t="s">
        <v>135</v>
      </c>
      <c r="F17" s="49" t="s">
        <v>127</v>
      </c>
      <c r="G17" s="49" t="s">
        <v>118</v>
      </c>
      <c r="H17" s="48">
        <v>6</v>
      </c>
      <c r="I17" s="48">
        <v>0</v>
      </c>
      <c r="J17" s="49" t="s">
        <v>136</v>
      </c>
      <c r="K17" s="49" t="s">
        <v>136</v>
      </c>
      <c r="L17" s="49" t="s">
        <v>137</v>
      </c>
    </row>
    <row r="18" ht="20.25" spans="1:12">
      <c r="A18" s="47">
        <v>2</v>
      </c>
      <c r="B18" s="47" t="s">
        <v>111</v>
      </c>
      <c r="C18" s="48">
        <v>2</v>
      </c>
      <c r="D18" s="48">
        <v>2</v>
      </c>
      <c r="E18" s="49" t="s">
        <v>116</v>
      </c>
      <c r="F18" s="49" t="s">
        <v>112</v>
      </c>
      <c r="G18" s="49" t="s">
        <v>138</v>
      </c>
      <c r="H18" s="48">
        <v>2</v>
      </c>
      <c r="I18" s="48">
        <v>0</v>
      </c>
      <c r="J18" s="49" t="s">
        <v>139</v>
      </c>
      <c r="K18" s="49" t="s">
        <v>139</v>
      </c>
      <c r="L18" s="49" t="s">
        <v>140</v>
      </c>
    </row>
    <row r="19" ht="20.25" spans="1:12">
      <c r="A19" s="47">
        <v>3</v>
      </c>
      <c r="B19" s="47" t="s">
        <v>115</v>
      </c>
      <c r="C19" s="48">
        <v>3</v>
      </c>
      <c r="D19" s="48">
        <v>4</v>
      </c>
      <c r="E19" s="49" t="s">
        <v>132</v>
      </c>
      <c r="F19" s="49" t="s">
        <v>141</v>
      </c>
      <c r="G19" s="49" t="s">
        <v>118</v>
      </c>
      <c r="H19" s="48">
        <v>14</v>
      </c>
      <c r="I19" s="48">
        <v>1</v>
      </c>
      <c r="J19" s="49" t="s">
        <v>142</v>
      </c>
      <c r="K19" s="49" t="s">
        <v>133</v>
      </c>
      <c r="L19" s="49" t="s">
        <v>127</v>
      </c>
    </row>
    <row r="20" ht="20.25" spans="1:12">
      <c r="A20" s="47">
        <v>4</v>
      </c>
      <c r="B20" s="47" t="s">
        <v>120</v>
      </c>
      <c r="C20" s="48">
        <v>3</v>
      </c>
      <c r="D20" s="48">
        <v>1</v>
      </c>
      <c r="E20" s="49" t="s">
        <v>135</v>
      </c>
      <c r="F20" s="49" t="s">
        <v>135</v>
      </c>
      <c r="G20" s="49" t="s">
        <v>118</v>
      </c>
      <c r="H20" s="48">
        <v>4</v>
      </c>
      <c r="I20" s="48">
        <v>0</v>
      </c>
      <c r="J20" s="49" t="s">
        <v>143</v>
      </c>
      <c r="K20" s="49" t="s">
        <v>144</v>
      </c>
      <c r="L20" s="49" t="s">
        <v>122</v>
      </c>
    </row>
    <row r="21" ht="20.25" spans="1:12">
      <c r="A21" s="47">
        <v>5</v>
      </c>
      <c r="B21" s="47" t="s">
        <v>124</v>
      </c>
      <c r="C21" s="48">
        <v>1</v>
      </c>
      <c r="D21" s="48">
        <v>2</v>
      </c>
      <c r="E21" s="49" t="s">
        <v>125</v>
      </c>
      <c r="F21" s="49" t="s">
        <v>108</v>
      </c>
      <c r="G21" s="49" t="s">
        <v>145</v>
      </c>
      <c r="H21" s="48">
        <v>2</v>
      </c>
      <c r="I21" s="48">
        <v>5</v>
      </c>
      <c r="J21" s="49" t="s">
        <v>146</v>
      </c>
      <c r="K21" s="49" t="s">
        <v>147</v>
      </c>
      <c r="L21" s="49" t="s">
        <v>140</v>
      </c>
    </row>
    <row r="22" ht="20.25" spans="1:12">
      <c r="A22" s="38" t="s">
        <v>90</v>
      </c>
      <c r="B22" s="39" t="s">
        <v>91</v>
      </c>
      <c r="C22" s="38" t="s">
        <v>148</v>
      </c>
      <c r="D22" s="38"/>
      <c r="E22" s="38"/>
      <c r="F22" s="38"/>
      <c r="G22" s="38"/>
      <c r="H22" s="38"/>
      <c r="I22" s="38"/>
      <c r="J22" s="38"/>
      <c r="K22" s="38"/>
      <c r="L22" s="38"/>
    </row>
    <row r="23" ht="20.25" spans="1:12">
      <c r="A23" s="38"/>
      <c r="B23" s="39"/>
      <c r="C23" s="38" t="s">
        <v>129</v>
      </c>
      <c r="D23" s="38"/>
      <c r="E23" s="38"/>
      <c r="F23" s="38"/>
      <c r="G23" s="38"/>
      <c r="H23" s="42" t="s">
        <v>149</v>
      </c>
      <c r="I23" s="42"/>
      <c r="J23" s="42"/>
      <c r="K23" s="42"/>
      <c r="L23" s="42"/>
    </row>
    <row r="24" ht="40.5" spans="1:12">
      <c r="A24" s="38"/>
      <c r="B24" s="39"/>
      <c r="C24" s="42" t="s">
        <v>94</v>
      </c>
      <c r="D24" s="42" t="s">
        <v>95</v>
      </c>
      <c r="E24" s="42" t="s">
        <v>96</v>
      </c>
      <c r="F24" s="42" t="s">
        <v>97</v>
      </c>
      <c r="G24" s="42" t="s">
        <v>98</v>
      </c>
      <c r="H24" s="42" t="s">
        <v>94</v>
      </c>
      <c r="I24" s="42" t="s">
        <v>95</v>
      </c>
      <c r="J24" s="42" t="s">
        <v>96</v>
      </c>
      <c r="K24" s="42" t="s">
        <v>97</v>
      </c>
      <c r="L24" s="42" t="s">
        <v>98</v>
      </c>
    </row>
    <row r="25" ht="20.25" spans="1:12">
      <c r="A25" s="46"/>
      <c r="B25" s="47" t="s">
        <v>102</v>
      </c>
      <c r="C25" s="48">
        <v>1</v>
      </c>
      <c r="D25" s="48">
        <v>1</v>
      </c>
      <c r="E25" s="49" t="s">
        <v>116</v>
      </c>
      <c r="F25" s="49" t="s">
        <v>116</v>
      </c>
      <c r="G25" s="46"/>
      <c r="H25" s="48">
        <v>1</v>
      </c>
      <c r="I25" s="48">
        <v>2</v>
      </c>
      <c r="J25" s="49" t="s">
        <v>125</v>
      </c>
      <c r="K25" s="49" t="s">
        <v>150</v>
      </c>
      <c r="L25" s="46"/>
    </row>
    <row r="26" ht="20.25" spans="1:12">
      <c r="A26" s="47">
        <v>1</v>
      </c>
      <c r="B26" s="47" t="s">
        <v>106</v>
      </c>
      <c r="C26" s="48">
        <v>1</v>
      </c>
      <c r="D26" s="48">
        <v>1</v>
      </c>
      <c r="E26" s="49" t="s">
        <v>116</v>
      </c>
      <c r="F26" s="49" t="s">
        <v>107</v>
      </c>
      <c r="G26" s="49" t="s">
        <v>112</v>
      </c>
      <c r="H26" s="48">
        <v>1</v>
      </c>
      <c r="I26" s="48">
        <v>0</v>
      </c>
      <c r="J26" s="49" t="s">
        <v>150</v>
      </c>
      <c r="K26" s="49" t="s">
        <v>150</v>
      </c>
      <c r="L26" s="49" t="s">
        <v>112</v>
      </c>
    </row>
    <row r="27" ht="20.25" spans="1:12">
      <c r="A27" s="47">
        <v>2</v>
      </c>
      <c r="B27" s="47" t="s">
        <v>111</v>
      </c>
      <c r="C27" s="48">
        <v>0</v>
      </c>
      <c r="D27" s="48">
        <v>0</v>
      </c>
      <c r="E27" s="49" t="s">
        <v>116</v>
      </c>
      <c r="F27" s="49" t="s">
        <v>116</v>
      </c>
      <c r="G27" s="49" t="s">
        <v>151</v>
      </c>
      <c r="H27" s="48">
        <v>0</v>
      </c>
      <c r="I27" s="48">
        <v>0</v>
      </c>
      <c r="J27" s="49" t="s">
        <v>116</v>
      </c>
      <c r="K27" s="49" t="s">
        <v>116</v>
      </c>
      <c r="L27" s="49" t="s">
        <v>151</v>
      </c>
    </row>
    <row r="28" ht="20.25" spans="1:12">
      <c r="A28" s="47">
        <v>3</v>
      </c>
      <c r="B28" s="47" t="s">
        <v>115</v>
      </c>
      <c r="C28" s="48">
        <v>0</v>
      </c>
      <c r="D28" s="48">
        <v>0</v>
      </c>
      <c r="E28" s="49" t="s">
        <v>116</v>
      </c>
      <c r="F28" s="49" t="s">
        <v>116</v>
      </c>
      <c r="G28" s="49" t="s">
        <v>151</v>
      </c>
      <c r="H28" s="48">
        <v>0</v>
      </c>
      <c r="I28" s="48">
        <v>0</v>
      </c>
      <c r="J28" s="49" t="s">
        <v>116</v>
      </c>
      <c r="K28" s="49" t="s">
        <v>116</v>
      </c>
      <c r="L28" s="49" t="s">
        <v>151</v>
      </c>
    </row>
    <row r="29" ht="20.25" spans="1:12">
      <c r="A29" s="47">
        <v>4</v>
      </c>
      <c r="B29" s="47" t="s">
        <v>120</v>
      </c>
      <c r="C29" s="48">
        <v>0</v>
      </c>
      <c r="D29" s="48">
        <v>0</v>
      </c>
      <c r="E29" s="49" t="s">
        <v>116</v>
      </c>
      <c r="F29" s="49" t="s">
        <v>152</v>
      </c>
      <c r="G29" s="49" t="s">
        <v>151</v>
      </c>
      <c r="H29" s="48">
        <v>0</v>
      </c>
      <c r="I29" s="48">
        <v>2</v>
      </c>
      <c r="J29" s="49" t="s">
        <v>152</v>
      </c>
      <c r="K29" s="49" t="s">
        <v>116</v>
      </c>
      <c r="L29" s="49" t="s">
        <v>151</v>
      </c>
    </row>
    <row r="30" ht="20.25" spans="1:12">
      <c r="A30" s="47">
        <v>5</v>
      </c>
      <c r="B30" s="47" t="s">
        <v>124</v>
      </c>
      <c r="C30" s="48">
        <v>0</v>
      </c>
      <c r="D30" s="48">
        <v>0</v>
      </c>
      <c r="E30" s="49" t="s">
        <v>116</v>
      </c>
      <c r="F30" s="49" t="s">
        <v>116</v>
      </c>
      <c r="G30" s="49" t="s">
        <v>151</v>
      </c>
      <c r="H30" s="48">
        <v>0</v>
      </c>
      <c r="I30" s="48">
        <v>0</v>
      </c>
      <c r="J30" s="49" t="s">
        <v>116</v>
      </c>
      <c r="K30" s="49" t="s">
        <v>116</v>
      </c>
      <c r="L30" s="49" t="s">
        <v>151</v>
      </c>
    </row>
    <row r="31" ht="20.25" spans="1:12">
      <c r="A31" s="53" t="str">
        <f>[1]附件1!A31</f>
        <v>数据日期：1月31日15时-2月6日15时</v>
      </c>
    </row>
    <row r="32" ht="20.25" spans="1:12">
      <c r="A32" s="54" t="s">
        <v>153</v>
      </c>
    </row>
  </sheetData>
  <mergeCells count="15">
    <mergeCell ref="A2:L2"/>
    <mergeCell ref="C13:L13"/>
    <mergeCell ref="C14:G14"/>
    <mergeCell ref="H14:L14"/>
    <mergeCell ref="C22:L22"/>
    <mergeCell ref="C23:G23"/>
    <mergeCell ref="H23:L23"/>
    <mergeCell ref="A4:A6"/>
    <mergeCell ref="A13:A15"/>
    <mergeCell ref="A22:A24"/>
    <mergeCell ref="B4:B6"/>
    <mergeCell ref="B13:B15"/>
    <mergeCell ref="B22:B24"/>
    <mergeCell ref="C4:G5"/>
    <mergeCell ref="H4:J5"/>
  </mergeCells>
  <printOptions horizontalCentered="1"/>
  <pageMargins left="0.700694444444445" right="0.700694444444445" top="0.751388888888889" bottom="0.751388888888889" header="0.298611111111111" footer="0.298611111111111"/>
  <pageSetup paperSize="9" scale="6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Q248"/>
  <sheetViews>
    <sheetView zoomScale="70" zoomScaleNormal="70" workbookViewId="0">
      <pane xSplit="2" ySplit="4" topLeftCell="C5" activePane="bottomRight" state="frozen"/>
      <selection/>
      <selection pane="topRight"/>
      <selection pane="bottomLeft"/>
      <selection pane="bottomRight" activeCell="D264" sqref="D264"/>
    </sheetView>
  </sheetViews>
  <sheetFormatPr defaultColWidth="9" defaultRowHeight="13.5"/>
  <cols>
    <col min="1" max="1" width="22.4916666666667" style="1" customWidth="1"/>
    <col min="2" max="2" width="9" style="1" customWidth="1"/>
    <col min="3" max="3" width="9.125" style="1" customWidth="1"/>
    <col min="4" max="4" width="9.1" style="1" customWidth="1"/>
    <col min="5" max="5" width="12.5" style="3" customWidth="1"/>
    <col min="6" max="11" width="8.08333333333333" style="1" hidden="1" customWidth="1"/>
    <col min="12" max="12" width="11.7583333333333" style="1" hidden="1" customWidth="1"/>
    <col min="13" max="37" width="8.08333333333333" style="1" hidden="1" customWidth="1"/>
    <col min="38" max="63" width="9" style="1" hidden="1" customWidth="1"/>
    <col min="64" max="64" width="12.1333333333333" style="1" customWidth="1"/>
    <col min="65" max="65" width="9" style="1"/>
    <col min="66" max="66" width="11.875" style="3"/>
    <col min="67" max="73" width="9" style="1" hidden="1" customWidth="1"/>
    <col min="74" max="74" width="9.64166666666667" style="1" customWidth="1"/>
    <col min="75" max="75" width="9" style="1"/>
    <col min="76" max="76" width="12.1333333333333" style="3" customWidth="1"/>
    <col min="77" max="108" width="9" style="1" hidden="1" customWidth="1"/>
    <col min="109" max="110" width="9" style="1"/>
    <col min="111" max="111" width="10.8833333333333" style="3" customWidth="1"/>
    <col min="112" max="118" width="9" style="1" hidden="1" customWidth="1"/>
    <col min="119" max="119" width="9.25" style="1" customWidth="1"/>
    <col min="120" max="120" width="8.08333333333333" style="1" customWidth="1"/>
    <col min="121" max="121" width="12.8583333333333" style="3" customWidth="1"/>
    <col min="122" max="122" width="9" style="1"/>
    <col min="123" max="16348" width="9" style="4"/>
  </cols>
  <sheetData>
    <row r="1" ht="18.75" spans="1:121">
      <c r="A1" s="5" t="s">
        <v>154</v>
      </c>
    </row>
    <row r="2" s="1" customFormat="1" ht="67" customHeight="1" spans="1:121">
      <c r="A2" s="6" t="s">
        <v>155</v>
      </c>
      <c r="B2" s="7"/>
      <c r="C2" s="7"/>
      <c r="D2" s="7"/>
      <c r="E2" s="8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8"/>
      <c r="BO2" s="7"/>
      <c r="BP2" s="7"/>
      <c r="BQ2" s="7"/>
      <c r="BR2" s="7"/>
      <c r="BS2" s="7"/>
      <c r="BT2" s="7"/>
      <c r="BU2" s="7"/>
      <c r="BV2" s="7"/>
      <c r="BW2" s="7"/>
      <c r="BX2" s="8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8"/>
      <c r="DH2" s="7"/>
      <c r="DI2" s="7"/>
      <c r="DJ2" s="7"/>
      <c r="DK2" s="7"/>
      <c r="DL2" s="7"/>
      <c r="DM2" s="7"/>
      <c r="DN2" s="7"/>
      <c r="DO2" s="7"/>
      <c r="DP2" s="7"/>
      <c r="DQ2" s="9"/>
    </row>
    <row r="3" s="2" customFormat="1" ht="20.25" spans="1:121">
      <c r="A3" s="10" t="str">
        <f>[2]底表!A2</f>
        <v>案类</v>
      </c>
      <c r="B3" s="11" t="str">
        <f>[2]底表!B2</f>
        <v>单位</v>
      </c>
      <c r="C3" s="12" t="s">
        <v>156</v>
      </c>
      <c r="D3" s="12"/>
      <c r="E3" s="13"/>
      <c r="F3" s="12"/>
      <c r="G3" s="12"/>
      <c r="H3" s="12"/>
      <c r="I3" s="12"/>
      <c r="J3" s="12" t="s">
        <v>157</v>
      </c>
      <c r="K3" s="12"/>
      <c r="L3" s="12"/>
      <c r="M3" s="12"/>
      <c r="N3" s="12"/>
      <c r="O3" s="12" t="s">
        <v>158</v>
      </c>
      <c r="P3" s="12"/>
      <c r="Q3" s="12"/>
      <c r="R3" s="12"/>
      <c r="S3" s="12"/>
      <c r="T3" s="12"/>
      <c r="U3" s="12"/>
      <c r="V3" s="12" t="s">
        <v>159</v>
      </c>
      <c r="W3" s="12"/>
      <c r="X3" s="12"/>
      <c r="Y3" s="12"/>
      <c r="Z3" s="12"/>
      <c r="AA3" s="12"/>
      <c r="AB3" s="12" t="s">
        <v>160</v>
      </c>
      <c r="AC3" s="12"/>
      <c r="AD3" s="12"/>
      <c r="AE3" s="12"/>
      <c r="AF3" s="12"/>
      <c r="AG3" s="14"/>
      <c r="AH3" s="14"/>
      <c r="AI3" s="14"/>
      <c r="AJ3" s="14"/>
      <c r="AK3" s="14"/>
      <c r="AL3" s="14"/>
      <c r="AM3" s="15" t="s">
        <v>161</v>
      </c>
      <c r="AN3" s="15"/>
      <c r="AO3" s="15"/>
      <c r="AP3" s="15"/>
      <c r="AQ3" s="15"/>
      <c r="AR3" s="15" t="s">
        <v>162</v>
      </c>
      <c r="AS3" s="16" t="s">
        <v>163</v>
      </c>
      <c r="AT3" s="15" t="s">
        <v>164</v>
      </c>
      <c r="AU3" s="15"/>
      <c r="AV3" s="15"/>
      <c r="AW3" s="15"/>
      <c r="AX3" s="15"/>
      <c r="AY3" s="15"/>
      <c r="AZ3" s="15"/>
      <c r="BA3" s="15"/>
      <c r="BB3" s="15" t="s">
        <v>165</v>
      </c>
      <c r="BC3" s="15"/>
      <c r="BD3" s="15"/>
      <c r="BE3" s="15"/>
      <c r="BF3" s="15"/>
      <c r="BG3" s="15"/>
      <c r="BH3" s="15"/>
      <c r="BI3" s="15"/>
      <c r="BJ3" s="15"/>
      <c r="BK3" s="15"/>
      <c r="BL3" s="15" t="s">
        <v>166</v>
      </c>
      <c r="BM3" s="15"/>
      <c r="BN3" s="17"/>
      <c r="BO3" s="15"/>
      <c r="BP3" s="15"/>
      <c r="BQ3" s="15"/>
      <c r="BR3" s="15"/>
      <c r="BS3" s="15"/>
      <c r="BT3" s="15"/>
      <c r="BU3" s="15"/>
      <c r="BV3" s="15" t="s">
        <v>167</v>
      </c>
      <c r="BW3" s="15"/>
      <c r="BX3" s="17"/>
      <c r="BY3" s="15"/>
      <c r="BZ3" s="15"/>
      <c r="CA3" s="15" t="s">
        <v>168</v>
      </c>
      <c r="CB3" s="15"/>
      <c r="CC3" s="15"/>
      <c r="CD3" s="15"/>
      <c r="CE3" s="15"/>
      <c r="CF3" s="15" t="s">
        <v>169</v>
      </c>
      <c r="CG3" s="15"/>
      <c r="CH3" s="15"/>
      <c r="CI3" s="15"/>
      <c r="CJ3" s="15"/>
      <c r="CK3" s="15" t="s">
        <v>170</v>
      </c>
      <c r="CL3" s="15"/>
      <c r="CM3" s="15"/>
      <c r="CN3" s="15"/>
      <c r="CO3" s="15"/>
      <c r="CP3" s="15" t="s">
        <v>171</v>
      </c>
      <c r="CQ3" s="15"/>
      <c r="CR3" s="15"/>
      <c r="CS3" s="15"/>
      <c r="CT3" s="15"/>
      <c r="CU3" s="15"/>
      <c r="CV3" s="15"/>
      <c r="CW3" s="15"/>
      <c r="CX3" s="15"/>
      <c r="CY3" s="15"/>
      <c r="CZ3" s="15" t="s">
        <v>172</v>
      </c>
      <c r="DA3" s="15"/>
      <c r="DB3" s="15"/>
      <c r="DC3" s="15"/>
      <c r="DD3" s="15"/>
      <c r="DE3" s="15" t="s">
        <v>173</v>
      </c>
      <c r="DF3" s="15"/>
      <c r="DG3" s="17"/>
      <c r="DH3" s="15"/>
      <c r="DI3" s="15"/>
      <c r="DJ3" s="15"/>
      <c r="DK3" s="15"/>
      <c r="DL3" s="15"/>
      <c r="DM3" s="15"/>
      <c r="DN3" s="15"/>
      <c r="DO3" s="12" t="s">
        <v>174</v>
      </c>
      <c r="DP3" s="12"/>
      <c r="DQ3" s="18"/>
    </row>
    <row r="4" s="2" customFormat="1" ht="71" customHeight="1" spans="1:121">
      <c r="A4" s="10"/>
      <c r="B4" s="11"/>
      <c r="C4" s="19" t="s">
        <v>175</v>
      </c>
      <c r="D4" s="19" t="s">
        <v>95</v>
      </c>
      <c r="E4" s="13" t="s">
        <v>176</v>
      </c>
      <c r="F4" s="12" t="s">
        <v>177</v>
      </c>
      <c r="G4" s="12" t="s">
        <v>178</v>
      </c>
      <c r="H4" s="12" t="s">
        <v>179</v>
      </c>
      <c r="I4" s="19" t="s">
        <v>180</v>
      </c>
      <c r="J4" s="19" t="s">
        <v>175</v>
      </c>
      <c r="K4" s="19" t="s">
        <v>95</v>
      </c>
      <c r="L4" s="12" t="s">
        <v>176</v>
      </c>
      <c r="M4" s="12" t="s">
        <v>177</v>
      </c>
      <c r="N4" s="12" t="s">
        <v>178</v>
      </c>
      <c r="O4" s="19" t="s">
        <v>175</v>
      </c>
      <c r="P4" s="19" t="s">
        <v>95</v>
      </c>
      <c r="Q4" s="12" t="s">
        <v>176</v>
      </c>
      <c r="R4" s="12" t="s">
        <v>177</v>
      </c>
      <c r="S4" s="12" t="s">
        <v>178</v>
      </c>
      <c r="T4" s="12" t="s">
        <v>181</v>
      </c>
      <c r="U4" s="19" t="s">
        <v>182</v>
      </c>
      <c r="V4" s="19" t="s">
        <v>175</v>
      </c>
      <c r="W4" s="19" t="s">
        <v>95</v>
      </c>
      <c r="X4" s="12" t="s">
        <v>176</v>
      </c>
      <c r="Y4" s="12" t="s">
        <v>177</v>
      </c>
      <c r="Z4" s="12" t="s">
        <v>178</v>
      </c>
      <c r="AA4" s="19" t="s">
        <v>183</v>
      </c>
      <c r="AB4" s="19" t="s">
        <v>175</v>
      </c>
      <c r="AC4" s="19" t="s">
        <v>95</v>
      </c>
      <c r="AD4" s="12" t="s">
        <v>176</v>
      </c>
      <c r="AE4" s="12" t="s">
        <v>177</v>
      </c>
      <c r="AF4" s="12" t="s">
        <v>178</v>
      </c>
      <c r="AG4" s="12" t="s">
        <v>177</v>
      </c>
      <c r="AH4" s="12" t="s">
        <v>178</v>
      </c>
      <c r="AI4" s="19" t="s">
        <v>184</v>
      </c>
      <c r="AJ4" s="19" t="s">
        <v>185</v>
      </c>
      <c r="AK4" s="19" t="s">
        <v>186</v>
      </c>
      <c r="AL4" s="19" t="s">
        <v>187</v>
      </c>
      <c r="AM4" s="16" t="s">
        <v>175</v>
      </c>
      <c r="AN4" s="19" t="s">
        <v>95</v>
      </c>
      <c r="AO4" s="12" t="s">
        <v>176</v>
      </c>
      <c r="AP4" s="12" t="s">
        <v>177</v>
      </c>
      <c r="AQ4" s="12" t="s">
        <v>178</v>
      </c>
      <c r="AR4" s="15"/>
      <c r="AS4" s="15"/>
      <c r="AT4" s="19" t="s">
        <v>188</v>
      </c>
      <c r="AU4" s="19" t="s">
        <v>95</v>
      </c>
      <c r="AV4" s="12" t="s">
        <v>176</v>
      </c>
      <c r="AW4" s="12" t="s">
        <v>177</v>
      </c>
      <c r="AX4" s="12" t="s">
        <v>178</v>
      </c>
      <c r="AY4" s="16" t="s">
        <v>189</v>
      </c>
      <c r="AZ4" s="16" t="s">
        <v>190</v>
      </c>
      <c r="BA4" s="16" t="s">
        <v>191</v>
      </c>
      <c r="BB4" s="16" t="s">
        <v>188</v>
      </c>
      <c r="BC4" s="19" t="s">
        <v>95</v>
      </c>
      <c r="BD4" s="12" t="s">
        <v>176</v>
      </c>
      <c r="BE4" s="12" t="s">
        <v>177</v>
      </c>
      <c r="BF4" s="12" t="s">
        <v>178</v>
      </c>
      <c r="BG4" s="16" t="s">
        <v>192</v>
      </c>
      <c r="BH4" s="16" t="s">
        <v>193</v>
      </c>
      <c r="BI4" s="16" t="s">
        <v>194</v>
      </c>
      <c r="BJ4" s="16" t="s">
        <v>195</v>
      </c>
      <c r="BK4" s="16" t="s">
        <v>196</v>
      </c>
      <c r="BL4" s="16" t="s">
        <v>197</v>
      </c>
      <c r="BM4" s="19" t="s">
        <v>95</v>
      </c>
      <c r="BN4" s="13" t="s">
        <v>176</v>
      </c>
      <c r="BO4" s="12" t="s">
        <v>177</v>
      </c>
      <c r="BP4" s="12" t="s">
        <v>178</v>
      </c>
      <c r="BQ4" s="16" t="s">
        <v>198</v>
      </c>
      <c r="BR4" s="16" t="s">
        <v>199</v>
      </c>
      <c r="BS4" s="16" t="s">
        <v>200</v>
      </c>
      <c r="BT4" s="16" t="s">
        <v>201</v>
      </c>
      <c r="BU4" s="16" t="s">
        <v>202</v>
      </c>
      <c r="BV4" s="16" t="s">
        <v>188</v>
      </c>
      <c r="BW4" s="19" t="s">
        <v>95</v>
      </c>
      <c r="BX4" s="13" t="s">
        <v>176</v>
      </c>
      <c r="BY4" s="12" t="s">
        <v>177</v>
      </c>
      <c r="BZ4" s="12" t="s">
        <v>178</v>
      </c>
      <c r="CA4" s="16" t="s">
        <v>188</v>
      </c>
      <c r="CB4" s="19" t="s">
        <v>95</v>
      </c>
      <c r="CC4" s="12" t="s">
        <v>176</v>
      </c>
      <c r="CD4" s="12" t="s">
        <v>177</v>
      </c>
      <c r="CE4" s="12" t="s">
        <v>178</v>
      </c>
      <c r="CF4" s="16" t="s">
        <v>197</v>
      </c>
      <c r="CG4" s="19" t="s">
        <v>95</v>
      </c>
      <c r="CH4" s="12" t="s">
        <v>176</v>
      </c>
      <c r="CI4" s="12" t="s">
        <v>177</v>
      </c>
      <c r="CJ4" s="12" t="s">
        <v>178</v>
      </c>
      <c r="CK4" s="16" t="s">
        <v>188</v>
      </c>
      <c r="CL4" s="19" t="s">
        <v>95</v>
      </c>
      <c r="CM4" s="12" t="s">
        <v>176</v>
      </c>
      <c r="CN4" s="12" t="s">
        <v>177</v>
      </c>
      <c r="CO4" s="12" t="s">
        <v>178</v>
      </c>
      <c r="CP4" s="16" t="s">
        <v>188</v>
      </c>
      <c r="CQ4" s="19" t="s">
        <v>95</v>
      </c>
      <c r="CR4" s="12" t="s">
        <v>176</v>
      </c>
      <c r="CS4" s="12" t="s">
        <v>177</v>
      </c>
      <c r="CT4" s="12" t="s">
        <v>178</v>
      </c>
      <c r="CU4" s="15" t="s">
        <v>203</v>
      </c>
      <c r="CV4" s="16" t="s">
        <v>204</v>
      </c>
      <c r="CW4" s="16" t="s">
        <v>205</v>
      </c>
      <c r="CX4" s="16" t="s">
        <v>206</v>
      </c>
      <c r="CY4" s="16" t="s">
        <v>207</v>
      </c>
      <c r="CZ4" s="16" t="s">
        <v>188</v>
      </c>
      <c r="DA4" s="19" t="s">
        <v>95</v>
      </c>
      <c r="DB4" s="12" t="s">
        <v>176</v>
      </c>
      <c r="DC4" s="12" t="s">
        <v>177</v>
      </c>
      <c r="DD4" s="12" t="s">
        <v>178</v>
      </c>
      <c r="DE4" s="16" t="s">
        <v>188</v>
      </c>
      <c r="DF4" s="19" t="s">
        <v>95</v>
      </c>
      <c r="DG4" s="13" t="s">
        <v>176</v>
      </c>
      <c r="DH4" s="12" t="s">
        <v>177</v>
      </c>
      <c r="DI4" s="12" t="s">
        <v>178</v>
      </c>
      <c r="DJ4" s="16" t="s">
        <v>208</v>
      </c>
      <c r="DK4" s="16" t="s">
        <v>209</v>
      </c>
      <c r="DL4" s="16" t="s">
        <v>210</v>
      </c>
      <c r="DM4" s="16" t="s">
        <v>211</v>
      </c>
      <c r="DN4" s="16" t="s">
        <v>212</v>
      </c>
      <c r="DO4" s="19" t="s">
        <v>175</v>
      </c>
      <c r="DP4" s="19" t="s">
        <v>95</v>
      </c>
      <c r="DQ4" s="18" t="s">
        <v>176</v>
      </c>
    </row>
    <row r="5" s="2" customFormat="1" ht="32" customHeight="1" spans="1:121">
      <c r="A5" s="20" t="s">
        <v>213</v>
      </c>
      <c r="B5" s="21" t="s">
        <v>214</v>
      </c>
      <c r="C5" s="22">
        <v>18.5714285714286</v>
      </c>
      <c r="D5" s="21">
        <v>13</v>
      </c>
      <c r="E5" s="23">
        <v>0.428571428571429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>
        <v>110</v>
      </c>
      <c r="BM5" s="21">
        <v>77</v>
      </c>
      <c r="BN5" s="23">
        <v>0.428571428571429</v>
      </c>
      <c r="BO5" s="21"/>
      <c r="BP5" s="21"/>
      <c r="BQ5" s="21"/>
      <c r="BR5" s="21"/>
      <c r="BS5" s="21"/>
      <c r="BT5" s="21"/>
      <c r="BU5" s="21"/>
      <c r="BV5" s="21">
        <v>110</v>
      </c>
      <c r="BW5" s="21">
        <v>77</v>
      </c>
      <c r="BX5" s="23">
        <v>0.428571428571429</v>
      </c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>
        <v>35</v>
      </c>
      <c r="DF5" s="21">
        <v>31</v>
      </c>
      <c r="DG5" s="23">
        <v>0.129032258064516</v>
      </c>
      <c r="DH5" s="21"/>
      <c r="DI5" s="21"/>
      <c r="DJ5" s="21"/>
      <c r="DK5" s="21"/>
      <c r="DL5" s="21"/>
      <c r="DM5" s="21"/>
      <c r="DN5" s="21"/>
      <c r="DO5" s="21">
        <v>20</v>
      </c>
      <c r="DP5" s="21">
        <v>20</v>
      </c>
      <c r="DQ5" s="24" t="s">
        <v>116</v>
      </c>
    </row>
    <row r="6" s="2" customFormat="1" ht="32" customHeight="1" spans="1:121">
      <c r="A6" s="20" t="s">
        <v>215</v>
      </c>
      <c r="B6" s="21"/>
      <c r="C6" s="22">
        <v>9.41176470588235</v>
      </c>
      <c r="D6" s="21">
        <v>8</v>
      </c>
      <c r="E6" s="23">
        <v>0.125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>
        <v>80</v>
      </c>
      <c r="BM6" s="21">
        <v>68</v>
      </c>
      <c r="BN6" s="23">
        <v>0.176470588235294</v>
      </c>
      <c r="BO6" s="21"/>
      <c r="BP6" s="21"/>
      <c r="BQ6" s="21"/>
      <c r="BR6" s="21"/>
      <c r="BS6" s="21"/>
      <c r="BT6" s="21"/>
      <c r="BU6" s="21"/>
      <c r="BV6" s="21">
        <v>80</v>
      </c>
      <c r="BW6" s="21">
        <v>66</v>
      </c>
      <c r="BX6" s="23">
        <v>0.212121212121212</v>
      </c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>
        <v>20</v>
      </c>
      <c r="DF6" s="21">
        <v>17</v>
      </c>
      <c r="DG6" s="23">
        <v>0.176470588235294</v>
      </c>
      <c r="DH6" s="21"/>
      <c r="DI6" s="21"/>
      <c r="DJ6" s="21"/>
      <c r="DK6" s="21"/>
      <c r="DL6" s="21"/>
      <c r="DM6" s="21"/>
      <c r="DN6" s="21"/>
      <c r="DO6" s="21">
        <v>18</v>
      </c>
      <c r="DP6" s="21">
        <v>14</v>
      </c>
      <c r="DQ6" s="24">
        <v>0.285714285714286</v>
      </c>
    </row>
    <row r="7" s="2" customFormat="1" ht="32" customHeight="1" spans="1:121">
      <c r="A7" s="20" t="s">
        <v>216</v>
      </c>
      <c r="B7" s="21"/>
      <c r="C7" s="22">
        <v>9.05660377358491</v>
      </c>
      <c r="D7" s="21">
        <v>8</v>
      </c>
      <c r="E7" s="23">
        <v>0.125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>
        <v>60</v>
      </c>
      <c r="BM7" s="21">
        <v>53</v>
      </c>
      <c r="BN7" s="23">
        <v>0.132075471698113</v>
      </c>
      <c r="BO7" s="21"/>
      <c r="BP7" s="21"/>
      <c r="BQ7" s="21"/>
      <c r="BR7" s="21"/>
      <c r="BS7" s="21"/>
      <c r="BT7" s="21"/>
      <c r="BU7" s="21"/>
      <c r="BV7" s="21">
        <v>60</v>
      </c>
      <c r="BW7" s="21">
        <v>51</v>
      </c>
      <c r="BX7" s="23">
        <v>0.176470588235294</v>
      </c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>
        <v>17</v>
      </c>
      <c r="DF7" s="21">
        <v>17</v>
      </c>
      <c r="DG7" s="23" t="s">
        <v>116</v>
      </c>
      <c r="DH7" s="21"/>
      <c r="DI7" s="21"/>
      <c r="DJ7" s="21"/>
      <c r="DK7" s="21"/>
      <c r="DL7" s="21"/>
      <c r="DM7" s="21"/>
      <c r="DN7" s="21"/>
      <c r="DO7" s="21">
        <v>15</v>
      </c>
      <c r="DP7" s="21">
        <v>14</v>
      </c>
      <c r="DQ7" s="24">
        <v>0.0714285714285714</v>
      </c>
    </row>
    <row r="8" s="2" customFormat="1" ht="55" customHeight="1" spans="1:121">
      <c r="A8" s="25" t="s">
        <v>217</v>
      </c>
      <c r="B8" s="21"/>
      <c r="C8" s="21">
        <v>12</v>
      </c>
      <c r="D8" s="21" t="s">
        <v>218</v>
      </c>
      <c r="E8" s="23">
        <f>C8/D7</f>
        <v>1.5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>
        <v>83</v>
      </c>
      <c r="BM8" s="21" t="s">
        <v>218</v>
      </c>
      <c r="BN8" s="23">
        <f>BL8/BM7</f>
        <v>1.56603773584906</v>
      </c>
      <c r="BO8" s="21"/>
      <c r="BP8" s="21"/>
      <c r="BQ8" s="21"/>
      <c r="BR8" s="21"/>
      <c r="BS8" s="21"/>
      <c r="BT8" s="21"/>
      <c r="BU8" s="21"/>
      <c r="BV8" s="21">
        <v>65</v>
      </c>
      <c r="BW8" s="21" t="s">
        <v>218</v>
      </c>
      <c r="BX8" s="23">
        <f>BV8/BW7</f>
        <v>1.27450980392157</v>
      </c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>
        <v>31</v>
      </c>
      <c r="DF8" s="21" t="s">
        <v>218</v>
      </c>
      <c r="DG8" s="23">
        <f>DE8/DF7</f>
        <v>1.82352941176471</v>
      </c>
      <c r="DH8" s="21"/>
      <c r="DI8" s="21"/>
      <c r="DJ8" s="21"/>
      <c r="DK8" s="21"/>
      <c r="DL8" s="21"/>
      <c r="DM8" s="21"/>
      <c r="DN8" s="21"/>
      <c r="DO8" s="21">
        <v>9</v>
      </c>
      <c r="DP8" s="21" t="s">
        <v>218</v>
      </c>
      <c r="DQ8" s="23">
        <f>DO8/DP7</f>
        <v>0.642857142857143</v>
      </c>
    </row>
    <row r="9" s="2" customFormat="1" ht="32" customHeight="1" spans="1:121">
      <c r="E9" s="26"/>
      <c r="BN9" s="26"/>
      <c r="BX9" s="26"/>
      <c r="DG9" s="26"/>
      <c r="DQ9" s="26"/>
    </row>
    <row r="10" s="2" customFormat="1" ht="32" customHeight="1" spans="1:121">
      <c r="E10" s="26"/>
      <c r="BN10" s="26"/>
      <c r="BX10" s="26"/>
      <c r="DG10" s="26"/>
      <c r="DQ10" s="26"/>
    </row>
    <row r="11" s="2" customFormat="1" ht="32" hidden="1" customHeight="1" spans="1:121">
      <c r="A11" s="27" t="str">
        <f>[2]底表!A11</f>
        <v>全量（剔除交通类）</v>
      </c>
      <c r="B11" s="28" t="str">
        <f>[2]底表!B11</f>
        <v>全省</v>
      </c>
      <c r="C11" s="21">
        <f>[2]底表!AM11</f>
        <v>17762</v>
      </c>
      <c r="D11" s="21">
        <f>[2]底表!AN11</f>
        <v>11374</v>
      </c>
      <c r="E11" s="23">
        <f>[2]底表!AO11</f>
        <v>0.5616</v>
      </c>
      <c r="F11" s="21">
        <f>[2]底表!AP11</f>
        <v>33826</v>
      </c>
      <c r="G11" s="21">
        <f>[2]底表!AQ11</f>
        <v>-0.4749</v>
      </c>
      <c r="H11" s="21">
        <f>[2]底表!AR11</f>
        <v>0.6353</v>
      </c>
      <c r="I11" s="21">
        <f>[2]底表!AS11</f>
        <v>0.2594</v>
      </c>
      <c r="J11" s="21">
        <f>[2]底表!AT11</f>
        <v>16419</v>
      </c>
      <c r="K11" s="21">
        <f>[2]底表!AU11</f>
        <v>13762</v>
      </c>
      <c r="L11" s="21">
        <f>[2]底表!AV11</f>
        <v>0.1931</v>
      </c>
      <c r="M11" s="21">
        <f>[2]底表!AW11</f>
        <v>29500</v>
      </c>
      <c r="N11" s="21">
        <f>[2]底表!AX11</f>
        <v>-0.4434</v>
      </c>
      <c r="O11" s="21">
        <f>[2]底表!AY11</f>
        <v>7004</v>
      </c>
      <c r="P11" s="21">
        <f>[2]底表!AZ11</f>
        <v>4674</v>
      </c>
      <c r="Q11" s="21">
        <f>[2]底表!BA11</f>
        <v>0.4985</v>
      </c>
      <c r="R11" s="21">
        <f>[2]底表!BB11</f>
        <v>16629</v>
      </c>
      <c r="S11" s="21">
        <f>[2]底表!BC11</f>
        <v>-0.5788</v>
      </c>
      <c r="T11" s="21">
        <f>[2]底表!BD11</f>
        <v>0.4266</v>
      </c>
      <c r="U11" s="21">
        <f>[2]底表!BE11</f>
        <v>0.0869</v>
      </c>
      <c r="V11" s="21">
        <f>[2]底表!BF11</f>
        <v>11539</v>
      </c>
      <c r="W11" s="21">
        <f>[2]底表!BG11</f>
        <v>16496</v>
      </c>
      <c r="X11" s="21">
        <f>[2]底表!BH11</f>
        <v>-0.3005</v>
      </c>
      <c r="Y11" s="21">
        <f>[2]底表!BI11</f>
        <v>1831</v>
      </c>
      <c r="Z11" s="21">
        <f>[2]底表!BJ11</f>
        <v>5.302</v>
      </c>
      <c r="AA11" s="21">
        <f>[2]底表!BK11</f>
        <v>0.4127</v>
      </c>
      <c r="AB11" s="21">
        <f>[2]底表!BL11</f>
        <v>10758</v>
      </c>
      <c r="AC11" s="21">
        <f>[2]底表!BM11</f>
        <v>6700</v>
      </c>
      <c r="AD11" s="21">
        <f>[2]底表!BN11</f>
        <v>0.6057</v>
      </c>
      <c r="AE11" s="21">
        <f>[2]底表!BO11</f>
        <v>17197</v>
      </c>
      <c r="AF11" s="21">
        <f>[2]底表!BP11</f>
        <v>-0.3744</v>
      </c>
      <c r="AG11" s="21">
        <f>[2]底表!BT11</f>
        <v>11212</v>
      </c>
      <c r="AH11" s="21">
        <f>[2]底表!BU11</f>
        <v>-0.441</v>
      </c>
      <c r="AI11" s="21">
        <f>[2]底表!BV11</f>
        <v>0.2242</v>
      </c>
      <c r="AJ11" s="21">
        <f>[2]底表!BW11</f>
        <v>0.0659</v>
      </c>
      <c r="AK11" s="21">
        <f>[2]底表!BX11</f>
        <v>0.3817</v>
      </c>
      <c r="AL11" s="21">
        <f>[2]底表!BY11</f>
        <v>0.0338</v>
      </c>
      <c r="AM11" s="21">
        <f>[2]底表!BZ11</f>
        <v>42</v>
      </c>
      <c r="AN11" s="21">
        <f>[2]底表!CA11</f>
        <v>49</v>
      </c>
      <c r="AO11" s="21">
        <f>[2]底表!CB11</f>
        <v>-0.1429</v>
      </c>
      <c r="AP11" s="21">
        <f>[2]底表!CC11</f>
        <v>584</v>
      </c>
      <c r="AQ11" s="21">
        <f>[2]底表!CD11</f>
        <v>-0.9281</v>
      </c>
      <c r="AR11" s="21" t="str">
        <f>[2]底表!CE11</f>
        <v/>
      </c>
      <c r="AS11" s="21" t="str">
        <f>[2]底表!CF11</f>
        <v/>
      </c>
      <c r="AT11" s="21">
        <f>[2]底表!CG11</f>
        <v>29304</v>
      </c>
      <c r="AU11" s="21">
        <f>[2]底表!CH11</f>
        <v>18516</v>
      </c>
      <c r="AV11" s="21">
        <f>[2]底表!CI11</f>
        <v>0.5826</v>
      </c>
      <c r="AW11" s="21">
        <f>[2]底表!CJ11</f>
        <v>27365</v>
      </c>
      <c r="AX11" s="21">
        <f>[2]底表!CK11</f>
        <v>0.0709</v>
      </c>
      <c r="AY11" s="21">
        <f>[2]底表!CL11</f>
        <v>105</v>
      </c>
      <c r="AZ11" s="21">
        <f>[2]底表!CM11</f>
        <v>44</v>
      </c>
      <c r="BA11" s="21">
        <f>[2]底表!CN11</f>
        <v>0.7128</v>
      </c>
      <c r="BB11" s="21">
        <f>[2]底表!CO11</f>
        <v>27220</v>
      </c>
      <c r="BC11" s="21">
        <f>[2]底表!CP11</f>
        <v>12509</v>
      </c>
      <c r="BD11" s="21">
        <f>[2]底表!CQ11</f>
        <v>1.176</v>
      </c>
      <c r="BE11" s="21">
        <f>[2]底表!CR11</f>
        <v>21816</v>
      </c>
      <c r="BF11" s="21">
        <f>[2]底表!CS11</f>
        <v>0.2477</v>
      </c>
      <c r="BG11" s="21">
        <f>[2]底表!CT11</f>
        <v>0.9289</v>
      </c>
      <c r="BH11" s="21">
        <f>[2]底表!CU11</f>
        <v>0.2533</v>
      </c>
      <c r="BI11" s="21">
        <f>[2]底表!CV11</f>
        <v>97</v>
      </c>
      <c r="BJ11" s="21">
        <f>[2]底表!CW11</f>
        <v>56</v>
      </c>
      <c r="BK11" s="21">
        <f>[2]底表!CX11</f>
        <v>1.355</v>
      </c>
      <c r="BL11" s="21">
        <f>[2]底表!CY11</f>
        <v>29862</v>
      </c>
      <c r="BM11" s="21">
        <f>[2]底表!CZ11</f>
        <v>15015</v>
      </c>
      <c r="BN11" s="23">
        <f>[2]底表!DA11</f>
        <v>0.9888</v>
      </c>
      <c r="BO11" s="21">
        <f>[2]底表!DB11</f>
        <v>24788</v>
      </c>
      <c r="BP11" s="21">
        <f>[2]底表!DC11</f>
        <v>0.2047</v>
      </c>
      <c r="BQ11" s="21">
        <f>[2]底表!DD11</f>
        <v>1.019</v>
      </c>
      <c r="BR11" s="21">
        <f>[2]底表!DE11</f>
        <v>0.2081</v>
      </c>
      <c r="BS11" s="21">
        <f>[2]底表!DF11</f>
        <v>107</v>
      </c>
      <c r="BT11" s="21">
        <f>[2]底表!DG11</f>
        <v>57</v>
      </c>
      <c r="BU11" s="21">
        <f>[2]底表!DH11</f>
        <v>1.1524</v>
      </c>
      <c r="BV11" s="21"/>
      <c r="BW11" s="21"/>
      <c r="BX11" s="23" t="e">
        <f t="shared" ref="BX11:BX24" si="0">(BV11-BW11)/BW11</f>
        <v>#DIV/0!</v>
      </c>
      <c r="BY11" s="21">
        <f>[2]底表!DL11</f>
        <v>23027</v>
      </c>
      <c r="BZ11" s="21">
        <f>[2]底表!DM11</f>
        <v>0.1941</v>
      </c>
      <c r="CA11" s="21">
        <f>[2]底表!DN11</f>
        <v>14278</v>
      </c>
      <c r="CB11" s="21">
        <f>[2]底表!DO11</f>
        <v>10174</v>
      </c>
      <c r="CC11" s="21">
        <f>[2]底表!DP11</f>
        <v>0.4034</v>
      </c>
      <c r="CD11" s="21">
        <f>[2]底表!DQ11</f>
        <v>14205</v>
      </c>
      <c r="CE11" s="21">
        <f>[2]底表!DR11</f>
        <v>0.0051</v>
      </c>
      <c r="CF11" s="21">
        <f>[2]底表!DS11</f>
        <v>14292</v>
      </c>
      <c r="CG11" s="21">
        <f>[2]底表!DT11</f>
        <v>10180</v>
      </c>
      <c r="CH11" s="21">
        <f>[2]底表!DU11</f>
        <v>0.4039</v>
      </c>
      <c r="CI11" s="21">
        <f>[2]底表!DV11</f>
        <v>14223</v>
      </c>
      <c r="CJ11" s="21">
        <f>[2]底表!DW11</f>
        <v>0.0049</v>
      </c>
      <c r="CK11" s="21">
        <f>[2]底表!DX11</f>
        <v>15269</v>
      </c>
      <c r="CL11" s="21">
        <f>[2]底表!DY11</f>
        <v>10952</v>
      </c>
      <c r="CM11" s="21">
        <f>[2]底表!DZ11</f>
        <v>0.3942</v>
      </c>
      <c r="CN11" s="21">
        <f>[2]底表!EA11</f>
        <v>13663</v>
      </c>
      <c r="CO11" s="21">
        <f>[2]底表!EB11</f>
        <v>0.1175</v>
      </c>
      <c r="CP11" s="21">
        <f>[2]底表!EC11</f>
        <v>6714</v>
      </c>
      <c r="CQ11" s="21">
        <f>[2]底表!ED11</f>
        <v>6985</v>
      </c>
      <c r="CR11" s="21">
        <f>[2]底表!EE11</f>
        <v>-0.0388</v>
      </c>
      <c r="CS11" s="21">
        <f>[2]底表!EF11</f>
        <v>7854</v>
      </c>
      <c r="CT11" s="21">
        <f>[2]底表!EG11</f>
        <v>-0.1451</v>
      </c>
      <c r="CU11" s="21">
        <f>[2]底表!EH11</f>
        <v>0.2467</v>
      </c>
      <c r="CV11" s="21">
        <f>[2]底表!EI11</f>
        <v>-0.3117</v>
      </c>
      <c r="CW11" s="21">
        <f>[2]底表!EJ11</f>
        <v>24</v>
      </c>
      <c r="CX11" s="21">
        <f>[2]底表!EK11</f>
        <v>1</v>
      </c>
      <c r="CY11" s="21">
        <f>[2]底表!EL11</f>
        <v>0.0403</v>
      </c>
      <c r="CZ11" s="21">
        <f>[2]底表!EM11</f>
        <v>6978</v>
      </c>
      <c r="DA11" s="21">
        <f>[2]底表!EN11</f>
        <v>7005</v>
      </c>
      <c r="DB11" s="21">
        <f>[2]底表!EO11</f>
        <v>-0.0039</v>
      </c>
      <c r="DC11" s="21">
        <f>[2]底表!EP11</f>
        <v>7994</v>
      </c>
      <c r="DD11" s="21">
        <f>[2]底表!EQ11</f>
        <v>-0.1271</v>
      </c>
      <c r="DE11" s="21">
        <f>[2]底表!ER11</f>
        <v>9940</v>
      </c>
      <c r="DF11" s="21">
        <f>[2]底表!ES11</f>
        <v>7518</v>
      </c>
      <c r="DG11" s="23">
        <f>[2]底表!ET11</f>
        <v>0.3222</v>
      </c>
      <c r="DH11" s="21">
        <f>[2]底表!EU11</f>
        <v>16686</v>
      </c>
      <c r="DI11" s="21">
        <f>[2]底表!EV11</f>
        <v>-0.4043</v>
      </c>
      <c r="DJ11" s="21">
        <f>[2]底表!EW11</f>
        <v>0.3652</v>
      </c>
      <c r="DK11" s="21">
        <f>[2]底表!EX11</f>
        <v>-0.2358</v>
      </c>
      <c r="DL11" s="21">
        <f>[2]底表!EY11</f>
        <v>36</v>
      </c>
      <c r="DM11" s="21">
        <f>[2]底表!EZ11</f>
        <v>11</v>
      </c>
      <c r="DN11" s="21">
        <f>[2]底表!FA11</f>
        <v>0.4309</v>
      </c>
      <c r="DO11" s="21">
        <f>[2]底表!BQ11</f>
        <v>6267</v>
      </c>
      <c r="DP11" s="21">
        <f>[2]底表!BR11</f>
        <v>4788</v>
      </c>
      <c r="DQ11" s="24">
        <f>[2]底表!BS11</f>
        <v>0.3089</v>
      </c>
    </row>
    <row r="12" s="2" customFormat="1" ht="32" hidden="1" customHeight="1" spans="1:121">
      <c r="A12" s="27" t="str">
        <f>[2]底表!A12</f>
        <v>全量（剔除交通类）</v>
      </c>
      <c r="B12" s="28" t="str">
        <f>[2]底表!B12</f>
        <v>云浮</v>
      </c>
      <c r="C12" s="21">
        <f>[2]底表!AM12</f>
        <v>189</v>
      </c>
      <c r="D12" s="21">
        <f>[2]底表!AN12</f>
        <v>115</v>
      </c>
      <c r="E12" s="23">
        <f>[2]底表!AO12</f>
        <v>0.6435</v>
      </c>
      <c r="F12" s="21">
        <f>[2]底表!AP12</f>
        <v>265</v>
      </c>
      <c r="G12" s="21">
        <f>[2]底表!AQ12</f>
        <v>-0.2868</v>
      </c>
      <c r="H12" s="21">
        <f>[2]底表!AR12</f>
        <v>0.759</v>
      </c>
      <c r="I12" s="21">
        <f>[2]底表!AS12</f>
        <v>0.2676</v>
      </c>
      <c r="J12" s="21">
        <f>[2]底表!AT12</f>
        <v>124</v>
      </c>
      <c r="K12" s="21">
        <f>[2]底表!AU12</f>
        <v>122</v>
      </c>
      <c r="L12" s="21">
        <f>[2]底表!AV12</f>
        <v>0.0164</v>
      </c>
      <c r="M12" s="21">
        <f>[2]底表!AW12</f>
        <v>149</v>
      </c>
      <c r="N12" s="21">
        <f>[2]底表!AX12</f>
        <v>-0.1678</v>
      </c>
      <c r="O12" s="21">
        <f>[2]底表!AY12</f>
        <v>71</v>
      </c>
      <c r="P12" s="21">
        <f>[2]底表!AZ12</f>
        <v>54</v>
      </c>
      <c r="Q12" s="21">
        <f>[2]底表!BA12</f>
        <v>0.3148</v>
      </c>
      <c r="R12" s="21">
        <f>[2]底表!BB12</f>
        <v>123</v>
      </c>
      <c r="S12" s="21">
        <f>[2]底表!BC12</f>
        <v>-0.4228</v>
      </c>
      <c r="T12" s="21">
        <f>[2]底表!BD12</f>
        <v>0.5726</v>
      </c>
      <c r="U12" s="21">
        <f>[2]底表!BE12</f>
        <v>0.13</v>
      </c>
      <c r="V12" s="21">
        <f>[2]底表!BF12</f>
        <v>125</v>
      </c>
      <c r="W12" s="21">
        <f>[2]底表!BG12</f>
        <v>112</v>
      </c>
      <c r="X12" s="21">
        <f>[2]底表!BH12</f>
        <v>0.1161</v>
      </c>
      <c r="Y12" s="21">
        <f>[2]底表!BI12</f>
        <v>10</v>
      </c>
      <c r="Z12" s="21">
        <f>[2]底表!BJ12</f>
        <v>11.5</v>
      </c>
      <c r="AA12" s="21">
        <f>[2]底表!BK12</f>
        <v>0.502</v>
      </c>
      <c r="AB12" s="21">
        <f>[2]底表!BL12</f>
        <v>118</v>
      </c>
      <c r="AC12" s="21">
        <f>[2]底表!BM12</f>
        <v>61</v>
      </c>
      <c r="AD12" s="21">
        <f>[2]底表!BN12</f>
        <v>0.9344</v>
      </c>
      <c r="AE12" s="21">
        <f>[2]底表!BO12</f>
        <v>142</v>
      </c>
      <c r="AF12" s="21">
        <f>[2]底表!BP12</f>
        <v>-0.169</v>
      </c>
      <c r="AG12" s="21">
        <f>[2]底表!BT12</f>
        <v>130</v>
      </c>
      <c r="AH12" s="21">
        <f>[2]底表!BU12</f>
        <v>-0.6154</v>
      </c>
      <c r="AI12" s="21">
        <f>[2]底表!BV12</f>
        <v>0.2008</v>
      </c>
      <c r="AJ12" s="21">
        <f>[2]底表!BW12</f>
        <v>-0.0556</v>
      </c>
      <c r="AK12" s="21">
        <f>[2]底表!BX12</f>
        <v>0.4032</v>
      </c>
      <c r="AL12" s="21">
        <f>[2]底表!BY12</f>
        <v>-0.0886</v>
      </c>
      <c r="AM12" s="21">
        <f>[2]底表!BZ12</f>
        <v>0</v>
      </c>
      <c r="AN12" s="21">
        <f>[2]底表!CA12</f>
        <v>0</v>
      </c>
      <c r="AO12" s="21" t="str">
        <f>[2]底表!CB12</f>
        <v>持平</v>
      </c>
      <c r="AP12" s="21">
        <f>[2]底表!CC12</f>
        <v>5</v>
      </c>
      <c r="AQ12" s="21" t="str">
        <f>[2]底表!CD12</f>
        <v>少5起</v>
      </c>
      <c r="AR12" s="21" t="str">
        <f>[2]底表!CE12</f>
        <v/>
      </c>
      <c r="AS12" s="21" t="str">
        <f>[2]底表!CF12</f>
        <v/>
      </c>
      <c r="AT12" s="21">
        <f>[2]底表!CG12</f>
        <v>353</v>
      </c>
      <c r="AU12" s="21">
        <f>[2]底表!CH12</f>
        <v>272</v>
      </c>
      <c r="AV12" s="21">
        <f>[2]底表!CI12</f>
        <v>0.2978</v>
      </c>
      <c r="AW12" s="21">
        <f>[2]底表!CJ12</f>
        <v>327</v>
      </c>
      <c r="AX12" s="21">
        <f>[2]底表!CK12</f>
        <v>0.0795</v>
      </c>
      <c r="AY12" s="21">
        <f>[2]底表!CL12</f>
        <v>142</v>
      </c>
      <c r="AZ12" s="21">
        <f>[2]底表!CM12</f>
        <v>26</v>
      </c>
      <c r="BA12" s="21">
        <f>[2]底表!CN12</f>
        <v>0.2196</v>
      </c>
      <c r="BB12" s="21">
        <f>[2]底表!CO12</f>
        <v>323</v>
      </c>
      <c r="BC12" s="21">
        <f>[2]底表!CP12</f>
        <v>287</v>
      </c>
      <c r="BD12" s="21">
        <f>[2]底表!CQ12</f>
        <v>0.1254</v>
      </c>
      <c r="BE12" s="21">
        <f>[2]底表!CR12</f>
        <v>266</v>
      </c>
      <c r="BF12" s="21">
        <f>[2]底表!CS12</f>
        <v>0.2143</v>
      </c>
      <c r="BG12" s="21">
        <f>[2]底表!CT12</f>
        <v>0.915</v>
      </c>
      <c r="BH12" s="21">
        <f>[2]底表!CU12</f>
        <v>-0.1401</v>
      </c>
      <c r="BI12" s="21">
        <f>[2]底表!CV12</f>
        <v>130</v>
      </c>
      <c r="BJ12" s="21">
        <f>[2]底表!CW12</f>
        <v>7</v>
      </c>
      <c r="BK12" s="21">
        <f>[2]底表!CX12</f>
        <v>0.0576</v>
      </c>
      <c r="BL12" s="21">
        <f>[2]底表!CY12</f>
        <v>339</v>
      </c>
      <c r="BM12" s="21">
        <f>[2]底表!CZ12</f>
        <v>313</v>
      </c>
      <c r="BN12" s="23">
        <f>[2]底表!DA12</f>
        <v>0.0831</v>
      </c>
      <c r="BO12" s="21">
        <f>[2]底表!DB12</f>
        <v>285</v>
      </c>
      <c r="BP12" s="21">
        <f>[2]底表!DC12</f>
        <v>0.1895</v>
      </c>
      <c r="BQ12" s="21">
        <f>[2]底表!DD12</f>
        <v>0.9603</v>
      </c>
      <c r="BR12" s="21">
        <f>[2]底表!DE12</f>
        <v>-0.1904</v>
      </c>
      <c r="BS12" s="21">
        <f>[2]底表!DF12</f>
        <v>136</v>
      </c>
      <c r="BT12" s="21">
        <f>[2]底表!DG12</f>
        <v>2</v>
      </c>
      <c r="BU12" s="21">
        <f>[2]底表!DH12</f>
        <v>0.0178</v>
      </c>
      <c r="BV12" s="21"/>
      <c r="BW12" s="21"/>
      <c r="BX12" s="23" t="e">
        <f t="shared" si="0"/>
        <v>#DIV/0!</v>
      </c>
      <c r="BY12" s="21">
        <f>[2]底表!DL12</f>
        <v>262</v>
      </c>
      <c r="BZ12" s="21">
        <f>[2]底表!DM12</f>
        <v>0.1298</v>
      </c>
      <c r="CA12" s="21">
        <f>[2]底表!DN12</f>
        <v>120</v>
      </c>
      <c r="CB12" s="21">
        <f>[2]底表!DO12</f>
        <v>88</v>
      </c>
      <c r="CC12" s="21">
        <f>[2]底表!DP12</f>
        <v>0.3636</v>
      </c>
      <c r="CD12" s="21">
        <f>[2]底表!DQ12</f>
        <v>118</v>
      </c>
      <c r="CE12" s="21">
        <f>[2]底表!DR12</f>
        <v>0.0169</v>
      </c>
      <c r="CF12" s="21">
        <f>[2]底表!DS12</f>
        <v>120</v>
      </c>
      <c r="CG12" s="21">
        <f>[2]底表!DT12</f>
        <v>88</v>
      </c>
      <c r="CH12" s="21">
        <f>[2]底表!DU12</f>
        <v>0.3636</v>
      </c>
      <c r="CI12" s="21">
        <f>[2]底表!DV12</f>
        <v>119</v>
      </c>
      <c r="CJ12" s="21">
        <f>[2]底表!DW12</f>
        <v>0.0084</v>
      </c>
      <c r="CK12" s="21">
        <f>[2]底表!DX12</f>
        <v>185</v>
      </c>
      <c r="CL12" s="21">
        <f>[2]底表!DY12</f>
        <v>110</v>
      </c>
      <c r="CM12" s="21">
        <f>[2]底表!DZ12</f>
        <v>0.6818</v>
      </c>
      <c r="CN12" s="21">
        <f>[2]底表!EA12</f>
        <v>160</v>
      </c>
      <c r="CO12" s="21">
        <f>[2]底表!EB12</f>
        <v>0.1563</v>
      </c>
      <c r="CP12" s="21">
        <f>[2]底表!EC12</f>
        <v>115</v>
      </c>
      <c r="CQ12" s="21">
        <f>[2]底表!ED12</f>
        <v>79</v>
      </c>
      <c r="CR12" s="21">
        <f>[2]底表!EE12</f>
        <v>0.4557</v>
      </c>
      <c r="CS12" s="21">
        <f>[2]底表!EF12</f>
        <v>114</v>
      </c>
      <c r="CT12" s="21">
        <f>[2]底表!EG12</f>
        <v>0.0088</v>
      </c>
      <c r="CU12" s="21">
        <f>[2]底表!EH12</f>
        <v>0.356</v>
      </c>
      <c r="CV12" s="21">
        <f>[2]底表!EI12</f>
        <v>0.0808</v>
      </c>
      <c r="CW12" s="21">
        <f>[2]底表!EJ12</f>
        <v>46</v>
      </c>
      <c r="CX12" s="21">
        <f>[2]底表!EK12</f>
        <v>12</v>
      </c>
      <c r="CY12" s="21">
        <f>[2]底表!EL12</f>
        <v>0.368</v>
      </c>
      <c r="CZ12" s="21">
        <f>[2]底表!EM12</f>
        <v>116</v>
      </c>
      <c r="DA12" s="21">
        <f>[2]底表!EN12</f>
        <v>79</v>
      </c>
      <c r="DB12" s="21">
        <f>[2]底表!EO12</f>
        <v>0.4684</v>
      </c>
      <c r="DC12" s="21">
        <f>[2]底表!EP12</f>
        <v>115</v>
      </c>
      <c r="DD12" s="21">
        <f>[2]底表!EQ12</f>
        <v>0.0087</v>
      </c>
      <c r="DE12" s="21">
        <f>[2]底表!ER12</f>
        <v>112</v>
      </c>
      <c r="DF12" s="21">
        <f>[2]底表!ES12</f>
        <v>94</v>
      </c>
      <c r="DG12" s="23">
        <f>[2]底表!ET12</f>
        <v>0.1915</v>
      </c>
      <c r="DH12" s="21">
        <f>[2]底表!EU12</f>
        <v>223</v>
      </c>
      <c r="DI12" s="21">
        <f>[2]底表!EV12</f>
        <v>-0.4978</v>
      </c>
      <c r="DJ12" s="21">
        <f>[2]底表!EW12</f>
        <v>0.3467</v>
      </c>
      <c r="DK12" s="21">
        <f>[2]底表!EX12</f>
        <v>0.0192</v>
      </c>
      <c r="DL12" s="21">
        <f>[2]底表!EY12</f>
        <v>45</v>
      </c>
      <c r="DM12" s="21">
        <f>[2]底表!EZ12</f>
        <v>5</v>
      </c>
      <c r="DN12" s="21">
        <f>[2]底表!FA12</f>
        <v>0.1197</v>
      </c>
      <c r="DO12" s="21">
        <f>[2]底表!BQ12</f>
        <v>50</v>
      </c>
      <c r="DP12" s="21">
        <f>[2]底表!BR12</f>
        <v>60</v>
      </c>
      <c r="DQ12" s="24">
        <f>[2]底表!BS12</f>
        <v>-0.1667</v>
      </c>
    </row>
    <row r="13" s="2" customFormat="1" ht="32" hidden="1" customHeight="1" spans="1:121">
      <c r="A13" s="27" t="str">
        <f>[2]底表!A13</f>
        <v>全量（剔除交通类）</v>
      </c>
      <c r="B13" s="28" t="str">
        <f>[2]底表!B13</f>
        <v>云城区</v>
      </c>
      <c r="C13" s="21">
        <f>[2]底表!AM13</f>
        <v>30</v>
      </c>
      <c r="D13" s="21">
        <f>[2]底表!AN13</f>
        <v>26</v>
      </c>
      <c r="E13" s="23">
        <f>[2]底表!AO13</f>
        <v>0.1538</v>
      </c>
      <c r="F13" s="21">
        <f>[2]底表!AP13</f>
        <v>78</v>
      </c>
      <c r="G13" s="21">
        <f>[2]底表!AQ13</f>
        <v>-0.6154</v>
      </c>
      <c r="H13" s="21">
        <f>[2]底表!AR13</f>
        <v>0.625</v>
      </c>
      <c r="I13" s="21">
        <f>[2]底表!AS13</f>
        <v>0.1843</v>
      </c>
      <c r="J13" s="21">
        <f>[2]底表!AT13</f>
        <v>17</v>
      </c>
      <c r="K13" s="21">
        <f>[2]底表!AU13</f>
        <v>26</v>
      </c>
      <c r="L13" s="21">
        <f>[2]底表!AV13</f>
        <v>-0.3462</v>
      </c>
      <c r="M13" s="21">
        <f>[2]底表!AW13</f>
        <v>35</v>
      </c>
      <c r="N13" s="21">
        <f>[2]底表!AX13</f>
        <v>-0.5143</v>
      </c>
      <c r="O13" s="21">
        <f>[2]底表!AY13</f>
        <v>13</v>
      </c>
      <c r="P13" s="21">
        <f>[2]底表!AZ13</f>
        <v>16</v>
      </c>
      <c r="Q13" s="21">
        <f>[2]底表!BA13</f>
        <v>-0.1875</v>
      </c>
      <c r="R13" s="21">
        <f>[2]底表!BB13</f>
        <v>19</v>
      </c>
      <c r="S13" s="21">
        <f>[2]底表!BC13</f>
        <v>-0.3158</v>
      </c>
      <c r="T13" s="21">
        <f>[2]底表!BD13</f>
        <v>0.7647</v>
      </c>
      <c r="U13" s="21">
        <f>[2]底表!BE13</f>
        <v>0.1493</v>
      </c>
      <c r="V13" s="21">
        <f>[2]底表!BF13</f>
        <v>31</v>
      </c>
      <c r="W13" s="21">
        <f>[2]底表!BG13</f>
        <v>33</v>
      </c>
      <c r="X13" s="21">
        <f>[2]底表!BH13</f>
        <v>-0.0606</v>
      </c>
      <c r="Y13" s="21">
        <f>[2]底表!BI13</f>
        <v>0</v>
      </c>
      <c r="Z13" s="21" t="str">
        <f>[2]底表!BJ13</f>
        <v>多31起</v>
      </c>
      <c r="AA13" s="21">
        <f>[2]底表!BK13</f>
        <v>0.6458</v>
      </c>
      <c r="AB13" s="21">
        <f>[2]底表!BL13</f>
        <v>17</v>
      </c>
      <c r="AC13" s="21">
        <f>[2]底表!BM13</f>
        <v>10</v>
      </c>
      <c r="AD13" s="21">
        <f>[2]底表!BN13</f>
        <v>0.7</v>
      </c>
      <c r="AE13" s="21">
        <f>[2]底表!BO13</f>
        <v>59</v>
      </c>
      <c r="AF13" s="21">
        <f>[2]底表!BP13</f>
        <v>-0.7119</v>
      </c>
      <c r="AG13" s="21">
        <f>[2]底表!BT13</f>
        <v>34</v>
      </c>
      <c r="AH13" s="21">
        <f>[2]底表!BU13</f>
        <v>-0.8824</v>
      </c>
      <c r="AI13" s="21">
        <f>[2]底表!BV13</f>
        <v>0.0833</v>
      </c>
      <c r="AJ13" s="21">
        <f>[2]底表!BW13</f>
        <v>-0.137</v>
      </c>
      <c r="AK13" s="21">
        <f>[2]底表!BX13</f>
        <v>0.2353</v>
      </c>
      <c r="AL13" s="21">
        <f>[2]底表!BY13</f>
        <v>-0.2647</v>
      </c>
      <c r="AM13" s="21">
        <f>[2]底表!BZ13</f>
        <v>0</v>
      </c>
      <c r="AN13" s="21">
        <f>[2]底表!CA13</f>
        <v>0</v>
      </c>
      <c r="AO13" s="21" t="str">
        <f>[2]底表!CB13</f>
        <v>持平</v>
      </c>
      <c r="AP13" s="21">
        <f>[2]底表!CC13</f>
        <v>1</v>
      </c>
      <c r="AQ13" s="21" t="str">
        <f>[2]底表!CD13</f>
        <v>少1起</v>
      </c>
      <c r="AR13" s="21" t="str">
        <f>[2]底表!CE13</f>
        <v/>
      </c>
      <c r="AS13" s="21" t="str">
        <f>[2]底表!CF13</f>
        <v/>
      </c>
      <c r="AT13" s="21">
        <f>[2]底表!CG13</f>
        <v>87</v>
      </c>
      <c r="AU13" s="21">
        <f>[2]底表!CH13</f>
        <v>52</v>
      </c>
      <c r="AV13" s="21">
        <f>[2]底表!CI13</f>
        <v>0.6731</v>
      </c>
      <c r="AW13" s="21">
        <f>[2]底表!CJ13</f>
        <v>85</v>
      </c>
      <c r="AX13" s="21">
        <f>[2]底表!CK13</f>
        <v>0.0235</v>
      </c>
      <c r="AY13" s="21">
        <f>[2]底表!CL13</f>
        <v>181</v>
      </c>
      <c r="AZ13" s="21">
        <f>[2]底表!CM13</f>
        <v>93</v>
      </c>
      <c r="BA13" s="21">
        <f>[2]底表!CN13</f>
        <v>1.0565</v>
      </c>
      <c r="BB13" s="21">
        <f>[2]底表!CO13</f>
        <v>63</v>
      </c>
      <c r="BC13" s="21">
        <f>[2]底表!CP13</f>
        <v>54</v>
      </c>
      <c r="BD13" s="21">
        <f>[2]底表!CQ13</f>
        <v>0.1667</v>
      </c>
      <c r="BE13" s="21">
        <f>[2]底表!CR13</f>
        <v>23</v>
      </c>
      <c r="BF13" s="21">
        <f>[2]底表!CS13</f>
        <v>1.7391</v>
      </c>
      <c r="BG13" s="21">
        <f>[2]底表!CT13</f>
        <v>0.7241</v>
      </c>
      <c r="BH13" s="21">
        <f>[2]底表!CU13</f>
        <v>-0.3143</v>
      </c>
      <c r="BI13" s="21">
        <f>[2]底表!CV13</f>
        <v>131</v>
      </c>
      <c r="BJ13" s="21">
        <f>[2]底表!CW13</f>
        <v>40</v>
      </c>
      <c r="BK13" s="21">
        <f>[2]底表!CX13</f>
        <v>0.434</v>
      </c>
      <c r="BL13" s="21">
        <f>[2]底表!CY13</f>
        <v>63</v>
      </c>
      <c r="BM13" s="21">
        <f>[2]底表!CZ13</f>
        <v>55</v>
      </c>
      <c r="BN13" s="23">
        <f>[2]底表!DA13</f>
        <v>0.1455</v>
      </c>
      <c r="BO13" s="21">
        <f>[2]底表!DB13</f>
        <v>24</v>
      </c>
      <c r="BP13" s="21">
        <f>[2]底表!DC13</f>
        <v>1.625</v>
      </c>
      <c r="BQ13" s="21">
        <f>[2]底表!DD13</f>
        <v>0.7241</v>
      </c>
      <c r="BR13" s="21">
        <f>[2]底表!DE13</f>
        <v>-0.3336</v>
      </c>
      <c r="BS13" s="21">
        <f>[2]底表!DF13</f>
        <v>131</v>
      </c>
      <c r="BT13" s="21">
        <f>[2]底表!DG13</f>
        <v>38</v>
      </c>
      <c r="BU13" s="21">
        <f>[2]底表!DH13</f>
        <v>0.408</v>
      </c>
      <c r="BV13" s="21"/>
      <c r="BW13" s="21"/>
      <c r="BX13" s="23" t="e">
        <f t="shared" si="0"/>
        <v>#DIV/0!</v>
      </c>
      <c r="BY13" s="21">
        <f>[2]底表!DL13</f>
        <v>0</v>
      </c>
      <c r="BZ13" s="21" t="str">
        <f>[2]底表!DM13</f>
        <v>持平</v>
      </c>
      <c r="CA13" s="21">
        <f>[2]底表!DN13</f>
        <v>17</v>
      </c>
      <c r="CB13" s="21">
        <f>[2]底表!DO13</f>
        <v>3</v>
      </c>
      <c r="CC13" s="21">
        <f>[2]底表!DP13</f>
        <v>4.6667</v>
      </c>
      <c r="CD13" s="21">
        <f>[2]底表!DQ13</f>
        <v>10</v>
      </c>
      <c r="CE13" s="21">
        <f>[2]底表!DR13</f>
        <v>0.7</v>
      </c>
      <c r="CF13" s="21">
        <f>[2]底表!DS13</f>
        <v>17</v>
      </c>
      <c r="CG13" s="21">
        <f>[2]底表!DT13</f>
        <v>3</v>
      </c>
      <c r="CH13" s="21">
        <f>[2]底表!DU13</f>
        <v>4.6667</v>
      </c>
      <c r="CI13" s="21">
        <f>[2]底表!DV13</f>
        <v>10</v>
      </c>
      <c r="CJ13" s="21">
        <f>[2]底表!DW13</f>
        <v>0.7</v>
      </c>
      <c r="CK13" s="21">
        <f>[2]底表!DX13</f>
        <v>48</v>
      </c>
      <c r="CL13" s="21">
        <f>[2]底表!DY13</f>
        <v>21</v>
      </c>
      <c r="CM13" s="21">
        <f>[2]底表!DZ13</f>
        <v>1.2857</v>
      </c>
      <c r="CN13" s="21">
        <f>[2]底表!EA13</f>
        <v>29</v>
      </c>
      <c r="CO13" s="21">
        <f>[2]底表!EB13</f>
        <v>0.6552</v>
      </c>
      <c r="CP13" s="21">
        <f>[2]底表!EC13</f>
        <v>34</v>
      </c>
      <c r="CQ13" s="21">
        <f>[2]底表!ED13</f>
        <v>19</v>
      </c>
      <c r="CR13" s="21">
        <f>[2]底表!EE13</f>
        <v>0.7895</v>
      </c>
      <c r="CS13" s="21">
        <f>[2]底表!EF13</f>
        <v>21</v>
      </c>
      <c r="CT13" s="21">
        <f>[2]底表!EG13</f>
        <v>0.619</v>
      </c>
      <c r="CU13" s="21">
        <f>[2]底表!EH13</f>
        <v>0.5397</v>
      </c>
      <c r="CV13" s="21">
        <f>[2]底表!EI13</f>
        <v>0.1878</v>
      </c>
      <c r="CW13" s="21">
        <f>[2]底表!EJ13</f>
        <v>71</v>
      </c>
      <c r="CX13" s="21">
        <f>[2]底表!EK13</f>
        <v>39</v>
      </c>
      <c r="CY13" s="21">
        <f>[2]底表!EL13</f>
        <v>1.1996</v>
      </c>
      <c r="CZ13" s="21">
        <f>[2]底表!EM13</f>
        <v>35</v>
      </c>
      <c r="DA13" s="21">
        <f>[2]底表!EN13</f>
        <v>19</v>
      </c>
      <c r="DB13" s="21">
        <f>[2]底表!EO13</f>
        <v>0.8421</v>
      </c>
      <c r="DC13" s="21">
        <f>[2]底表!EP13</f>
        <v>21</v>
      </c>
      <c r="DD13" s="21">
        <f>[2]底表!EQ13</f>
        <v>0.6667</v>
      </c>
      <c r="DE13" s="21">
        <f>[2]底表!ER13</f>
        <v>4</v>
      </c>
      <c r="DF13" s="21">
        <f>[2]底表!ES13</f>
        <v>24</v>
      </c>
      <c r="DG13" s="23">
        <f>[2]底表!ET13</f>
        <v>-0.8333</v>
      </c>
      <c r="DH13" s="21">
        <f>[2]底表!EU13</f>
        <v>57</v>
      </c>
      <c r="DI13" s="21">
        <f>[2]底表!EV13</f>
        <v>-0.9298</v>
      </c>
      <c r="DJ13" s="21">
        <f>[2]底表!EW13</f>
        <v>0.0635</v>
      </c>
      <c r="DK13" s="21">
        <f>[2]底表!EX13</f>
        <v>-0.381</v>
      </c>
      <c r="DL13" s="21">
        <f>[2]底表!EY13</f>
        <v>8</v>
      </c>
      <c r="DM13" s="21">
        <f>[2]底表!EZ13</f>
        <v>-32</v>
      </c>
      <c r="DN13" s="21">
        <f>[2]底表!FA13</f>
        <v>-0.7951</v>
      </c>
      <c r="DO13" s="21">
        <f>[2]底表!BQ13</f>
        <v>4</v>
      </c>
      <c r="DP13" s="21">
        <f>[2]底表!BR13</f>
        <v>13</v>
      </c>
      <c r="DQ13" s="24">
        <f>[2]底表!BS13</f>
        <v>-0.6923</v>
      </c>
    </row>
    <row r="14" s="2" customFormat="1" ht="32" hidden="1" customHeight="1" spans="1:121">
      <c r="A14" s="27" t="str">
        <f>[2]底表!A14</f>
        <v>全量（剔除交通类）</v>
      </c>
      <c r="B14" s="28" t="str">
        <f>[2]底表!B14</f>
        <v>云安区</v>
      </c>
      <c r="C14" s="21">
        <f>[2]底表!AM14</f>
        <v>34</v>
      </c>
      <c r="D14" s="21">
        <f>[2]底表!AN14</f>
        <v>21</v>
      </c>
      <c r="E14" s="23">
        <f>[2]底表!AO14</f>
        <v>0.619</v>
      </c>
      <c r="F14" s="21">
        <f>[2]底表!AP14</f>
        <v>12</v>
      </c>
      <c r="G14" s="21">
        <f>[2]底表!AQ14</f>
        <v>1.8333</v>
      </c>
      <c r="H14" s="21">
        <f>[2]底表!AR14</f>
        <v>1.36</v>
      </c>
      <c r="I14" s="21">
        <f>[2]底表!AS14</f>
        <v>-0.04</v>
      </c>
      <c r="J14" s="21">
        <f>[2]底表!AT14</f>
        <v>14</v>
      </c>
      <c r="K14" s="21">
        <f>[2]底表!AU14</f>
        <v>13</v>
      </c>
      <c r="L14" s="21">
        <f>[2]底表!AV14</f>
        <v>0.0769</v>
      </c>
      <c r="M14" s="21">
        <f>[2]底表!AW14</f>
        <v>8</v>
      </c>
      <c r="N14" s="21">
        <f>[2]底表!AX14</f>
        <v>0.75</v>
      </c>
      <c r="O14" s="21">
        <f>[2]底表!AY14</f>
        <v>15</v>
      </c>
      <c r="P14" s="21">
        <f>[2]底表!AZ14</f>
        <v>10</v>
      </c>
      <c r="Q14" s="21">
        <f>[2]底表!BA14</f>
        <v>0.5</v>
      </c>
      <c r="R14" s="21">
        <f>[2]底表!BB14</f>
        <v>8</v>
      </c>
      <c r="S14" s="21">
        <f>[2]底表!BC14</f>
        <v>0.875</v>
      </c>
      <c r="T14" s="21">
        <f>[2]底表!BD14</f>
        <v>1.0714</v>
      </c>
      <c r="U14" s="21">
        <f>[2]底表!BE14</f>
        <v>0.3022</v>
      </c>
      <c r="V14" s="21">
        <f>[2]底表!BF14</f>
        <v>11</v>
      </c>
      <c r="W14" s="21">
        <f>[2]底表!BG14</f>
        <v>2</v>
      </c>
      <c r="X14" s="21">
        <f>[2]底表!BH14</f>
        <v>4.5</v>
      </c>
      <c r="Y14" s="21">
        <f>[2]底表!BI14</f>
        <v>3</v>
      </c>
      <c r="Z14" s="21">
        <f>[2]底表!BJ14</f>
        <v>2.6667</v>
      </c>
      <c r="AA14" s="21">
        <f>[2]底表!BK14</f>
        <v>0.44</v>
      </c>
      <c r="AB14" s="21">
        <f>[2]底表!BL14</f>
        <v>19</v>
      </c>
      <c r="AC14" s="21">
        <f>[2]底表!BM14</f>
        <v>11</v>
      </c>
      <c r="AD14" s="21">
        <f>[2]底表!BN14</f>
        <v>0.7273</v>
      </c>
      <c r="AE14" s="21">
        <f>[2]底表!BO14</f>
        <v>4</v>
      </c>
      <c r="AF14" s="21">
        <f>[2]底表!BP14</f>
        <v>3.75</v>
      </c>
      <c r="AG14" s="21">
        <f>[2]底表!BT14</f>
        <v>12</v>
      </c>
      <c r="AH14" s="21">
        <f>[2]底表!BU14</f>
        <v>-0.3333</v>
      </c>
      <c r="AI14" s="21">
        <f>[2]底表!BV14</f>
        <v>0.32</v>
      </c>
      <c r="AJ14" s="21">
        <f>[2]底表!BW14</f>
        <v>-0.2133</v>
      </c>
      <c r="AK14" s="21">
        <f>[2]底表!BX14</f>
        <v>0.5714</v>
      </c>
      <c r="AL14" s="21">
        <f>[2]底表!BY14</f>
        <v>-0.044</v>
      </c>
      <c r="AM14" s="21">
        <f>[2]底表!BZ14</f>
        <v>0</v>
      </c>
      <c r="AN14" s="21">
        <f>[2]底表!CA14</f>
        <v>0</v>
      </c>
      <c r="AO14" s="21" t="str">
        <f>[2]底表!CB14</f>
        <v>持平</v>
      </c>
      <c r="AP14" s="21">
        <f>[2]底表!CC14</f>
        <v>0</v>
      </c>
      <c r="AQ14" s="21" t="str">
        <f>[2]底表!CD14</f>
        <v>持平</v>
      </c>
      <c r="AR14" s="21" t="str">
        <f>[2]底表!CE14</f>
        <v/>
      </c>
      <c r="AS14" s="21" t="str">
        <f>[2]底表!CF14</f>
        <v/>
      </c>
      <c r="AT14" s="21">
        <f>[2]底表!CG14</f>
        <v>64</v>
      </c>
      <c r="AU14" s="21">
        <f>[2]底表!CH14</f>
        <v>40</v>
      </c>
      <c r="AV14" s="21">
        <f>[2]底表!CI14</f>
        <v>0.6</v>
      </c>
      <c r="AW14" s="21">
        <f>[2]底表!CJ14</f>
        <v>75</v>
      </c>
      <c r="AX14" s="21">
        <f>[2]底表!CK14</f>
        <v>-0.1467</v>
      </c>
      <c r="AY14" s="21">
        <f>[2]底表!CL14</f>
        <v>256</v>
      </c>
      <c r="AZ14" s="21">
        <f>[2]底表!CM14</f>
        <v>-11</v>
      </c>
      <c r="BA14" s="21">
        <f>[2]底表!CN14</f>
        <v>-0.04</v>
      </c>
      <c r="BB14" s="21">
        <f>[2]底表!CO14</f>
        <v>46</v>
      </c>
      <c r="BC14" s="21">
        <f>[2]底表!CP14</f>
        <v>49</v>
      </c>
      <c r="BD14" s="21">
        <f>[2]底表!CQ14</f>
        <v>-0.0612</v>
      </c>
      <c r="BE14" s="21">
        <f>[2]底表!CR14</f>
        <v>41</v>
      </c>
      <c r="BF14" s="21">
        <f>[2]底表!CS14</f>
        <v>0.122</v>
      </c>
      <c r="BG14" s="21">
        <f>[2]底表!CT14</f>
        <v>0.7188</v>
      </c>
      <c r="BH14" s="21">
        <f>[2]底表!CU14</f>
        <v>-0.5063</v>
      </c>
      <c r="BI14" s="21">
        <f>[2]底表!CV14</f>
        <v>184</v>
      </c>
      <c r="BJ14" s="21">
        <f>[2]底表!CW14</f>
        <v>-143</v>
      </c>
      <c r="BK14" s="21">
        <f>[2]底表!CX14</f>
        <v>-0.4367</v>
      </c>
      <c r="BL14" s="21">
        <f>[2]底表!CY14</f>
        <v>47</v>
      </c>
      <c r="BM14" s="21">
        <f>[2]底表!CZ14</f>
        <v>49</v>
      </c>
      <c r="BN14" s="23">
        <f>[2]底表!DA14</f>
        <v>-0.0408</v>
      </c>
      <c r="BO14" s="21">
        <f>[2]底表!DB14</f>
        <v>44</v>
      </c>
      <c r="BP14" s="21">
        <f>[2]底表!DC14</f>
        <v>0.0682</v>
      </c>
      <c r="BQ14" s="21">
        <f>[2]底表!DD14</f>
        <v>0.7344</v>
      </c>
      <c r="BR14" s="21">
        <f>[2]底表!DE14</f>
        <v>-0.4906</v>
      </c>
      <c r="BS14" s="21">
        <f>[2]底表!DF14</f>
        <v>188</v>
      </c>
      <c r="BT14" s="21">
        <f>[2]底表!DG14</f>
        <v>-139</v>
      </c>
      <c r="BU14" s="21">
        <f>[2]底表!DH14</f>
        <v>-0.4245</v>
      </c>
      <c r="BV14" s="21"/>
      <c r="BW14" s="21"/>
      <c r="BX14" s="23" t="e">
        <f t="shared" si="0"/>
        <v>#DIV/0!</v>
      </c>
      <c r="BY14" s="21">
        <f>[2]底表!DL14</f>
        <v>0</v>
      </c>
      <c r="BZ14" s="21" t="str">
        <f>[2]底表!DM14</f>
        <v>持平</v>
      </c>
      <c r="CA14" s="21">
        <f>[2]底表!DN14</f>
        <v>19</v>
      </c>
      <c r="CB14" s="21">
        <f>[2]底表!DO14</f>
        <v>17</v>
      </c>
      <c r="CC14" s="21">
        <f>[2]底表!DP14</f>
        <v>0.1176</v>
      </c>
      <c r="CD14" s="21">
        <f>[2]底表!DQ14</f>
        <v>16</v>
      </c>
      <c r="CE14" s="21">
        <f>[2]底表!DR14</f>
        <v>0.1875</v>
      </c>
      <c r="CF14" s="21">
        <f>[2]底表!DS14</f>
        <v>19</v>
      </c>
      <c r="CG14" s="21">
        <f>[2]底表!DT14</f>
        <v>17</v>
      </c>
      <c r="CH14" s="21">
        <f>[2]底表!DU14</f>
        <v>0.1176</v>
      </c>
      <c r="CI14" s="21">
        <f>[2]底表!DV14</f>
        <v>17</v>
      </c>
      <c r="CJ14" s="21">
        <f>[2]底表!DW14</f>
        <v>0.1176</v>
      </c>
      <c r="CK14" s="21">
        <f>[2]底表!DX14</f>
        <v>30</v>
      </c>
      <c r="CL14" s="21">
        <f>[2]底表!DY14</f>
        <v>19</v>
      </c>
      <c r="CM14" s="21">
        <f>[2]底表!DZ14</f>
        <v>0.5789</v>
      </c>
      <c r="CN14" s="21">
        <f>[2]底表!EA14</f>
        <v>14</v>
      </c>
      <c r="CO14" s="21">
        <f>[2]底表!EB14</f>
        <v>1.1429</v>
      </c>
      <c r="CP14" s="21">
        <f>[2]底表!EC14</f>
        <v>11</v>
      </c>
      <c r="CQ14" s="21">
        <f>[2]底表!ED14</f>
        <v>19</v>
      </c>
      <c r="CR14" s="21">
        <f>[2]底表!EE14</f>
        <v>-0.4211</v>
      </c>
      <c r="CS14" s="21">
        <f>[2]底表!EF14</f>
        <v>9</v>
      </c>
      <c r="CT14" s="21">
        <f>[2]底表!EG14</f>
        <v>0.2222</v>
      </c>
      <c r="CU14" s="21">
        <f>[2]底表!EH14</f>
        <v>0.2391</v>
      </c>
      <c r="CV14" s="21">
        <f>[2]底表!EI14</f>
        <v>-0.1486</v>
      </c>
      <c r="CW14" s="21">
        <f>[2]底表!EJ14</f>
        <v>44</v>
      </c>
      <c r="CX14" s="21">
        <f>[2]底表!EK14</f>
        <v>-83</v>
      </c>
      <c r="CY14" s="21">
        <f>[2]底表!EL14</f>
        <v>-0.6526</v>
      </c>
      <c r="CZ14" s="21">
        <f>[2]底表!EM14</f>
        <v>11</v>
      </c>
      <c r="DA14" s="21">
        <f>[2]底表!EN14</f>
        <v>19</v>
      </c>
      <c r="DB14" s="21">
        <f>[2]底表!EO14</f>
        <v>-0.4211</v>
      </c>
      <c r="DC14" s="21">
        <f>[2]底表!EP14</f>
        <v>9</v>
      </c>
      <c r="DD14" s="21">
        <f>[2]底表!EQ14</f>
        <v>0.2222</v>
      </c>
      <c r="DE14" s="21">
        <f>[2]底表!ER14</f>
        <v>16</v>
      </c>
      <c r="DF14" s="21">
        <f>[2]底表!ES14</f>
        <v>11</v>
      </c>
      <c r="DG14" s="23">
        <f>[2]底表!ET14</f>
        <v>0.4545</v>
      </c>
      <c r="DH14" s="21">
        <f>[2]底表!EU14</f>
        <v>23</v>
      </c>
      <c r="DI14" s="21">
        <f>[2]底表!EV14</f>
        <v>-0.3043</v>
      </c>
      <c r="DJ14" s="21">
        <f>[2]底表!EW14</f>
        <v>0.3478</v>
      </c>
      <c r="DK14" s="21">
        <f>[2]底表!EX14</f>
        <v>0.1233</v>
      </c>
      <c r="DL14" s="21">
        <f>[2]底表!EY14</f>
        <v>64</v>
      </c>
      <c r="DM14" s="21">
        <f>[2]底表!EZ14</f>
        <v>-9</v>
      </c>
      <c r="DN14" s="21">
        <f>[2]底表!FA14</f>
        <v>-0.1273</v>
      </c>
      <c r="DO14" s="21">
        <f>[2]底表!BQ14</f>
        <v>8</v>
      </c>
      <c r="DP14" s="21">
        <f>[2]底表!BR14</f>
        <v>8</v>
      </c>
      <c r="DQ14" s="24">
        <f>[2]底表!BS14</f>
        <v>0</v>
      </c>
    </row>
    <row r="15" s="2" customFormat="1" ht="32" hidden="1" customHeight="1" spans="1:121">
      <c r="A15" s="27" t="str">
        <f>[2]底表!A15</f>
        <v>全量（剔除交通类）</v>
      </c>
      <c r="B15" s="28" t="str">
        <f>[2]底表!B15</f>
        <v>新兴县</v>
      </c>
      <c r="C15" s="21">
        <f>[2]底表!AM15</f>
        <v>35</v>
      </c>
      <c r="D15" s="21">
        <f>[2]底表!AN15</f>
        <v>20</v>
      </c>
      <c r="E15" s="23">
        <f>[2]底表!AO15</f>
        <v>0.75</v>
      </c>
      <c r="F15" s="21">
        <f>[2]底表!AP15</f>
        <v>65</v>
      </c>
      <c r="G15" s="21">
        <f>[2]底表!AQ15</f>
        <v>-0.4615</v>
      </c>
      <c r="H15" s="21">
        <f>[2]底表!AR15</f>
        <v>0.493</v>
      </c>
      <c r="I15" s="21">
        <f>[2]底表!AS15</f>
        <v>0.154</v>
      </c>
      <c r="J15" s="21">
        <f>[2]底表!AT15</f>
        <v>40</v>
      </c>
      <c r="K15" s="21">
        <f>[2]底表!AU15</f>
        <v>27</v>
      </c>
      <c r="L15" s="21">
        <f>[2]底表!AV15</f>
        <v>0.4815</v>
      </c>
      <c r="M15" s="21">
        <f>[2]底表!AW15</f>
        <v>41</v>
      </c>
      <c r="N15" s="21">
        <f>[2]底表!AX15</f>
        <v>-0.0244</v>
      </c>
      <c r="O15" s="21">
        <f>[2]底表!AY15</f>
        <v>12</v>
      </c>
      <c r="P15" s="21">
        <f>[2]底表!AZ15</f>
        <v>8</v>
      </c>
      <c r="Q15" s="21">
        <f>[2]底表!BA15</f>
        <v>0.5</v>
      </c>
      <c r="R15" s="21">
        <f>[2]底表!BB15</f>
        <v>35</v>
      </c>
      <c r="S15" s="21">
        <f>[2]底表!BC15</f>
        <v>-0.6571</v>
      </c>
      <c r="T15" s="21">
        <f>[2]底表!BD15</f>
        <v>0.3</v>
      </c>
      <c r="U15" s="21">
        <f>[2]底表!BE15</f>
        <v>0.0037</v>
      </c>
      <c r="V15" s="21">
        <f>[2]底表!BF15</f>
        <v>31</v>
      </c>
      <c r="W15" s="21">
        <f>[2]底表!BG15</f>
        <v>32</v>
      </c>
      <c r="X15" s="21">
        <f>[2]底表!BH15</f>
        <v>-0.0313</v>
      </c>
      <c r="Y15" s="21">
        <f>[2]底表!BI15</f>
        <v>3</v>
      </c>
      <c r="Z15" s="21">
        <f>[2]底表!BJ15</f>
        <v>9.3333</v>
      </c>
      <c r="AA15" s="21">
        <f>[2]底表!BK15</f>
        <v>0.4366</v>
      </c>
      <c r="AB15" s="21">
        <f>[2]底表!BL15</f>
        <v>23</v>
      </c>
      <c r="AC15" s="21">
        <f>[2]底表!BM15</f>
        <v>12</v>
      </c>
      <c r="AD15" s="21">
        <f>[2]底表!BN15</f>
        <v>0.9167</v>
      </c>
      <c r="AE15" s="21">
        <f>[2]底表!BO15</f>
        <v>30</v>
      </c>
      <c r="AF15" s="21">
        <f>[2]底表!BP15</f>
        <v>-0.2333</v>
      </c>
      <c r="AG15" s="21">
        <f>[2]底表!BT15</f>
        <v>23</v>
      </c>
      <c r="AH15" s="21">
        <f>[2]底表!BU15</f>
        <v>-0.5652</v>
      </c>
      <c r="AI15" s="21">
        <f>[2]底表!BV15</f>
        <v>0.1408</v>
      </c>
      <c r="AJ15" s="21">
        <f>[2]底表!BW15</f>
        <v>-0.1134</v>
      </c>
      <c r="AK15" s="21">
        <f>[2]底表!BX15</f>
        <v>0.25</v>
      </c>
      <c r="AL15" s="21">
        <f>[2]底表!BY15</f>
        <v>-0.3056</v>
      </c>
      <c r="AM15" s="21">
        <f>[2]底表!BZ15</f>
        <v>0</v>
      </c>
      <c r="AN15" s="21">
        <f>[2]底表!CA15</f>
        <v>0</v>
      </c>
      <c r="AO15" s="21" t="str">
        <f>[2]底表!CB15</f>
        <v>持平</v>
      </c>
      <c r="AP15" s="21">
        <f>[2]底表!CC15</f>
        <v>1</v>
      </c>
      <c r="AQ15" s="21" t="str">
        <f>[2]底表!CD15</f>
        <v>少1起</v>
      </c>
      <c r="AR15" s="21" t="str">
        <f>[2]底表!CE15</f>
        <v/>
      </c>
      <c r="AS15" s="21" t="str">
        <f>[2]底表!CF15</f>
        <v/>
      </c>
      <c r="AT15" s="21">
        <f>[2]底表!CG15</f>
        <v>68</v>
      </c>
      <c r="AU15" s="21">
        <f>[2]底表!CH15</f>
        <v>69</v>
      </c>
      <c r="AV15" s="21">
        <f>[2]底表!CI15</f>
        <v>-0.0145</v>
      </c>
      <c r="AW15" s="21">
        <f>[2]底表!CJ15</f>
        <v>24</v>
      </c>
      <c r="AX15" s="21">
        <f>[2]底表!CK15</f>
        <v>1.8333</v>
      </c>
      <c r="AY15" s="21">
        <f>[2]底表!CL15</f>
        <v>96</v>
      </c>
      <c r="AZ15" s="21">
        <f>[2]底表!CM15</f>
        <v>-21</v>
      </c>
      <c r="BA15" s="21">
        <f>[2]底表!CN15</f>
        <v>-0.1811</v>
      </c>
      <c r="BB15" s="21">
        <f>[2]底表!CO15</f>
        <v>61</v>
      </c>
      <c r="BC15" s="21">
        <f>[2]底表!CP15</f>
        <v>60</v>
      </c>
      <c r="BD15" s="21">
        <f>[2]底表!CQ15</f>
        <v>0.0167</v>
      </c>
      <c r="BE15" s="21">
        <f>[2]底表!CR15</f>
        <v>25</v>
      </c>
      <c r="BF15" s="21">
        <f>[2]底表!CS15</f>
        <v>1.44</v>
      </c>
      <c r="BG15" s="21">
        <f>[2]底表!CT15</f>
        <v>0.8971</v>
      </c>
      <c r="BH15" s="21">
        <f>[2]底表!CU15</f>
        <v>0.0275</v>
      </c>
      <c r="BI15" s="21">
        <f>[2]底表!CV15</f>
        <v>86</v>
      </c>
      <c r="BJ15" s="21">
        <f>[2]底表!CW15</f>
        <v>-16</v>
      </c>
      <c r="BK15" s="21">
        <f>[2]底表!CX15</f>
        <v>-0.1552</v>
      </c>
      <c r="BL15" s="21">
        <f>[2]底表!CY15</f>
        <v>66</v>
      </c>
      <c r="BM15" s="21">
        <f>[2]底表!CZ15</f>
        <v>61</v>
      </c>
      <c r="BN15" s="23">
        <f>[2]底表!DA15</f>
        <v>0.082</v>
      </c>
      <c r="BO15" s="21">
        <f>[2]底表!DB15</f>
        <v>28</v>
      </c>
      <c r="BP15" s="21">
        <f>[2]底表!DC15</f>
        <v>1.3571</v>
      </c>
      <c r="BQ15" s="21">
        <f>[2]底表!DD15</f>
        <v>0.9706</v>
      </c>
      <c r="BR15" s="21">
        <f>[2]底表!DE15</f>
        <v>0.0865</v>
      </c>
      <c r="BS15" s="21">
        <f>[2]底表!DF15</f>
        <v>93</v>
      </c>
      <c r="BT15" s="21">
        <f>[2]底表!DG15</f>
        <v>-10</v>
      </c>
      <c r="BU15" s="21">
        <f>[2]底表!DH15</f>
        <v>-0.1009</v>
      </c>
      <c r="BV15" s="21"/>
      <c r="BW15" s="21"/>
      <c r="BX15" s="23" t="e">
        <f t="shared" si="0"/>
        <v>#DIV/0!</v>
      </c>
      <c r="BY15" s="21">
        <f>[2]底表!DL15</f>
        <v>35</v>
      </c>
      <c r="BZ15" s="21">
        <f>[2]底表!DM15</f>
        <v>0.3143</v>
      </c>
      <c r="CA15" s="21">
        <f>[2]底表!DN15</f>
        <v>21</v>
      </c>
      <c r="CB15" s="21">
        <f>[2]底表!DO15</f>
        <v>11</v>
      </c>
      <c r="CC15" s="21">
        <f>[2]底表!DP15</f>
        <v>0.9091</v>
      </c>
      <c r="CD15" s="21">
        <f>[2]底表!DQ15</f>
        <v>18</v>
      </c>
      <c r="CE15" s="21">
        <f>[2]底表!DR15</f>
        <v>0.1667</v>
      </c>
      <c r="CF15" s="21">
        <f>[2]底表!DS15</f>
        <v>21</v>
      </c>
      <c r="CG15" s="21">
        <f>[2]底表!DT15</f>
        <v>11</v>
      </c>
      <c r="CH15" s="21">
        <f>[2]底表!DU15</f>
        <v>0.9091</v>
      </c>
      <c r="CI15" s="21">
        <f>[2]底表!DV15</f>
        <v>18</v>
      </c>
      <c r="CJ15" s="21">
        <f>[2]底表!DW15</f>
        <v>0.1667</v>
      </c>
      <c r="CK15" s="21">
        <f>[2]底表!DX15</f>
        <v>29</v>
      </c>
      <c r="CL15" s="21">
        <f>[2]底表!DY15</f>
        <v>18</v>
      </c>
      <c r="CM15" s="21">
        <f>[2]底表!DZ15</f>
        <v>0.6111</v>
      </c>
      <c r="CN15" s="21">
        <f>[2]底表!EA15</f>
        <v>18</v>
      </c>
      <c r="CO15" s="21">
        <f>[2]底表!EB15</f>
        <v>0.6111</v>
      </c>
      <c r="CP15" s="21">
        <f>[2]底表!EC15</f>
        <v>12</v>
      </c>
      <c r="CQ15" s="21">
        <f>[2]底表!ED15</f>
        <v>10</v>
      </c>
      <c r="CR15" s="21">
        <f>[2]底表!EE15</f>
        <v>0.2</v>
      </c>
      <c r="CS15" s="21">
        <f>[2]底表!EF15</f>
        <v>13</v>
      </c>
      <c r="CT15" s="21">
        <f>[2]底表!EG15</f>
        <v>-0.0769</v>
      </c>
      <c r="CU15" s="21">
        <f>[2]底表!EH15</f>
        <v>0.1967</v>
      </c>
      <c r="CV15" s="21">
        <f>[2]底表!EI15</f>
        <v>0.0301</v>
      </c>
      <c r="CW15" s="21">
        <f>[2]底表!EJ15</f>
        <v>17</v>
      </c>
      <c r="CX15" s="21">
        <f>[2]底表!EK15</f>
        <v>0</v>
      </c>
      <c r="CY15" s="21">
        <f>[2]底表!EL15</f>
        <v>-0.0028</v>
      </c>
      <c r="CZ15" s="21">
        <f>[2]底表!EM15</f>
        <v>12</v>
      </c>
      <c r="DA15" s="21">
        <f>[2]底表!EN15</f>
        <v>10</v>
      </c>
      <c r="DB15" s="21">
        <f>[2]底表!EO15</f>
        <v>0.2</v>
      </c>
      <c r="DC15" s="21">
        <f>[2]底表!EP15</f>
        <v>13</v>
      </c>
      <c r="DD15" s="21">
        <f>[2]底表!EQ15</f>
        <v>-0.0769</v>
      </c>
      <c r="DE15" s="21">
        <f>[2]底表!ER15</f>
        <v>18</v>
      </c>
      <c r="DF15" s="21">
        <f>[2]底表!ES15</f>
        <v>18</v>
      </c>
      <c r="DG15" s="23">
        <f>[2]底表!ET15</f>
        <v>0</v>
      </c>
      <c r="DH15" s="21">
        <f>[2]底表!EU15</f>
        <v>32</v>
      </c>
      <c r="DI15" s="21">
        <f>[2]底表!EV15</f>
        <v>-0.4375</v>
      </c>
      <c r="DJ15" s="21">
        <f>[2]底表!EW15</f>
        <v>0.2951</v>
      </c>
      <c r="DK15" s="21">
        <f>[2]底表!EX15</f>
        <v>-0.0049</v>
      </c>
      <c r="DL15" s="21">
        <f>[2]底表!EY15</f>
        <v>25</v>
      </c>
      <c r="DM15" s="21">
        <f>[2]底表!EZ15</f>
        <v>-5</v>
      </c>
      <c r="DN15" s="21">
        <f>[2]底表!FA15</f>
        <v>-0.169</v>
      </c>
      <c r="DO15" s="21">
        <f>[2]底表!BQ15</f>
        <v>10</v>
      </c>
      <c r="DP15" s="21">
        <f>[2]底表!BR15</f>
        <v>15</v>
      </c>
      <c r="DQ15" s="24">
        <f>[2]底表!BS15</f>
        <v>-0.3333</v>
      </c>
    </row>
    <row r="16" s="2" customFormat="1" ht="32" hidden="1" customHeight="1" spans="1:121">
      <c r="A16" s="27" t="str">
        <f>[2]底表!A16</f>
        <v>全量（剔除交通类）</v>
      </c>
      <c r="B16" s="28" t="str">
        <f>[2]底表!B16</f>
        <v>郁南县</v>
      </c>
      <c r="C16" s="21">
        <f>[2]底表!AM16</f>
        <v>30</v>
      </c>
      <c r="D16" s="21">
        <f>[2]底表!AN16</f>
        <v>9</v>
      </c>
      <c r="E16" s="23">
        <f>[2]底表!AO16</f>
        <v>2.3333</v>
      </c>
      <c r="F16" s="21">
        <f>[2]底表!AP16</f>
        <v>13</v>
      </c>
      <c r="G16" s="21">
        <f>[2]底表!AQ16</f>
        <v>1.3077</v>
      </c>
      <c r="H16" s="21">
        <f>[2]底表!AR16</f>
        <v>0.8824</v>
      </c>
      <c r="I16" s="21">
        <f>[2]底表!AS16</f>
        <v>0.5074</v>
      </c>
      <c r="J16" s="21">
        <f>[2]底表!AT16</f>
        <v>23</v>
      </c>
      <c r="K16" s="21">
        <f>[2]底表!AU16</f>
        <v>17</v>
      </c>
      <c r="L16" s="21">
        <f>[2]底表!AV16</f>
        <v>0.3529</v>
      </c>
      <c r="M16" s="21">
        <f>[2]底表!AW16</f>
        <v>19</v>
      </c>
      <c r="N16" s="21">
        <f>[2]底表!AX16</f>
        <v>0.2105</v>
      </c>
      <c r="O16" s="21">
        <f>[2]底表!AY16</f>
        <v>19</v>
      </c>
      <c r="P16" s="21">
        <f>[2]底表!AZ16</f>
        <v>6</v>
      </c>
      <c r="Q16" s="21">
        <f>[2]底表!BA16</f>
        <v>2.1667</v>
      </c>
      <c r="R16" s="21">
        <f>[2]底表!BB16</f>
        <v>11</v>
      </c>
      <c r="S16" s="21">
        <f>[2]底表!BC16</f>
        <v>0.7273</v>
      </c>
      <c r="T16" s="21">
        <f>[2]底表!BD16</f>
        <v>0.8261</v>
      </c>
      <c r="U16" s="21">
        <f>[2]底表!BE16</f>
        <v>0.4731</v>
      </c>
      <c r="V16" s="21">
        <f>[2]底表!BF16</f>
        <v>11</v>
      </c>
      <c r="W16" s="21">
        <f>[2]底表!BG16</f>
        <v>7</v>
      </c>
      <c r="X16" s="21">
        <f>[2]底表!BH16</f>
        <v>0.5714</v>
      </c>
      <c r="Y16" s="21">
        <f>[2]底表!BI16</f>
        <v>1</v>
      </c>
      <c r="Z16" s="21">
        <f>[2]底表!BJ16</f>
        <v>10</v>
      </c>
      <c r="AA16" s="21">
        <f>[2]底表!BK16</f>
        <v>0.3235</v>
      </c>
      <c r="AB16" s="21">
        <f>[2]底表!BL16</f>
        <v>11</v>
      </c>
      <c r="AC16" s="21">
        <f>[2]底表!BM16</f>
        <v>3</v>
      </c>
      <c r="AD16" s="21">
        <f>[2]底表!BN16</f>
        <v>2.6667</v>
      </c>
      <c r="AE16" s="21">
        <f>[2]底表!BO16</f>
        <v>2</v>
      </c>
      <c r="AF16" s="21">
        <f>[2]底表!BP16</f>
        <v>4.5</v>
      </c>
      <c r="AG16" s="21">
        <f>[2]底表!BT16</f>
        <v>17</v>
      </c>
      <c r="AH16" s="21">
        <f>[2]底表!BU16</f>
        <v>-0.7059</v>
      </c>
      <c r="AI16" s="21">
        <f>[2]底表!BV16</f>
        <v>0.1471</v>
      </c>
      <c r="AJ16" s="21">
        <f>[2]底表!BW16</f>
        <v>-0.0196</v>
      </c>
      <c r="AK16" s="21">
        <f>[2]底表!BX16</f>
        <v>0.2174</v>
      </c>
      <c r="AL16" s="21">
        <f>[2]底表!BY16</f>
        <v>-0.0179</v>
      </c>
      <c r="AM16" s="21">
        <f>[2]底表!BZ16</f>
        <v>0</v>
      </c>
      <c r="AN16" s="21">
        <f>[2]底表!CA16</f>
        <v>0</v>
      </c>
      <c r="AO16" s="21" t="str">
        <f>[2]底表!CB16</f>
        <v>持平</v>
      </c>
      <c r="AP16" s="21">
        <f>[2]底表!CC16</f>
        <v>0</v>
      </c>
      <c r="AQ16" s="21" t="str">
        <f>[2]底表!CD16</f>
        <v>持平</v>
      </c>
      <c r="AR16" s="21" t="str">
        <f>[2]底表!CE16</f>
        <v/>
      </c>
      <c r="AS16" s="21" t="str">
        <f>[2]底表!CF16</f>
        <v/>
      </c>
      <c r="AT16" s="21">
        <f>[2]底表!CG16</f>
        <v>40</v>
      </c>
      <c r="AU16" s="21">
        <f>[2]底表!CH16</f>
        <v>23</v>
      </c>
      <c r="AV16" s="21">
        <f>[2]底表!CI16</f>
        <v>0.7391</v>
      </c>
      <c r="AW16" s="21">
        <f>[2]底表!CJ16</f>
        <v>17</v>
      </c>
      <c r="AX16" s="21">
        <f>[2]底表!CK16</f>
        <v>1.3529</v>
      </c>
      <c r="AY16" s="21">
        <f>[2]底表!CL16</f>
        <v>118</v>
      </c>
      <c r="AZ16" s="21">
        <f>[2]底表!CM16</f>
        <v>22</v>
      </c>
      <c r="BA16" s="21">
        <f>[2]底表!CN16</f>
        <v>0.2276</v>
      </c>
      <c r="BB16" s="21">
        <f>[2]底表!CO16</f>
        <v>52</v>
      </c>
      <c r="BC16" s="21">
        <f>[2]底表!CP16</f>
        <v>29</v>
      </c>
      <c r="BD16" s="21">
        <f>[2]底表!CQ16</f>
        <v>0.7931</v>
      </c>
      <c r="BE16" s="21">
        <f>[2]底表!CR16</f>
        <v>22</v>
      </c>
      <c r="BF16" s="21">
        <f>[2]底表!CS16</f>
        <v>1.3636</v>
      </c>
      <c r="BG16" s="21">
        <f>[2]底表!CT16</f>
        <v>1.3</v>
      </c>
      <c r="BH16" s="21">
        <f>[2]底表!CU16</f>
        <v>0.0391</v>
      </c>
      <c r="BI16" s="21">
        <f>[2]底表!CV16</f>
        <v>153</v>
      </c>
      <c r="BJ16" s="21">
        <f>[2]底表!CW16</f>
        <v>32</v>
      </c>
      <c r="BK16" s="21">
        <f>[2]底表!CX16</f>
        <v>0.2657</v>
      </c>
      <c r="BL16" s="21">
        <f>[2]底表!CY16</f>
        <v>56</v>
      </c>
      <c r="BM16" s="21">
        <f>[2]底表!CZ16</f>
        <v>30</v>
      </c>
      <c r="BN16" s="23">
        <f>[2]底表!DA16</f>
        <v>0.8667</v>
      </c>
      <c r="BO16" s="21">
        <f>[2]底表!DB16</f>
        <v>22</v>
      </c>
      <c r="BP16" s="21">
        <f>[2]底表!DC16</f>
        <v>1.5455</v>
      </c>
      <c r="BQ16" s="21">
        <f>[2]底表!DD16</f>
        <v>1.4</v>
      </c>
      <c r="BR16" s="21">
        <f>[2]底表!DE16</f>
        <v>0.0957</v>
      </c>
      <c r="BS16" s="21">
        <f>[2]底表!DF16</f>
        <v>165</v>
      </c>
      <c r="BT16" s="21">
        <f>[2]底表!DG16</f>
        <v>40</v>
      </c>
      <c r="BU16" s="21">
        <f>[2]底表!DH16</f>
        <v>0.3176</v>
      </c>
      <c r="BV16" s="21"/>
      <c r="BW16" s="21"/>
      <c r="BX16" s="23" t="e">
        <f t="shared" si="0"/>
        <v>#DIV/0!</v>
      </c>
      <c r="BY16" s="21">
        <f>[2]底表!DL16</f>
        <v>33</v>
      </c>
      <c r="BZ16" s="21">
        <f>[2]底表!DM16</f>
        <v>0.3636</v>
      </c>
      <c r="CA16" s="21">
        <f>[2]底表!DN16</f>
        <v>15</v>
      </c>
      <c r="CB16" s="21">
        <f>[2]底表!DO16</f>
        <v>18</v>
      </c>
      <c r="CC16" s="21">
        <f>[2]底表!DP16</f>
        <v>-0.1667</v>
      </c>
      <c r="CD16" s="21">
        <f>[2]底表!DQ16</f>
        <v>16</v>
      </c>
      <c r="CE16" s="21">
        <f>[2]底表!DR16</f>
        <v>-0.0625</v>
      </c>
      <c r="CF16" s="21">
        <f>[2]底表!DS16</f>
        <v>15</v>
      </c>
      <c r="CG16" s="21">
        <f>[2]底表!DT16</f>
        <v>18</v>
      </c>
      <c r="CH16" s="21">
        <f>[2]底表!DU16</f>
        <v>-0.1667</v>
      </c>
      <c r="CI16" s="21">
        <f>[2]底表!DV16</f>
        <v>16</v>
      </c>
      <c r="CJ16" s="21">
        <f>[2]底表!DW16</f>
        <v>-0.0625</v>
      </c>
      <c r="CK16" s="21">
        <f>[2]底表!DX16</f>
        <v>28</v>
      </c>
      <c r="CL16" s="21">
        <f>[2]底表!DY16</f>
        <v>13</v>
      </c>
      <c r="CM16" s="21">
        <f>[2]底表!DZ16</f>
        <v>1.1538</v>
      </c>
      <c r="CN16" s="21">
        <f>[2]底表!EA16</f>
        <v>33</v>
      </c>
      <c r="CO16" s="21">
        <f>[2]底表!EB16</f>
        <v>-0.1515</v>
      </c>
      <c r="CP16" s="21">
        <f>[2]底表!EC16</f>
        <v>24</v>
      </c>
      <c r="CQ16" s="21">
        <f>[2]底表!ED16</f>
        <v>10</v>
      </c>
      <c r="CR16" s="21">
        <f>[2]底表!EE16</f>
        <v>1.4</v>
      </c>
      <c r="CS16" s="21">
        <f>[2]底表!EF16</f>
        <v>16</v>
      </c>
      <c r="CT16" s="21">
        <f>[2]底表!EG16</f>
        <v>0.5</v>
      </c>
      <c r="CU16" s="21">
        <f>[2]底表!EH16</f>
        <v>0.4615</v>
      </c>
      <c r="CV16" s="21">
        <f>[2]底表!EI16</f>
        <v>0.1167</v>
      </c>
      <c r="CW16" s="21">
        <f>[2]底表!EJ16</f>
        <v>71</v>
      </c>
      <c r="CX16" s="21">
        <f>[2]底表!EK16</f>
        <v>29</v>
      </c>
      <c r="CY16" s="21">
        <f>[2]底表!EL16</f>
        <v>0.6941</v>
      </c>
      <c r="CZ16" s="21">
        <f>[2]底表!EM16</f>
        <v>24</v>
      </c>
      <c r="DA16" s="21">
        <f>[2]底表!EN16</f>
        <v>10</v>
      </c>
      <c r="DB16" s="21">
        <f>[2]底表!EO16</f>
        <v>1.4</v>
      </c>
      <c r="DC16" s="21">
        <f>[2]底表!EP16</f>
        <v>16</v>
      </c>
      <c r="DD16" s="21">
        <f>[2]底表!EQ16</f>
        <v>0.5</v>
      </c>
      <c r="DE16" s="21">
        <f>[2]底表!ER16</f>
        <v>16</v>
      </c>
      <c r="DF16" s="21">
        <f>[2]底表!ES16</f>
        <v>12</v>
      </c>
      <c r="DG16" s="23">
        <f>[2]底表!ET16</f>
        <v>0.3333</v>
      </c>
      <c r="DH16" s="21">
        <f>[2]底表!EU16</f>
        <v>34</v>
      </c>
      <c r="DI16" s="21">
        <f>[2]底表!EV16</f>
        <v>-0.5294</v>
      </c>
      <c r="DJ16" s="21">
        <f>[2]底表!EW16</f>
        <v>0.3077</v>
      </c>
      <c r="DK16" s="21">
        <f>[2]底表!EX16</f>
        <v>-0.1061</v>
      </c>
      <c r="DL16" s="21">
        <f>[2]底表!EY16</f>
        <v>47</v>
      </c>
      <c r="DM16" s="21">
        <f>[2]底表!EZ16</f>
        <v>-3</v>
      </c>
      <c r="DN16" s="21">
        <f>[2]底表!FA16</f>
        <v>-0.0588</v>
      </c>
      <c r="DO16" s="21">
        <f>[2]底表!BQ16</f>
        <v>5</v>
      </c>
      <c r="DP16" s="21">
        <f>[2]底表!BR16</f>
        <v>4</v>
      </c>
      <c r="DQ16" s="24">
        <f>[2]底表!BS16</f>
        <v>0.25</v>
      </c>
    </row>
    <row r="17" s="2" customFormat="1" ht="32" hidden="1" customHeight="1" spans="1:121">
      <c r="A17" s="27" t="str">
        <f>[2]底表!A17</f>
        <v>全量（剔除交通类）</v>
      </c>
      <c r="B17" s="28" t="str">
        <f>[2]底表!B17</f>
        <v>罗定市</v>
      </c>
      <c r="C17" s="21">
        <f>[2]底表!AM17</f>
        <v>57</v>
      </c>
      <c r="D17" s="21">
        <f>[2]底表!AN17</f>
        <v>37</v>
      </c>
      <c r="E17" s="23">
        <f>[2]底表!AO17</f>
        <v>0.5405</v>
      </c>
      <c r="F17" s="21">
        <f>[2]底表!AP17</f>
        <v>86</v>
      </c>
      <c r="G17" s="21">
        <f>[2]底表!AQ17</f>
        <v>-0.3372</v>
      </c>
      <c r="H17" s="21">
        <f>[2]底表!AR17</f>
        <v>0.8636</v>
      </c>
      <c r="I17" s="21">
        <f>[2]底表!AS17</f>
        <v>0.3636</v>
      </c>
      <c r="J17" s="21">
        <f>[2]底表!AT17</f>
        <v>30</v>
      </c>
      <c r="K17" s="21">
        <f>[2]底表!AU17</f>
        <v>38</v>
      </c>
      <c r="L17" s="21">
        <f>[2]底表!AV17</f>
        <v>-0.2105</v>
      </c>
      <c r="M17" s="21">
        <f>[2]底表!AW17</f>
        <v>39</v>
      </c>
      <c r="N17" s="21">
        <f>[2]底表!AX17</f>
        <v>-0.2308</v>
      </c>
      <c r="O17" s="21">
        <f>[2]底表!AY17</f>
        <v>12</v>
      </c>
      <c r="P17" s="21">
        <f>[2]底表!AZ17</f>
        <v>14</v>
      </c>
      <c r="Q17" s="21">
        <f>[2]底表!BA17</f>
        <v>-0.1429</v>
      </c>
      <c r="R17" s="21">
        <f>[2]底表!BB17</f>
        <v>44</v>
      </c>
      <c r="S17" s="21">
        <f>[2]底表!BC17</f>
        <v>-0.7273</v>
      </c>
      <c r="T17" s="21">
        <f>[2]底表!BD17</f>
        <v>0.4</v>
      </c>
      <c r="U17" s="21">
        <f>[2]底表!BE17</f>
        <v>0.0316</v>
      </c>
      <c r="V17" s="21">
        <f>[2]底表!BF17</f>
        <v>36</v>
      </c>
      <c r="W17" s="21">
        <f>[2]底表!BG17</f>
        <v>36</v>
      </c>
      <c r="X17" s="21">
        <f>[2]底表!BH17</f>
        <v>0</v>
      </c>
      <c r="Y17" s="21">
        <f>[2]底表!BI17</f>
        <v>2</v>
      </c>
      <c r="Z17" s="21">
        <f>[2]底表!BJ17</f>
        <v>17</v>
      </c>
      <c r="AA17" s="21">
        <f>[2]底表!BK17</f>
        <v>0.5455</v>
      </c>
      <c r="AB17" s="21">
        <f>[2]底表!BL17</f>
        <v>45</v>
      </c>
      <c r="AC17" s="21">
        <f>[2]底表!BM17</f>
        <v>23</v>
      </c>
      <c r="AD17" s="21">
        <f>[2]底表!BN17</f>
        <v>0.9565</v>
      </c>
      <c r="AE17" s="21">
        <f>[2]底表!BO17</f>
        <v>42</v>
      </c>
      <c r="AF17" s="21">
        <f>[2]底表!BP17</f>
        <v>0.0714</v>
      </c>
      <c r="AG17" s="21">
        <f>[2]底表!BT17</f>
        <v>42</v>
      </c>
      <c r="AH17" s="21">
        <f>[2]底表!BU17</f>
        <v>-0.5</v>
      </c>
      <c r="AI17" s="21">
        <f>[2]底表!BV17</f>
        <v>0.3182</v>
      </c>
      <c r="AJ17" s="21">
        <f>[2]底表!BW17</f>
        <v>0.0749</v>
      </c>
      <c r="AK17" s="21">
        <f>[2]底表!BX17</f>
        <v>0.7</v>
      </c>
      <c r="AL17" s="21">
        <f>[2]底表!BY17</f>
        <v>0.2263</v>
      </c>
      <c r="AM17" s="21">
        <f>[2]底表!BZ17</f>
        <v>0</v>
      </c>
      <c r="AN17" s="21">
        <f>[2]底表!CA17</f>
        <v>0</v>
      </c>
      <c r="AO17" s="21" t="str">
        <f>[2]底表!CB17</f>
        <v>持平</v>
      </c>
      <c r="AP17" s="21">
        <f>[2]底表!CC17</f>
        <v>3</v>
      </c>
      <c r="AQ17" s="21" t="str">
        <f>[2]底表!CD17</f>
        <v>少3起</v>
      </c>
      <c r="AR17" s="21" t="str">
        <f>[2]底表!CE17</f>
        <v/>
      </c>
      <c r="AS17" s="21" t="str">
        <f>[2]底表!CF17</f>
        <v/>
      </c>
      <c r="AT17" s="21">
        <f>[2]底表!CG17</f>
        <v>91</v>
      </c>
      <c r="AU17" s="21">
        <f>[2]底表!CH17</f>
        <v>88</v>
      </c>
      <c r="AV17" s="21">
        <f>[2]底表!CI17</f>
        <v>0.0341</v>
      </c>
      <c r="AW17" s="21">
        <f>[2]底表!CJ17</f>
        <v>126</v>
      </c>
      <c r="AX17" s="21">
        <f>[2]底表!CK17</f>
        <v>-0.2778</v>
      </c>
      <c r="AY17" s="21">
        <f>[2]底表!CL17</f>
        <v>138</v>
      </c>
      <c r="AZ17" s="21">
        <f>[2]底表!CM17</f>
        <v>19</v>
      </c>
      <c r="BA17" s="21">
        <f>[2]底表!CN17</f>
        <v>0.1594</v>
      </c>
      <c r="BB17" s="21">
        <f>[2]底表!CO17</f>
        <v>83</v>
      </c>
      <c r="BC17" s="21">
        <f>[2]底表!CP17</f>
        <v>68</v>
      </c>
      <c r="BD17" s="21">
        <f>[2]底表!CQ17</f>
        <v>0.2206</v>
      </c>
      <c r="BE17" s="21">
        <f>[2]底表!CR17</f>
        <v>37</v>
      </c>
      <c r="BF17" s="21">
        <f>[2]底表!CS17</f>
        <v>1.2432</v>
      </c>
      <c r="BG17" s="21">
        <f>[2]底表!CT17</f>
        <v>0.9121</v>
      </c>
      <c r="BH17" s="21">
        <f>[2]底表!CU17</f>
        <v>0.1394</v>
      </c>
      <c r="BI17" s="21">
        <f>[2]底表!CV17</f>
        <v>126</v>
      </c>
      <c r="BJ17" s="21">
        <f>[2]底表!CW17</f>
        <v>34</v>
      </c>
      <c r="BK17" s="21">
        <f>[2]底表!CX17</f>
        <v>0.3685</v>
      </c>
      <c r="BL17" s="21">
        <f>[2]底表!CY17</f>
        <v>87</v>
      </c>
      <c r="BM17" s="21">
        <f>[2]底表!CZ17</f>
        <v>91</v>
      </c>
      <c r="BN17" s="23">
        <f>[2]底表!DA17</f>
        <v>-0.044</v>
      </c>
      <c r="BO17" s="21">
        <f>[2]底表!DB17</f>
        <v>41</v>
      </c>
      <c r="BP17" s="21">
        <f>[2]底表!DC17</f>
        <v>1.122</v>
      </c>
      <c r="BQ17" s="21">
        <f>[2]底表!DD17</f>
        <v>0.956</v>
      </c>
      <c r="BR17" s="21">
        <f>[2]底表!DE17</f>
        <v>-0.078</v>
      </c>
      <c r="BS17" s="21">
        <f>[2]底表!DF17</f>
        <v>132</v>
      </c>
      <c r="BT17" s="21">
        <f>[2]底表!DG17</f>
        <v>9</v>
      </c>
      <c r="BU17" s="21">
        <f>[2]底表!DH17</f>
        <v>0.0719</v>
      </c>
      <c r="BV17" s="21"/>
      <c r="BW17" s="21"/>
      <c r="BX17" s="23" t="e">
        <f t="shared" si="0"/>
        <v>#DIV/0!</v>
      </c>
      <c r="BY17" s="21">
        <f>[2]底表!DL17</f>
        <v>65</v>
      </c>
      <c r="BZ17" s="21">
        <f>[2]底表!DM17</f>
        <v>0.0769</v>
      </c>
      <c r="CA17" s="21">
        <f>[2]底表!DN17</f>
        <v>20</v>
      </c>
      <c r="CB17" s="21">
        <f>[2]底表!DO17</f>
        <v>38</v>
      </c>
      <c r="CC17" s="21">
        <f>[2]底表!DP17</f>
        <v>-0.4737</v>
      </c>
      <c r="CD17" s="21">
        <f>[2]底表!DQ17</f>
        <v>32</v>
      </c>
      <c r="CE17" s="21">
        <f>[2]底表!DR17</f>
        <v>-0.375</v>
      </c>
      <c r="CF17" s="21">
        <f>[2]底表!DS17</f>
        <v>20</v>
      </c>
      <c r="CG17" s="21">
        <f>[2]底表!DT17</f>
        <v>38</v>
      </c>
      <c r="CH17" s="21">
        <f>[2]底表!DU17</f>
        <v>-0.4737</v>
      </c>
      <c r="CI17" s="21">
        <f>[2]底表!DV17</f>
        <v>32</v>
      </c>
      <c r="CJ17" s="21">
        <f>[2]底表!DW17</f>
        <v>-0.375</v>
      </c>
      <c r="CK17" s="21">
        <f>[2]底表!DX17</f>
        <v>49</v>
      </c>
      <c r="CL17" s="21">
        <f>[2]底表!DY17</f>
        <v>39</v>
      </c>
      <c r="CM17" s="21">
        <f>[2]底表!DZ17</f>
        <v>0.2564</v>
      </c>
      <c r="CN17" s="21">
        <f>[2]底表!EA17</f>
        <v>66</v>
      </c>
      <c r="CO17" s="21">
        <f>[2]底表!EB17</f>
        <v>-0.2576</v>
      </c>
      <c r="CP17" s="21">
        <f>[2]底表!EC17</f>
        <v>34</v>
      </c>
      <c r="CQ17" s="21">
        <f>[2]底表!ED17</f>
        <v>21</v>
      </c>
      <c r="CR17" s="21">
        <f>[2]底表!EE17</f>
        <v>0.619</v>
      </c>
      <c r="CS17" s="21">
        <f>[2]底表!EF17</f>
        <v>54</v>
      </c>
      <c r="CT17" s="21">
        <f>[2]底表!EG17</f>
        <v>-0.3704</v>
      </c>
      <c r="CU17" s="21">
        <f>[2]底表!EH17</f>
        <v>0.4096</v>
      </c>
      <c r="CV17" s="21">
        <f>[2]底表!EI17</f>
        <v>0.1008</v>
      </c>
      <c r="CW17" s="21">
        <f>[2]底表!EJ17</f>
        <v>52</v>
      </c>
      <c r="CX17" s="21">
        <f>[2]底表!EK17</f>
        <v>23</v>
      </c>
      <c r="CY17" s="21">
        <f>[2]底表!EL17</f>
        <v>0.8153</v>
      </c>
      <c r="CZ17" s="21">
        <f>[2]底表!EM17</f>
        <v>34</v>
      </c>
      <c r="DA17" s="21">
        <f>[2]底表!EN17</f>
        <v>21</v>
      </c>
      <c r="DB17" s="21">
        <f>[2]底表!EO17</f>
        <v>0.619</v>
      </c>
      <c r="DC17" s="21">
        <f>[2]底表!EP17</f>
        <v>55</v>
      </c>
      <c r="DD17" s="21">
        <f>[2]底表!EQ17</f>
        <v>-0.3818</v>
      </c>
      <c r="DE17" s="21">
        <f>[2]底表!ER17</f>
        <v>54</v>
      </c>
      <c r="DF17" s="21">
        <f>[2]底表!ES17</f>
        <v>23</v>
      </c>
      <c r="DG17" s="23">
        <f>[2]底表!ET17</f>
        <v>1.3478</v>
      </c>
      <c r="DH17" s="21">
        <f>[2]底表!EU17</f>
        <v>69</v>
      </c>
      <c r="DI17" s="21">
        <f>[2]底表!EV17</f>
        <v>-0.2174</v>
      </c>
      <c r="DJ17" s="21">
        <f>[2]底表!EW17</f>
        <v>0.6506</v>
      </c>
      <c r="DK17" s="21">
        <f>[2]底表!EX17</f>
        <v>0.3124</v>
      </c>
      <c r="DL17" s="21">
        <f>[2]底表!EY17</f>
        <v>82</v>
      </c>
      <c r="DM17" s="21">
        <f>[2]底表!EZ17</f>
        <v>51</v>
      </c>
      <c r="DN17" s="21">
        <f>[2]底表!FA17</f>
        <v>1.6324</v>
      </c>
      <c r="DO17" s="21">
        <f>[2]底表!BQ17</f>
        <v>21</v>
      </c>
      <c r="DP17" s="21">
        <f>[2]底表!BR17</f>
        <v>18</v>
      </c>
      <c r="DQ17" s="24">
        <f>[2]底表!BS17</f>
        <v>0.1667</v>
      </c>
    </row>
    <row r="18" s="2" customFormat="1" ht="32" hidden="1" customHeight="1" spans="1:121">
      <c r="A18" s="27" t="str">
        <f>[2]底表!A18</f>
        <v>排除诈骗及关联犯罪</v>
      </c>
      <c r="B18" s="28" t="str">
        <f>[2]底表!B18</f>
        <v>全省</v>
      </c>
      <c r="C18" s="21">
        <f>[2]底表!AM18</f>
        <v>13309</v>
      </c>
      <c r="D18" s="21">
        <f>[2]底表!AN18</f>
        <v>8762</v>
      </c>
      <c r="E18" s="23">
        <f>[2]底表!AO18</f>
        <v>0.5189</v>
      </c>
      <c r="F18" s="21">
        <f>[2]底表!AP18</f>
        <v>17007</v>
      </c>
      <c r="G18" s="21">
        <f>[2]底表!AQ18</f>
        <v>-0.2174</v>
      </c>
      <c r="H18" s="21">
        <f>[2]底表!AR18</f>
        <v>0.8452</v>
      </c>
      <c r="I18" s="21">
        <f>[2]底表!AS18</f>
        <v>0.204</v>
      </c>
      <c r="J18" s="21">
        <f>[2]底表!AT18</f>
        <v>9876</v>
      </c>
      <c r="K18" s="21">
        <f>[2]底表!AU18</f>
        <v>7636</v>
      </c>
      <c r="L18" s="21">
        <f>[2]底表!AV18</f>
        <v>0.2933</v>
      </c>
      <c r="M18" s="21">
        <f>[2]底表!AW18</f>
        <v>13984</v>
      </c>
      <c r="N18" s="21">
        <f>[2]底表!AX18</f>
        <v>-0.2938</v>
      </c>
      <c r="O18" s="21">
        <f>[2]底表!AY18</f>
        <v>7455</v>
      </c>
      <c r="P18" s="21">
        <f>[2]底表!AZ18</f>
        <v>4618</v>
      </c>
      <c r="Q18" s="21">
        <f>[2]底表!BA18</f>
        <v>0.6143</v>
      </c>
      <c r="R18" s="21">
        <f>[2]底表!BB18</f>
        <v>14073</v>
      </c>
      <c r="S18" s="21">
        <f>[2]底表!BC18</f>
        <v>-0.4703</v>
      </c>
      <c r="T18" s="21">
        <f>[2]底表!BD18</f>
        <v>0.7549</v>
      </c>
      <c r="U18" s="21">
        <f>[2]底表!BE18</f>
        <v>0.1501</v>
      </c>
      <c r="V18" s="21">
        <f>[2]底表!BF18</f>
        <v>5871</v>
      </c>
      <c r="W18" s="21">
        <f>[2]底表!BG18</f>
        <v>6030</v>
      </c>
      <c r="X18" s="21">
        <f>[2]底表!BH18</f>
        <v>-0.0264</v>
      </c>
      <c r="Y18" s="21">
        <f>[2]底表!BI18</f>
        <v>1057</v>
      </c>
      <c r="Z18" s="21">
        <f>[2]底表!BJ18</f>
        <v>4.5544</v>
      </c>
      <c r="AA18" s="21">
        <f>[2]底表!BK18</f>
        <v>0.3728</v>
      </c>
      <c r="AB18" s="21">
        <f>[2]底表!BL18</f>
        <v>5854</v>
      </c>
      <c r="AC18" s="21">
        <f>[2]底表!BM18</f>
        <v>4144</v>
      </c>
      <c r="AD18" s="21">
        <f>[2]底表!BN18</f>
        <v>0.4126</v>
      </c>
      <c r="AE18" s="21">
        <f>[2]底表!BO18</f>
        <v>2934</v>
      </c>
      <c r="AF18" s="21">
        <f>[2]底表!BP18</f>
        <v>0.9952</v>
      </c>
      <c r="AG18" s="21">
        <f>[2]底表!BT18</f>
        <v>12427</v>
      </c>
      <c r="AH18" s="21">
        <f>[2]底表!BU18</f>
        <v>-0.3841</v>
      </c>
      <c r="AI18" s="21">
        <f>[2]底表!BV18</f>
        <v>0.4861</v>
      </c>
      <c r="AJ18" s="21">
        <f>[2]底表!BW18</f>
        <v>0.06</v>
      </c>
      <c r="AK18" s="21">
        <f>[2]底表!BX18</f>
        <v>0.775</v>
      </c>
      <c r="AL18" s="21">
        <f>[2]底表!BY18</f>
        <v>0.0124</v>
      </c>
      <c r="AM18" s="21">
        <f>[2]底表!BZ18</f>
        <v>47</v>
      </c>
      <c r="AN18" s="21">
        <f>[2]底表!CA18</f>
        <v>107</v>
      </c>
      <c r="AO18" s="21">
        <f>[2]底表!CB18</f>
        <v>-0.5607</v>
      </c>
      <c r="AP18" s="21">
        <f>[2]底表!CC18</f>
        <v>468</v>
      </c>
      <c r="AQ18" s="21">
        <f>[2]底表!CD18</f>
        <v>-0.8996</v>
      </c>
      <c r="AR18" s="21" t="str">
        <f>[2]底表!CE18</f>
        <v/>
      </c>
      <c r="AS18" s="21" t="str">
        <f>[2]底表!CF18</f>
        <v/>
      </c>
      <c r="AT18" s="21">
        <f>[2]底表!CG18</f>
        <v>24985</v>
      </c>
      <c r="AU18" s="21">
        <f>[2]底表!CH18</f>
        <v>16430</v>
      </c>
      <c r="AV18" s="21">
        <f>[2]底表!CI18</f>
        <v>0.5207</v>
      </c>
      <c r="AW18" s="21">
        <f>[2]底表!CJ18</f>
        <v>22525</v>
      </c>
      <c r="AX18" s="21">
        <f>[2]底表!CK18</f>
        <v>0.1092</v>
      </c>
      <c r="AY18" s="21">
        <f>[2]底表!CL18</f>
        <v>159</v>
      </c>
      <c r="AZ18" s="21">
        <f>[2]底表!CM18</f>
        <v>38</v>
      </c>
      <c r="BA18" s="21">
        <f>[2]底表!CN18</f>
        <v>0.3197</v>
      </c>
      <c r="BB18" s="21">
        <f>[2]底表!CO18</f>
        <v>18955</v>
      </c>
      <c r="BC18" s="21">
        <f>[2]底表!CP18</f>
        <v>8481</v>
      </c>
      <c r="BD18" s="21">
        <f>[2]底表!CQ18</f>
        <v>1.235</v>
      </c>
      <c r="BE18" s="21">
        <f>[2]底表!CR18</f>
        <v>15779</v>
      </c>
      <c r="BF18" s="21">
        <f>[2]底表!CS18</f>
        <v>0.2013</v>
      </c>
      <c r="BG18" s="21">
        <f>[2]底表!CT18</f>
        <v>0.7587</v>
      </c>
      <c r="BH18" s="21">
        <f>[2]底表!CU18</f>
        <v>0.2425</v>
      </c>
      <c r="BI18" s="21">
        <f>[2]底表!CV18</f>
        <v>120</v>
      </c>
      <c r="BJ18" s="21">
        <f>[2]底表!CW18</f>
        <v>58</v>
      </c>
      <c r="BK18" s="21">
        <f>[2]底表!CX18</f>
        <v>0.9396</v>
      </c>
      <c r="BL18" s="21">
        <f>[2]底表!CY18</f>
        <v>22853</v>
      </c>
      <c r="BM18" s="21">
        <f>[2]底表!CZ18</f>
        <v>11805</v>
      </c>
      <c r="BN18" s="23">
        <f>[2]底表!DA18</f>
        <v>0.9359</v>
      </c>
      <c r="BO18" s="21">
        <f>[2]底表!DB18</f>
        <v>20232</v>
      </c>
      <c r="BP18" s="21">
        <f>[2]底表!DC18</f>
        <v>0.1295</v>
      </c>
      <c r="BQ18" s="21">
        <f>[2]底表!DD18</f>
        <v>0.9147</v>
      </c>
      <c r="BR18" s="21">
        <f>[2]底表!DE18</f>
        <v>0.1962</v>
      </c>
      <c r="BS18" s="21">
        <f>[2]底表!DF18</f>
        <v>145</v>
      </c>
      <c r="BT18" s="21">
        <f>[2]底表!DG18</f>
        <v>59</v>
      </c>
      <c r="BU18" s="21">
        <f>[2]底表!DH18</f>
        <v>0.68</v>
      </c>
      <c r="BV18" s="21"/>
      <c r="BW18" s="21"/>
      <c r="BX18" s="23" t="e">
        <f t="shared" si="0"/>
        <v>#DIV/0!</v>
      </c>
      <c r="BY18" s="21">
        <f>[2]底表!DL18</f>
        <v>19794</v>
      </c>
      <c r="BZ18" s="21">
        <f>[2]底表!DM18</f>
        <v>0.1101</v>
      </c>
      <c r="CA18" s="21">
        <f>[2]底表!DN18</f>
        <v>12230</v>
      </c>
      <c r="CB18" s="21">
        <f>[2]底表!DO18</f>
        <v>9062</v>
      </c>
      <c r="CC18" s="21">
        <f>[2]底表!DP18</f>
        <v>0.3496</v>
      </c>
      <c r="CD18" s="21">
        <f>[2]底表!DQ18</f>
        <v>12659</v>
      </c>
      <c r="CE18" s="21">
        <f>[2]底表!DR18</f>
        <v>-0.0339</v>
      </c>
      <c r="CF18" s="21">
        <f>[2]底表!DS18</f>
        <v>12244</v>
      </c>
      <c r="CG18" s="21">
        <f>[2]底表!DT18</f>
        <v>9066</v>
      </c>
      <c r="CH18" s="21">
        <f>[2]底表!DU18</f>
        <v>0.3505</v>
      </c>
      <c r="CI18" s="21">
        <f>[2]底表!DV18</f>
        <v>12681</v>
      </c>
      <c r="CJ18" s="21">
        <f>[2]底表!DW18</f>
        <v>-0.0345</v>
      </c>
      <c r="CK18" s="21">
        <f>[2]底表!DX18</f>
        <v>12077</v>
      </c>
      <c r="CL18" s="21">
        <f>[2]底表!DY18</f>
        <v>8253</v>
      </c>
      <c r="CM18" s="21">
        <f>[2]底表!DZ18</f>
        <v>0.4633</v>
      </c>
      <c r="CN18" s="21">
        <f>[2]底表!EA18</f>
        <v>10866</v>
      </c>
      <c r="CO18" s="21">
        <f>[2]底表!EB18</f>
        <v>0.1114</v>
      </c>
      <c r="CP18" s="21">
        <f>[2]底表!EC18</f>
        <v>5461</v>
      </c>
      <c r="CQ18" s="21">
        <f>[2]底表!ED18</f>
        <v>5282</v>
      </c>
      <c r="CR18" s="21">
        <f>[2]底表!EE18</f>
        <v>0.0339</v>
      </c>
      <c r="CS18" s="21">
        <f>[2]底表!EF18</f>
        <v>6584</v>
      </c>
      <c r="CT18" s="21">
        <f>[2]底表!EG18</f>
        <v>-0.1706</v>
      </c>
      <c r="CU18" s="21">
        <f>[2]底表!EH18</f>
        <v>0.2881</v>
      </c>
      <c r="CV18" s="21">
        <f>[2]底表!EI18</f>
        <v>-0.3347</v>
      </c>
      <c r="CW18" s="21">
        <f>[2]底表!EJ18</f>
        <v>35</v>
      </c>
      <c r="CX18" s="21">
        <f>[2]底表!EK18</f>
        <v>-4</v>
      </c>
      <c r="CY18" s="21">
        <f>[2]底表!EL18</f>
        <v>-0.1027</v>
      </c>
      <c r="CZ18" s="21">
        <f>[2]底表!EM18</f>
        <v>5659</v>
      </c>
      <c r="DA18" s="21">
        <f>[2]底表!EN18</f>
        <v>5353</v>
      </c>
      <c r="DB18" s="21">
        <f>[2]底表!EO18</f>
        <v>0.0572</v>
      </c>
      <c r="DC18" s="21">
        <f>[2]底表!EP18</f>
        <v>6729</v>
      </c>
      <c r="DD18" s="21">
        <f>[2]底表!EQ18</f>
        <v>-0.159</v>
      </c>
      <c r="DE18" s="21">
        <f>[2]底表!ER18</f>
        <v>10703</v>
      </c>
      <c r="DF18" s="21">
        <f>[2]底表!ES18</f>
        <v>7973</v>
      </c>
      <c r="DG18" s="23">
        <f>[2]底表!ET18</f>
        <v>0.3424</v>
      </c>
      <c r="DH18" s="21">
        <f>[2]底表!EU18</f>
        <v>16649</v>
      </c>
      <c r="DI18" s="21">
        <f>[2]底表!EV18</f>
        <v>-0.3571</v>
      </c>
      <c r="DJ18" s="21">
        <f>[2]底表!EW18</f>
        <v>0.5647</v>
      </c>
      <c r="DK18" s="21">
        <f>[2]底表!EX18</f>
        <v>-0.3754</v>
      </c>
      <c r="DL18" s="21">
        <f>[2]底表!EY18</f>
        <v>68</v>
      </c>
      <c r="DM18" s="21">
        <f>[2]底表!EZ18</f>
        <v>10</v>
      </c>
      <c r="DN18" s="21">
        <f>[2]底表!FA18</f>
        <v>0.165</v>
      </c>
      <c r="DO18" s="21">
        <f>[2]底表!BQ18</f>
        <v>7654</v>
      </c>
      <c r="DP18" s="21">
        <f>[2]底表!BR18</f>
        <v>5823</v>
      </c>
      <c r="DQ18" s="24">
        <f>[2]底表!BS18</f>
        <v>0.3144</v>
      </c>
    </row>
    <row r="19" s="2" customFormat="1" ht="32" hidden="1" customHeight="1" spans="1:121">
      <c r="A19" s="27" t="str">
        <f>[2]底表!A19</f>
        <v>排除诈骗及关联犯罪</v>
      </c>
      <c r="B19" s="28" t="str">
        <f>[2]底表!B19</f>
        <v>云浮</v>
      </c>
      <c r="C19" s="21">
        <f>[2]底表!AM19</f>
        <v>153</v>
      </c>
      <c r="D19" s="21">
        <f>[2]底表!AN19</f>
        <v>94</v>
      </c>
      <c r="E19" s="23">
        <f>[2]底表!AO19</f>
        <v>0.6277</v>
      </c>
      <c r="F19" s="21">
        <f>[2]底表!AP19</f>
        <v>149</v>
      </c>
      <c r="G19" s="21">
        <f>[2]底表!AQ19</f>
        <v>0.0268</v>
      </c>
      <c r="H19" s="21">
        <f>[2]底表!AR19</f>
        <v>0.8315</v>
      </c>
      <c r="I19" s="21">
        <f>[2]底表!AS19</f>
        <v>0.1352</v>
      </c>
      <c r="J19" s="21">
        <f>[2]底表!AT19</f>
        <v>84</v>
      </c>
      <c r="K19" s="21">
        <f>[2]底表!AU19</f>
        <v>75</v>
      </c>
      <c r="L19" s="21">
        <f>[2]底表!AV19</f>
        <v>0.12</v>
      </c>
      <c r="M19" s="21">
        <f>[2]底表!AW19</f>
        <v>103</v>
      </c>
      <c r="N19" s="21">
        <f>[2]底表!AX19</f>
        <v>-0.1845</v>
      </c>
      <c r="O19" s="21">
        <f>[2]底表!AY19</f>
        <v>70</v>
      </c>
      <c r="P19" s="21">
        <f>[2]底表!AZ19</f>
        <v>44</v>
      </c>
      <c r="Q19" s="21">
        <f>[2]底表!BA19</f>
        <v>0.5909</v>
      </c>
      <c r="R19" s="21">
        <f>[2]底表!BB19</f>
        <v>127</v>
      </c>
      <c r="S19" s="21">
        <f>[2]底表!BC19</f>
        <v>-0.4488</v>
      </c>
      <c r="T19" s="21">
        <f>[2]底表!BD19</f>
        <v>0.8333</v>
      </c>
      <c r="U19" s="21">
        <f>[2]底表!BE19</f>
        <v>0.2467</v>
      </c>
      <c r="V19" s="21">
        <f>[2]底表!BF19</f>
        <v>100</v>
      </c>
      <c r="W19" s="21">
        <f>[2]底表!BG19</f>
        <v>60</v>
      </c>
      <c r="X19" s="21">
        <f>[2]底表!BH19</f>
        <v>0.6667</v>
      </c>
      <c r="Y19" s="21">
        <f>[2]底表!BI19</f>
        <v>8</v>
      </c>
      <c r="Z19" s="21">
        <f>[2]底表!BJ19</f>
        <v>11.5</v>
      </c>
      <c r="AA19" s="21">
        <f>[2]底表!BK19</f>
        <v>0.5435</v>
      </c>
      <c r="AB19" s="21">
        <f>[2]底表!BL19</f>
        <v>83</v>
      </c>
      <c r="AC19" s="21">
        <f>[2]底表!BM19</f>
        <v>50</v>
      </c>
      <c r="AD19" s="21">
        <f>[2]底表!BN19</f>
        <v>0.66</v>
      </c>
      <c r="AE19" s="21">
        <f>[2]底表!BO19</f>
        <v>22</v>
      </c>
      <c r="AF19" s="21">
        <f>[2]底表!BP19</f>
        <v>2.7727</v>
      </c>
      <c r="AG19" s="21">
        <f>[2]底表!BT19</f>
        <v>158</v>
      </c>
      <c r="AH19" s="21">
        <f>[2]底表!BU19</f>
        <v>-0.6772</v>
      </c>
      <c r="AI19" s="21">
        <f>[2]底表!BV19</f>
        <v>0.2772</v>
      </c>
      <c r="AJ19" s="21">
        <f>[2]底表!BW19</f>
        <v>-0.308</v>
      </c>
      <c r="AK19" s="21">
        <f>[2]底表!BX19</f>
        <v>0.6071</v>
      </c>
      <c r="AL19" s="21">
        <f>[2]底表!BY19</f>
        <v>-0.4462</v>
      </c>
      <c r="AM19" s="21">
        <f>[2]底表!BZ19</f>
        <v>0</v>
      </c>
      <c r="AN19" s="21">
        <f>[2]底表!CA19</f>
        <v>0</v>
      </c>
      <c r="AO19" s="21" t="str">
        <f>[2]底表!CB19</f>
        <v>持平</v>
      </c>
      <c r="AP19" s="21">
        <f>[2]底表!CC19</f>
        <v>2</v>
      </c>
      <c r="AQ19" s="21" t="str">
        <f>[2]底表!CD19</f>
        <v>少2起</v>
      </c>
      <c r="AR19" s="21" t="str">
        <f>[2]底表!CE19</f>
        <v/>
      </c>
      <c r="AS19" s="21" t="str">
        <f>[2]底表!CF19</f>
        <v/>
      </c>
      <c r="AT19" s="21">
        <f>[2]底表!CG19</f>
        <v>284</v>
      </c>
      <c r="AU19" s="21">
        <f>[2]底表!CH19</f>
        <v>168</v>
      </c>
      <c r="AV19" s="21">
        <f>[2]底表!CI19</f>
        <v>0.6905</v>
      </c>
      <c r="AW19" s="21">
        <f>[2]底表!CJ19</f>
        <v>233</v>
      </c>
      <c r="AX19" s="21">
        <f>[2]底表!CK19</f>
        <v>0.2189</v>
      </c>
      <c r="AY19" s="21">
        <f>[2]底表!CL19</f>
        <v>154</v>
      </c>
      <c r="AZ19" s="21">
        <f>[2]底表!CM19</f>
        <v>30</v>
      </c>
      <c r="BA19" s="21">
        <f>[2]底表!CN19</f>
        <v>0.2403</v>
      </c>
      <c r="BB19" s="21">
        <f>[2]底表!CO19</f>
        <v>231</v>
      </c>
      <c r="BC19" s="21">
        <f>[2]底表!CP19</f>
        <v>139</v>
      </c>
      <c r="BD19" s="21">
        <f>[2]底表!CQ19</f>
        <v>0.6619</v>
      </c>
      <c r="BE19" s="21">
        <f>[2]底表!CR19</f>
        <v>240</v>
      </c>
      <c r="BF19" s="21">
        <f>[2]底表!CS19</f>
        <v>-0.0375</v>
      </c>
      <c r="BG19" s="21">
        <f>[2]底表!CT19</f>
        <v>0.8134</v>
      </c>
      <c r="BH19" s="21">
        <f>[2]底表!CU19</f>
        <v>-0.014</v>
      </c>
      <c r="BI19" s="21">
        <f>[2]底表!CV19</f>
        <v>126</v>
      </c>
      <c r="BJ19" s="21">
        <f>[2]底表!CW19</f>
        <v>23</v>
      </c>
      <c r="BK19" s="21">
        <f>[2]底表!CX19</f>
        <v>0.2193</v>
      </c>
      <c r="BL19" s="21">
        <f>[2]底表!CY19</f>
        <v>246</v>
      </c>
      <c r="BM19" s="21">
        <f>[2]底表!CZ19</f>
        <v>153</v>
      </c>
      <c r="BN19" s="23">
        <f>[2]底表!DA19</f>
        <v>0.6078</v>
      </c>
      <c r="BO19" s="21">
        <f>[2]底表!DB19</f>
        <v>267</v>
      </c>
      <c r="BP19" s="21">
        <f>[2]底表!DC19</f>
        <v>-0.0787</v>
      </c>
      <c r="BQ19" s="21">
        <f>[2]底表!DD19</f>
        <v>0.8662</v>
      </c>
      <c r="BR19" s="21">
        <f>[2]底表!DE19</f>
        <v>-0.0445</v>
      </c>
      <c r="BS19" s="21">
        <f>[2]底表!DF19</f>
        <v>134</v>
      </c>
      <c r="BT19" s="21">
        <f>[2]底表!DG19</f>
        <v>20</v>
      </c>
      <c r="BU19" s="21">
        <f>[2]底表!DH19</f>
        <v>0.1797</v>
      </c>
      <c r="BV19" s="21"/>
      <c r="BW19" s="21"/>
      <c r="BX19" s="23" t="e">
        <f t="shared" si="0"/>
        <v>#DIV/0!</v>
      </c>
      <c r="BY19" s="21">
        <f>[2]底表!DL19</f>
        <v>243</v>
      </c>
      <c r="BZ19" s="21">
        <f>[2]底表!DM19</f>
        <v>-0.107</v>
      </c>
      <c r="CA19" s="21">
        <f>[2]底表!DN19</f>
        <v>114</v>
      </c>
      <c r="CB19" s="21">
        <f>[2]底表!DO19</f>
        <v>69</v>
      </c>
      <c r="CC19" s="21">
        <f>[2]底表!DP19</f>
        <v>0.6522</v>
      </c>
      <c r="CD19" s="21">
        <f>[2]底表!DQ19</f>
        <v>131</v>
      </c>
      <c r="CE19" s="21">
        <f>[2]底表!DR19</f>
        <v>-0.1298</v>
      </c>
      <c r="CF19" s="21">
        <f>[2]底表!DS19</f>
        <v>114</v>
      </c>
      <c r="CG19" s="21">
        <f>[2]底表!DT19</f>
        <v>69</v>
      </c>
      <c r="CH19" s="21">
        <f>[2]底表!DU19</f>
        <v>0.6522</v>
      </c>
      <c r="CI19" s="21">
        <f>[2]底表!DV19</f>
        <v>132</v>
      </c>
      <c r="CJ19" s="21">
        <f>[2]底表!DW19</f>
        <v>-0.1364</v>
      </c>
      <c r="CK19" s="21">
        <f>[2]底表!DX19</f>
        <v>165</v>
      </c>
      <c r="CL19" s="21">
        <f>[2]底表!DY19</f>
        <v>80</v>
      </c>
      <c r="CM19" s="21">
        <f>[2]底表!DZ19</f>
        <v>1.0625</v>
      </c>
      <c r="CN19" s="21">
        <f>[2]底表!EA19</f>
        <v>137</v>
      </c>
      <c r="CO19" s="21">
        <f>[2]底表!EB19</f>
        <v>0.2044</v>
      </c>
      <c r="CP19" s="21">
        <f>[2]底表!EC19</f>
        <v>104</v>
      </c>
      <c r="CQ19" s="21">
        <f>[2]底表!ED19</f>
        <v>58</v>
      </c>
      <c r="CR19" s="21">
        <f>[2]底表!EE19</f>
        <v>0.7931</v>
      </c>
      <c r="CS19" s="21">
        <f>[2]底表!EF19</f>
        <v>102</v>
      </c>
      <c r="CT19" s="21">
        <f>[2]底表!EG19</f>
        <v>0.0196</v>
      </c>
      <c r="CU19" s="21">
        <f>[2]底表!EH19</f>
        <v>0.4502</v>
      </c>
      <c r="CV19" s="21">
        <f>[2]底表!EI19</f>
        <v>0.033</v>
      </c>
      <c r="CW19" s="21">
        <f>[2]底表!EJ19</f>
        <v>57</v>
      </c>
      <c r="CX19" s="21">
        <f>[2]底表!EK19</f>
        <v>14</v>
      </c>
      <c r="CY19" s="21">
        <f>[2]底表!EL19</f>
        <v>0.3156</v>
      </c>
      <c r="CZ19" s="21">
        <f>[2]底表!EM19</f>
        <v>105</v>
      </c>
      <c r="DA19" s="21">
        <f>[2]底表!EN19</f>
        <v>58</v>
      </c>
      <c r="DB19" s="21">
        <f>[2]底表!EO19</f>
        <v>0.8103</v>
      </c>
      <c r="DC19" s="21">
        <f>[2]底表!EP19</f>
        <v>103</v>
      </c>
      <c r="DD19" s="21">
        <f>[2]底表!EQ19</f>
        <v>0.0194</v>
      </c>
      <c r="DE19" s="21">
        <f>[2]底表!ER19</f>
        <v>88</v>
      </c>
      <c r="DF19" s="21">
        <f>[2]底表!ES19</f>
        <v>105</v>
      </c>
      <c r="DG19" s="23">
        <f>[2]底表!ET19</f>
        <v>-0.1619</v>
      </c>
      <c r="DH19" s="21">
        <f>[2]底表!EU19</f>
        <v>225</v>
      </c>
      <c r="DI19" s="21">
        <f>[2]底表!EV19</f>
        <v>-0.6089</v>
      </c>
      <c r="DJ19" s="21">
        <f>[2]底表!EW19</f>
        <v>0.381</v>
      </c>
      <c r="DK19" s="21">
        <f>[2]底表!EX19</f>
        <v>-0.3744</v>
      </c>
      <c r="DL19" s="21">
        <f>[2]底表!EY19</f>
        <v>48</v>
      </c>
      <c r="DM19" s="21">
        <f>[2]底表!EZ19</f>
        <v>-30</v>
      </c>
      <c r="DN19" s="21">
        <f>[2]底表!FA19</f>
        <v>-0.3851</v>
      </c>
      <c r="DO19" s="21">
        <f>[2]底表!BQ19</f>
        <v>51</v>
      </c>
      <c r="DP19" s="21">
        <f>[2]底表!BR19</f>
        <v>79</v>
      </c>
      <c r="DQ19" s="24">
        <f>[2]底表!BS19</f>
        <v>-0.3544</v>
      </c>
    </row>
    <row r="20" s="2" customFormat="1" ht="32" hidden="1" customHeight="1" spans="1:121">
      <c r="A20" s="27" t="str">
        <f>[2]底表!A20</f>
        <v>排除诈骗及关联犯罪</v>
      </c>
      <c r="B20" s="28" t="str">
        <f>[2]底表!B20</f>
        <v>云城区</v>
      </c>
      <c r="C20" s="21">
        <f>[2]底表!AM20</f>
        <v>18</v>
      </c>
      <c r="D20" s="21">
        <f>[2]底表!AN20</f>
        <v>17</v>
      </c>
      <c r="E20" s="23">
        <f>[2]底表!AO20</f>
        <v>0.0588</v>
      </c>
      <c r="F20" s="21">
        <f>[2]底表!AP20</f>
        <v>16</v>
      </c>
      <c r="G20" s="21">
        <f>[2]底表!AQ20</f>
        <v>0.125</v>
      </c>
      <c r="H20" s="21">
        <f>[2]底表!AR20</f>
        <v>0.8182</v>
      </c>
      <c r="I20" s="21">
        <f>[2]底表!AS20</f>
        <v>-0.0766</v>
      </c>
      <c r="J20" s="21">
        <f>[2]底表!AT20</f>
        <v>14</v>
      </c>
      <c r="K20" s="21">
        <f>[2]底表!AU20</f>
        <v>15</v>
      </c>
      <c r="L20" s="21">
        <f>[2]底表!AV20</f>
        <v>-0.0667</v>
      </c>
      <c r="M20" s="21">
        <f>[2]底表!AW20</f>
        <v>12</v>
      </c>
      <c r="N20" s="21">
        <f>[2]底表!AX20</f>
        <v>0.1667</v>
      </c>
      <c r="O20" s="21">
        <f>[2]底表!AY20</f>
        <v>13</v>
      </c>
      <c r="P20" s="21">
        <f>[2]底表!AZ20</f>
        <v>14</v>
      </c>
      <c r="Q20" s="21">
        <f>[2]底表!BA20</f>
        <v>-0.0714</v>
      </c>
      <c r="R20" s="21">
        <f>[2]底表!BB20</f>
        <v>11</v>
      </c>
      <c r="S20" s="21">
        <f>[2]底表!BC20</f>
        <v>0.1818</v>
      </c>
      <c r="T20" s="21">
        <f>[2]底表!BD20</f>
        <v>0.9286</v>
      </c>
      <c r="U20" s="21">
        <f>[2]底表!BE20</f>
        <v>-0.0048</v>
      </c>
      <c r="V20" s="21">
        <f>[2]底表!BF20</f>
        <v>8</v>
      </c>
      <c r="W20" s="21">
        <f>[2]底表!BG20</f>
        <v>4</v>
      </c>
      <c r="X20" s="21">
        <f>[2]底表!BH20</f>
        <v>1</v>
      </c>
      <c r="Y20" s="21">
        <f>[2]底表!BI20</f>
        <v>0</v>
      </c>
      <c r="Z20" s="21" t="str">
        <f>[2]底表!BJ20</f>
        <v>多8起</v>
      </c>
      <c r="AA20" s="21">
        <f>[2]底表!BK20</f>
        <v>0.3636</v>
      </c>
      <c r="AB20" s="21">
        <f>[2]底表!BL20</f>
        <v>5</v>
      </c>
      <c r="AC20" s="21">
        <f>[2]底表!BM20</f>
        <v>3</v>
      </c>
      <c r="AD20" s="21">
        <f>[2]底表!BN20</f>
        <v>0.6667</v>
      </c>
      <c r="AE20" s="21">
        <f>[2]底表!BO20</f>
        <v>5</v>
      </c>
      <c r="AF20" s="21">
        <f>[2]底表!BP20</f>
        <v>0</v>
      </c>
      <c r="AG20" s="21">
        <f>[2]底表!BT20</f>
        <v>32</v>
      </c>
      <c r="AH20" s="21">
        <f>[2]底表!BU20</f>
        <v>-0.875</v>
      </c>
      <c r="AI20" s="21">
        <f>[2]底表!BV20</f>
        <v>0.1818</v>
      </c>
      <c r="AJ20" s="21">
        <f>[2]底表!BW20</f>
        <v>-0.2919</v>
      </c>
      <c r="AK20" s="21">
        <f>[2]底表!BX20</f>
        <v>0.2857</v>
      </c>
      <c r="AL20" s="21">
        <f>[2]底表!BY20</f>
        <v>-0.3143</v>
      </c>
      <c r="AM20" s="21">
        <f>[2]底表!BZ20</f>
        <v>0</v>
      </c>
      <c r="AN20" s="21">
        <f>[2]底表!CA20</f>
        <v>0</v>
      </c>
      <c r="AO20" s="21" t="str">
        <f>[2]底表!CB20</f>
        <v>持平</v>
      </c>
      <c r="AP20" s="21">
        <f>[2]底表!CC20</f>
        <v>0</v>
      </c>
      <c r="AQ20" s="21" t="str">
        <f>[2]底表!CD20</f>
        <v>持平</v>
      </c>
      <c r="AR20" s="21" t="str">
        <f>[2]底表!CE20</f>
        <v/>
      </c>
      <c r="AS20" s="21" t="str">
        <f>[2]底表!CF20</f>
        <v/>
      </c>
      <c r="AT20" s="21">
        <f>[2]底表!CG20</f>
        <v>77</v>
      </c>
      <c r="AU20" s="21">
        <f>[2]底表!CH20</f>
        <v>28</v>
      </c>
      <c r="AV20" s="21">
        <f>[2]底表!CI20</f>
        <v>1.75</v>
      </c>
      <c r="AW20" s="21">
        <f>[2]底表!CJ20</f>
        <v>61</v>
      </c>
      <c r="AX20" s="21">
        <f>[2]底表!CK20</f>
        <v>0.2623</v>
      </c>
      <c r="AY20" s="21">
        <f>[2]底表!CL20</f>
        <v>350</v>
      </c>
      <c r="AZ20" s="21">
        <f>[2]底表!CM20</f>
        <v>203</v>
      </c>
      <c r="BA20" s="21">
        <f>[2]底表!CN20</f>
        <v>1.375</v>
      </c>
      <c r="BB20" s="21">
        <f>[2]底表!CO20</f>
        <v>48</v>
      </c>
      <c r="BC20" s="21">
        <f>[2]底表!CP20</f>
        <v>23</v>
      </c>
      <c r="BD20" s="21">
        <f>[2]底表!CQ20</f>
        <v>1.087</v>
      </c>
      <c r="BE20" s="21">
        <f>[2]底表!CR20</f>
        <v>18</v>
      </c>
      <c r="BF20" s="21">
        <f>[2]底表!CS20</f>
        <v>1.6667</v>
      </c>
      <c r="BG20" s="21">
        <f>[2]底表!CT20</f>
        <v>0.6234</v>
      </c>
      <c r="BH20" s="21">
        <f>[2]底表!CU20</f>
        <v>-0.1981</v>
      </c>
      <c r="BI20" s="21">
        <f>[2]底表!CV20</f>
        <v>218</v>
      </c>
      <c r="BJ20" s="21">
        <f>[2]底表!CW20</f>
        <v>97</v>
      </c>
      <c r="BK20" s="21">
        <f>[2]底表!CX20</f>
        <v>0.8024</v>
      </c>
      <c r="BL20" s="21">
        <f>[2]底表!CY20</f>
        <v>48</v>
      </c>
      <c r="BM20" s="21">
        <f>[2]底表!CZ20</f>
        <v>24</v>
      </c>
      <c r="BN20" s="23">
        <f>[2]底表!DA20</f>
        <v>1</v>
      </c>
      <c r="BO20" s="21">
        <f>[2]底表!DB20</f>
        <v>19</v>
      </c>
      <c r="BP20" s="21">
        <f>[2]底表!DC20</f>
        <v>1.5263</v>
      </c>
      <c r="BQ20" s="21">
        <f>[2]底表!DD20</f>
        <v>0.6234</v>
      </c>
      <c r="BR20" s="21">
        <f>[2]底表!DE20</f>
        <v>-0.2338</v>
      </c>
      <c r="BS20" s="21">
        <f>[2]底表!DF20</f>
        <v>218</v>
      </c>
      <c r="BT20" s="21">
        <f>[2]底表!DG20</f>
        <v>92</v>
      </c>
      <c r="BU20" s="21">
        <f>[2]底表!DH20</f>
        <v>0.7273</v>
      </c>
      <c r="BV20" s="21"/>
      <c r="BW20" s="21"/>
      <c r="BX20" s="23" t="e">
        <f t="shared" si="0"/>
        <v>#DIV/0!</v>
      </c>
      <c r="BY20" s="21">
        <f>[2]底表!DL20</f>
        <v>0</v>
      </c>
      <c r="BZ20" s="21" t="str">
        <f>[2]底表!DM20</f>
        <v>持平</v>
      </c>
      <c r="CA20" s="21">
        <f>[2]底表!DN20</f>
        <v>13</v>
      </c>
      <c r="CB20" s="21">
        <f>[2]底表!DO20</f>
        <v>2</v>
      </c>
      <c r="CC20" s="21">
        <f>[2]底表!DP20</f>
        <v>5.5</v>
      </c>
      <c r="CD20" s="21">
        <f>[2]底表!DQ20</f>
        <v>8</v>
      </c>
      <c r="CE20" s="21">
        <f>[2]底表!DR20</f>
        <v>0.625</v>
      </c>
      <c r="CF20" s="21">
        <f>[2]底表!DS20</f>
        <v>13</v>
      </c>
      <c r="CG20" s="21">
        <f>[2]底表!DT20</f>
        <v>2</v>
      </c>
      <c r="CH20" s="21">
        <f>[2]底表!DU20</f>
        <v>5.5</v>
      </c>
      <c r="CI20" s="21">
        <f>[2]底表!DV20</f>
        <v>8</v>
      </c>
      <c r="CJ20" s="21">
        <f>[2]底表!DW20</f>
        <v>0.625</v>
      </c>
      <c r="CK20" s="21">
        <f>[2]底表!DX20</f>
        <v>43</v>
      </c>
      <c r="CL20" s="21">
        <f>[2]底表!DY20</f>
        <v>16</v>
      </c>
      <c r="CM20" s="21">
        <f>[2]底表!DZ20</f>
        <v>1.6875</v>
      </c>
      <c r="CN20" s="21">
        <f>[2]底表!EA20</f>
        <v>28</v>
      </c>
      <c r="CO20" s="21">
        <f>[2]底表!EB20</f>
        <v>0.5357</v>
      </c>
      <c r="CP20" s="21">
        <f>[2]底表!EC20</f>
        <v>31</v>
      </c>
      <c r="CQ20" s="21">
        <f>[2]底表!ED20</f>
        <v>14</v>
      </c>
      <c r="CR20" s="21">
        <f>[2]底表!EE20</f>
        <v>1.2143</v>
      </c>
      <c r="CS20" s="21">
        <f>[2]底表!EF20</f>
        <v>21</v>
      </c>
      <c r="CT20" s="21">
        <f>[2]底表!EG20</f>
        <v>0.4762</v>
      </c>
      <c r="CU20" s="21">
        <f>[2]底表!EH20</f>
        <v>0.6458</v>
      </c>
      <c r="CV20" s="21">
        <f>[2]底表!EI20</f>
        <v>0.0371</v>
      </c>
      <c r="CW20" s="21">
        <f>[2]底表!EJ20</f>
        <v>141</v>
      </c>
      <c r="CX20" s="21">
        <f>[2]底表!EK20</f>
        <v>67</v>
      </c>
      <c r="CY20" s="21">
        <f>[2]底表!EL20</f>
        <v>0.9123</v>
      </c>
      <c r="CZ20" s="21">
        <f>[2]底表!EM20</f>
        <v>32</v>
      </c>
      <c r="DA20" s="21">
        <f>[2]底表!EN20</f>
        <v>14</v>
      </c>
      <c r="DB20" s="21">
        <f>[2]底表!EO20</f>
        <v>1.2857</v>
      </c>
      <c r="DC20" s="21">
        <f>[2]底表!EP20</f>
        <v>21</v>
      </c>
      <c r="DD20" s="21">
        <f>[2]底表!EQ20</f>
        <v>0.5238</v>
      </c>
      <c r="DE20" s="21">
        <f>[2]底表!ER20</f>
        <v>4</v>
      </c>
      <c r="DF20" s="21">
        <f>[2]底表!ES20</f>
        <v>17</v>
      </c>
      <c r="DG20" s="23">
        <f>[2]底表!ET20</f>
        <v>-0.7647</v>
      </c>
      <c r="DH20" s="21">
        <f>[2]底表!EU20</f>
        <v>46</v>
      </c>
      <c r="DI20" s="21">
        <f>[2]底表!EV20</f>
        <v>-0.913</v>
      </c>
      <c r="DJ20" s="21">
        <f>[2]底表!EW20</f>
        <v>0.0833</v>
      </c>
      <c r="DK20" s="21">
        <f>[2]底表!EX20</f>
        <v>-0.6558</v>
      </c>
      <c r="DL20" s="21">
        <f>[2]底表!EY20</f>
        <v>18</v>
      </c>
      <c r="DM20" s="21">
        <f>[2]底表!EZ20</f>
        <v>-71</v>
      </c>
      <c r="DN20" s="21">
        <f>[2]底表!FA20</f>
        <v>-0.7968</v>
      </c>
      <c r="DO20" s="21">
        <f>[2]底表!BQ20</f>
        <v>4</v>
      </c>
      <c r="DP20" s="21">
        <f>[2]底表!BR20</f>
        <v>9</v>
      </c>
      <c r="DQ20" s="24">
        <f>[2]底表!BS20</f>
        <v>-0.5556</v>
      </c>
    </row>
    <row r="21" s="2" customFormat="1" ht="32" hidden="1" customHeight="1" spans="1:121">
      <c r="A21" s="27" t="str">
        <f>[2]底表!A21</f>
        <v>排除诈骗及关联犯罪</v>
      </c>
      <c r="B21" s="28" t="str">
        <f>[2]底表!B21</f>
        <v>云安区</v>
      </c>
      <c r="C21" s="21">
        <f>[2]底表!AM21</f>
        <v>23</v>
      </c>
      <c r="D21" s="21">
        <f>[2]底表!AN21</f>
        <v>13</v>
      </c>
      <c r="E21" s="23">
        <f>[2]底表!AO21</f>
        <v>0.7692</v>
      </c>
      <c r="F21" s="21">
        <f>[2]底表!AP21</f>
        <v>10</v>
      </c>
      <c r="G21" s="21">
        <f>[2]底表!AQ21</f>
        <v>1.3</v>
      </c>
      <c r="H21" s="21">
        <f>[2]底表!AR21</f>
        <v>1.0952</v>
      </c>
      <c r="I21" s="21">
        <f>[2]底表!AS21</f>
        <v>0.0119</v>
      </c>
      <c r="J21" s="21">
        <f>[2]底表!AT21</f>
        <v>10</v>
      </c>
      <c r="K21" s="21">
        <f>[2]底表!AU21</f>
        <v>9</v>
      </c>
      <c r="L21" s="21">
        <f>[2]底表!AV21</f>
        <v>0.1111</v>
      </c>
      <c r="M21" s="21">
        <f>[2]底表!AW21</f>
        <v>6</v>
      </c>
      <c r="N21" s="21">
        <f>[2]底表!AX21</f>
        <v>0.6667</v>
      </c>
      <c r="O21" s="21">
        <f>[2]底表!AY21</f>
        <v>13</v>
      </c>
      <c r="P21" s="21">
        <f>[2]底表!AZ21</f>
        <v>8</v>
      </c>
      <c r="Q21" s="21">
        <f>[2]底表!BA21</f>
        <v>0.625</v>
      </c>
      <c r="R21" s="21">
        <f>[2]底表!BB21</f>
        <v>7</v>
      </c>
      <c r="S21" s="21">
        <f>[2]底表!BC21</f>
        <v>0.8571</v>
      </c>
      <c r="T21" s="21">
        <f>[2]底表!BD21</f>
        <v>1.3</v>
      </c>
      <c r="U21" s="21">
        <f>[2]底表!BE21</f>
        <v>0.4111</v>
      </c>
      <c r="V21" s="21">
        <f>[2]底表!BF21</f>
        <v>11</v>
      </c>
      <c r="W21" s="21">
        <f>[2]底表!BG21</f>
        <v>3</v>
      </c>
      <c r="X21" s="21">
        <f>[2]底表!BH21</f>
        <v>2.6667</v>
      </c>
      <c r="Y21" s="21">
        <f>[2]底表!BI21</f>
        <v>1</v>
      </c>
      <c r="Z21" s="21">
        <f>[2]底表!BJ21</f>
        <v>10</v>
      </c>
      <c r="AA21" s="21">
        <f>[2]底表!BK21</f>
        <v>0.5238</v>
      </c>
      <c r="AB21" s="21">
        <f>[2]底表!BL21</f>
        <v>10</v>
      </c>
      <c r="AC21" s="21">
        <f>[2]底表!BM21</f>
        <v>5</v>
      </c>
      <c r="AD21" s="21">
        <f>[2]底表!BN21</f>
        <v>1</v>
      </c>
      <c r="AE21" s="21">
        <f>[2]底表!BO21</f>
        <v>3</v>
      </c>
      <c r="AF21" s="21">
        <f>[2]底表!BP21</f>
        <v>2.3333</v>
      </c>
      <c r="AG21" s="21">
        <f>[2]底表!BT21</f>
        <v>13</v>
      </c>
      <c r="AH21" s="21">
        <f>[2]底表!BU21</f>
        <v>-0.6154</v>
      </c>
      <c r="AI21" s="21">
        <f>[2]底表!BV21</f>
        <v>0.2381</v>
      </c>
      <c r="AJ21" s="21">
        <f>[2]底表!BW21</f>
        <v>-0.4286</v>
      </c>
      <c r="AK21" s="21">
        <f>[2]底表!BX21</f>
        <v>0.5</v>
      </c>
      <c r="AL21" s="21">
        <f>[2]底表!BY21</f>
        <v>-0.3889</v>
      </c>
      <c r="AM21" s="21">
        <f>[2]底表!BZ21</f>
        <v>0</v>
      </c>
      <c r="AN21" s="21">
        <f>[2]底表!CA21</f>
        <v>0</v>
      </c>
      <c r="AO21" s="21" t="str">
        <f>[2]底表!CB21</f>
        <v>持平</v>
      </c>
      <c r="AP21" s="21">
        <f>[2]底表!CC21</f>
        <v>0</v>
      </c>
      <c r="AQ21" s="21" t="str">
        <f>[2]底表!CD21</f>
        <v>持平</v>
      </c>
      <c r="AR21" s="21" t="str">
        <f>[2]底表!CE21</f>
        <v/>
      </c>
      <c r="AS21" s="21" t="str">
        <f>[2]底表!CF21</f>
        <v/>
      </c>
      <c r="AT21" s="21">
        <f>[2]底表!CG21</f>
        <v>53</v>
      </c>
      <c r="AU21" s="21">
        <f>[2]底表!CH21</f>
        <v>15</v>
      </c>
      <c r="AV21" s="21">
        <f>[2]底表!CI21</f>
        <v>2.5333</v>
      </c>
      <c r="AW21" s="21">
        <f>[2]底表!CJ21</f>
        <v>68</v>
      </c>
      <c r="AX21" s="21">
        <f>[2]底表!CK21</f>
        <v>-0.2206</v>
      </c>
      <c r="AY21" s="21">
        <f>[2]底表!CL21</f>
        <v>252</v>
      </c>
      <c r="AZ21" s="21">
        <f>[2]底表!CM21</f>
        <v>127</v>
      </c>
      <c r="BA21" s="21">
        <f>[2]底表!CN21</f>
        <v>1.019</v>
      </c>
      <c r="BB21" s="21">
        <f>[2]底表!CO21</f>
        <v>33</v>
      </c>
      <c r="BC21" s="21">
        <f>[2]底表!CP21</f>
        <v>14</v>
      </c>
      <c r="BD21" s="21">
        <f>[2]底表!CQ21</f>
        <v>1.3571</v>
      </c>
      <c r="BE21" s="21">
        <f>[2]底表!CR21</f>
        <v>28</v>
      </c>
      <c r="BF21" s="21">
        <f>[2]底表!CS21</f>
        <v>0.1786</v>
      </c>
      <c r="BG21" s="21">
        <f>[2]底表!CT21</f>
        <v>0.6226</v>
      </c>
      <c r="BH21" s="21">
        <f>[2]底表!CU21</f>
        <v>-0.3107</v>
      </c>
      <c r="BI21" s="21">
        <f>[2]底表!CV21</f>
        <v>157</v>
      </c>
      <c r="BJ21" s="21">
        <f>[2]底表!CW21</f>
        <v>40</v>
      </c>
      <c r="BK21" s="21">
        <f>[2]底表!CX21</f>
        <v>0.3469</v>
      </c>
      <c r="BL21" s="21">
        <f>[2]底表!CY21</f>
        <v>33</v>
      </c>
      <c r="BM21" s="21">
        <f>[2]底表!CZ21</f>
        <v>15</v>
      </c>
      <c r="BN21" s="23">
        <f>[2]底表!DA21</f>
        <v>1.2</v>
      </c>
      <c r="BO21" s="21">
        <f>[2]底表!DB21</f>
        <v>30</v>
      </c>
      <c r="BP21" s="21">
        <f>[2]底表!DC21</f>
        <v>0.1</v>
      </c>
      <c r="BQ21" s="21">
        <f>[2]底表!DD21</f>
        <v>0.6226</v>
      </c>
      <c r="BR21" s="21">
        <f>[2]底表!DE21</f>
        <v>-0.3774</v>
      </c>
      <c r="BS21" s="21">
        <f>[2]底表!DF21</f>
        <v>157</v>
      </c>
      <c r="BT21" s="21">
        <f>[2]底表!DG21</f>
        <v>32</v>
      </c>
      <c r="BU21" s="21">
        <f>[2]底表!DH21</f>
        <v>0.2571</v>
      </c>
      <c r="BV21" s="21"/>
      <c r="BW21" s="21"/>
      <c r="BX21" s="23" t="e">
        <f t="shared" si="0"/>
        <v>#DIV/0!</v>
      </c>
      <c r="BY21" s="21">
        <f>[2]底表!DL21</f>
        <v>0</v>
      </c>
      <c r="BZ21" s="21" t="str">
        <f>[2]底表!DM21</f>
        <v>持平</v>
      </c>
      <c r="CA21" s="21">
        <f>[2]底表!DN21</f>
        <v>16</v>
      </c>
      <c r="CB21" s="21">
        <f>[2]底表!DO21</f>
        <v>6</v>
      </c>
      <c r="CC21" s="21">
        <f>[2]底表!DP21</f>
        <v>1.6667</v>
      </c>
      <c r="CD21" s="21">
        <f>[2]底表!DQ21</f>
        <v>14</v>
      </c>
      <c r="CE21" s="21">
        <f>[2]底表!DR21</f>
        <v>0.1429</v>
      </c>
      <c r="CF21" s="21">
        <f>[2]底表!DS21</f>
        <v>16</v>
      </c>
      <c r="CG21" s="21">
        <f>[2]底表!DT21</f>
        <v>6</v>
      </c>
      <c r="CH21" s="21">
        <f>[2]底表!DU21</f>
        <v>1.6667</v>
      </c>
      <c r="CI21" s="21">
        <f>[2]底表!DV21</f>
        <v>15</v>
      </c>
      <c r="CJ21" s="21">
        <f>[2]底表!DW21</f>
        <v>0.0667</v>
      </c>
      <c r="CK21" s="21">
        <f>[2]底表!DX21</f>
        <v>22</v>
      </c>
      <c r="CL21" s="21">
        <f>[2]底表!DY21</f>
        <v>13</v>
      </c>
      <c r="CM21" s="21">
        <f>[2]底表!DZ21</f>
        <v>0.6923</v>
      </c>
      <c r="CN21" s="21">
        <f>[2]底表!EA21</f>
        <v>12</v>
      </c>
      <c r="CO21" s="21">
        <f>[2]底表!EB21</f>
        <v>0.8333</v>
      </c>
      <c r="CP21" s="21">
        <f>[2]底表!EC21</f>
        <v>10</v>
      </c>
      <c r="CQ21" s="21">
        <f>[2]底表!ED21</f>
        <v>13</v>
      </c>
      <c r="CR21" s="21">
        <f>[2]底表!EE21</f>
        <v>-0.2308</v>
      </c>
      <c r="CS21" s="21">
        <f>[2]底表!EF21</f>
        <v>9</v>
      </c>
      <c r="CT21" s="21">
        <f>[2]底表!EG21</f>
        <v>0.1111</v>
      </c>
      <c r="CU21" s="21">
        <f>[2]底表!EH21</f>
        <v>0.303</v>
      </c>
      <c r="CV21" s="21">
        <f>[2]底表!EI21</f>
        <v>-0.6255</v>
      </c>
      <c r="CW21" s="21">
        <f>[2]底表!EJ21</f>
        <v>48</v>
      </c>
      <c r="CX21" s="21">
        <f>[2]底表!EK21</f>
        <v>-61</v>
      </c>
      <c r="CY21" s="21">
        <f>[2]底表!EL21</f>
        <v>-0.5604</v>
      </c>
      <c r="CZ21" s="21">
        <f>[2]底表!EM21</f>
        <v>10</v>
      </c>
      <c r="DA21" s="21">
        <f>[2]底表!EN21</f>
        <v>13</v>
      </c>
      <c r="DB21" s="21">
        <f>[2]底表!EO21</f>
        <v>-0.2308</v>
      </c>
      <c r="DC21" s="21">
        <f>[2]底表!EP21</f>
        <v>9</v>
      </c>
      <c r="DD21" s="21">
        <f>[2]底表!EQ21</f>
        <v>0.1111</v>
      </c>
      <c r="DE21" s="21">
        <f>[2]底表!ER21</f>
        <v>8</v>
      </c>
      <c r="DF21" s="21">
        <f>[2]底表!ES21</f>
        <v>11</v>
      </c>
      <c r="DG21" s="23">
        <f>[2]底表!ET21</f>
        <v>-0.2727</v>
      </c>
      <c r="DH21" s="21">
        <f>[2]底表!EU21</f>
        <v>20</v>
      </c>
      <c r="DI21" s="21">
        <f>[2]底表!EV21</f>
        <v>-0.6</v>
      </c>
      <c r="DJ21" s="21">
        <f>[2]底表!EW21</f>
        <v>0.2424</v>
      </c>
      <c r="DK21" s="21">
        <f>[2]底表!EX21</f>
        <v>-0.5433</v>
      </c>
      <c r="DL21" s="21">
        <f>[2]底表!EY21</f>
        <v>38</v>
      </c>
      <c r="DM21" s="21">
        <f>[2]底表!EZ21</f>
        <v>-54</v>
      </c>
      <c r="DN21" s="21">
        <f>[2]底表!FA21</f>
        <v>-0.5844</v>
      </c>
      <c r="DO21" s="21">
        <f>[2]底表!BQ21</f>
        <v>5</v>
      </c>
      <c r="DP21" s="21">
        <f>[2]底表!BR21</f>
        <v>8</v>
      </c>
      <c r="DQ21" s="24">
        <f>[2]底表!BS21</f>
        <v>-0.375</v>
      </c>
    </row>
    <row r="22" s="2" customFormat="1" ht="32" hidden="1" customHeight="1" spans="1:121">
      <c r="A22" s="27" t="str">
        <f>[2]底表!A22</f>
        <v>排除诈骗及关联犯罪</v>
      </c>
      <c r="B22" s="28" t="str">
        <f>[2]底表!B22</f>
        <v>新兴县</v>
      </c>
      <c r="C22" s="21">
        <f>[2]底表!AM22</f>
        <v>28</v>
      </c>
      <c r="D22" s="21">
        <f>[2]底表!AN22</f>
        <v>17</v>
      </c>
      <c r="E22" s="23">
        <f>[2]底表!AO22</f>
        <v>0.6471</v>
      </c>
      <c r="F22" s="21">
        <f>[2]底表!AP22</f>
        <v>34</v>
      </c>
      <c r="G22" s="21">
        <f>[2]底表!AQ22</f>
        <v>-0.1765</v>
      </c>
      <c r="H22" s="21">
        <f>[2]底表!AR22</f>
        <v>0.6829</v>
      </c>
      <c r="I22" s="21">
        <f>[2]底表!AS22</f>
        <v>0.0533</v>
      </c>
      <c r="J22" s="21">
        <f>[2]底表!AT22</f>
        <v>15</v>
      </c>
      <c r="K22" s="21">
        <f>[2]底表!AU22</f>
        <v>8</v>
      </c>
      <c r="L22" s="21">
        <f>[2]底表!AV22</f>
        <v>0.875</v>
      </c>
      <c r="M22" s="21">
        <f>[2]底表!AW22</f>
        <v>26</v>
      </c>
      <c r="N22" s="21">
        <f>[2]底表!AX22</f>
        <v>-0.4231</v>
      </c>
      <c r="O22" s="21">
        <f>[2]底表!AY22</f>
        <v>10</v>
      </c>
      <c r="P22" s="21">
        <f>[2]底表!AZ22</f>
        <v>6</v>
      </c>
      <c r="Q22" s="21">
        <f>[2]底表!BA22</f>
        <v>0.6667</v>
      </c>
      <c r="R22" s="21">
        <f>[2]底表!BB22</f>
        <v>31</v>
      </c>
      <c r="S22" s="21">
        <f>[2]底表!BC22</f>
        <v>-0.6774</v>
      </c>
      <c r="T22" s="21">
        <f>[2]底表!BD22</f>
        <v>0.6667</v>
      </c>
      <c r="U22" s="21">
        <f>[2]底表!BE22</f>
        <v>-0.0833</v>
      </c>
      <c r="V22" s="21">
        <f>[2]底表!BF22</f>
        <v>26</v>
      </c>
      <c r="W22" s="21">
        <f>[2]底表!BG22</f>
        <v>19</v>
      </c>
      <c r="X22" s="21">
        <f>[2]底表!BH22</f>
        <v>0.3684</v>
      </c>
      <c r="Y22" s="21">
        <f>[2]底表!BI22</f>
        <v>3</v>
      </c>
      <c r="Z22" s="21">
        <f>[2]底表!BJ22</f>
        <v>7.6667</v>
      </c>
      <c r="AA22" s="21">
        <f>[2]底表!BK22</f>
        <v>0.6341</v>
      </c>
      <c r="AB22" s="21">
        <f>[2]底表!BL22</f>
        <v>18</v>
      </c>
      <c r="AC22" s="21">
        <f>[2]底表!BM22</f>
        <v>11</v>
      </c>
      <c r="AD22" s="21">
        <f>[2]底表!BN22</f>
        <v>0.6364</v>
      </c>
      <c r="AE22" s="21">
        <f>[2]底表!BO22</f>
        <v>3</v>
      </c>
      <c r="AF22" s="21">
        <f>[2]底表!BP22</f>
        <v>5</v>
      </c>
      <c r="AG22" s="21">
        <f>[2]底表!BT22</f>
        <v>33</v>
      </c>
      <c r="AH22" s="21">
        <f>[2]底表!BU22</f>
        <v>-0.7273</v>
      </c>
      <c r="AI22" s="21">
        <f>[2]底表!BV22</f>
        <v>0.2195</v>
      </c>
      <c r="AJ22" s="21">
        <f>[2]底表!BW22</f>
        <v>-0.3731</v>
      </c>
      <c r="AK22" s="21">
        <f>[2]底表!BX22</f>
        <v>0.6</v>
      </c>
      <c r="AL22" s="21">
        <f>[2]底表!BY22</f>
        <v>-1.4</v>
      </c>
      <c r="AM22" s="21">
        <f>[2]底表!BZ22</f>
        <v>0</v>
      </c>
      <c r="AN22" s="21">
        <f>[2]底表!CA22</f>
        <v>0</v>
      </c>
      <c r="AO22" s="21" t="str">
        <f>[2]底表!CB22</f>
        <v>持平</v>
      </c>
      <c r="AP22" s="21">
        <f>[2]底表!CC22</f>
        <v>1</v>
      </c>
      <c r="AQ22" s="21" t="str">
        <f>[2]底表!CD22</f>
        <v>少1起</v>
      </c>
      <c r="AR22" s="21" t="str">
        <f>[2]底表!CE22</f>
        <v/>
      </c>
      <c r="AS22" s="21" t="str">
        <f>[2]底表!CF22</f>
        <v/>
      </c>
      <c r="AT22" s="21">
        <f>[2]底表!CG22</f>
        <v>44</v>
      </c>
      <c r="AU22" s="21">
        <f>[2]底表!CH22</f>
        <v>46</v>
      </c>
      <c r="AV22" s="21">
        <f>[2]底表!CI22</f>
        <v>-0.0435</v>
      </c>
      <c r="AW22" s="21">
        <f>[2]底表!CJ22</f>
        <v>23</v>
      </c>
      <c r="AX22" s="21">
        <f>[2]底表!CK22</f>
        <v>0.913</v>
      </c>
      <c r="AY22" s="21">
        <f>[2]底表!CL22</f>
        <v>107</v>
      </c>
      <c r="AZ22" s="21">
        <f>[2]底表!CM22</f>
        <v>-63</v>
      </c>
      <c r="BA22" s="21">
        <f>[2]底表!CN22</f>
        <v>-0.3701</v>
      </c>
      <c r="BB22" s="21">
        <f>[2]底表!CO22</f>
        <v>37</v>
      </c>
      <c r="BC22" s="21">
        <f>[2]底表!CP22</f>
        <v>27</v>
      </c>
      <c r="BD22" s="21">
        <f>[2]底表!CQ22</f>
        <v>0.3704</v>
      </c>
      <c r="BE22" s="21">
        <f>[2]底表!CR22</f>
        <v>25</v>
      </c>
      <c r="BF22" s="21">
        <f>[2]底表!CS22</f>
        <v>0.48</v>
      </c>
      <c r="BG22" s="21">
        <f>[2]底表!CT22</f>
        <v>0.8409</v>
      </c>
      <c r="BH22" s="21">
        <f>[2]底表!CU22</f>
        <v>0.254</v>
      </c>
      <c r="BI22" s="21">
        <f>[2]底表!CV22</f>
        <v>90</v>
      </c>
      <c r="BJ22" s="21">
        <f>[2]底表!CW22</f>
        <v>-10</v>
      </c>
      <c r="BK22" s="21">
        <f>[2]底表!CX22</f>
        <v>-0.0976</v>
      </c>
      <c r="BL22" s="21">
        <f>[2]底表!CY22</f>
        <v>43</v>
      </c>
      <c r="BM22" s="21">
        <f>[2]底表!CZ22</f>
        <v>30</v>
      </c>
      <c r="BN22" s="23">
        <f>[2]底表!DA22</f>
        <v>0.4333</v>
      </c>
      <c r="BO22" s="21">
        <f>[2]底表!DB22</f>
        <v>33</v>
      </c>
      <c r="BP22" s="21">
        <f>[2]底表!DC22</f>
        <v>0.303</v>
      </c>
      <c r="BQ22" s="21">
        <f>[2]底表!DD22</f>
        <v>0.9773</v>
      </c>
      <c r="BR22" s="21">
        <f>[2]底表!DE22</f>
        <v>0.3251</v>
      </c>
      <c r="BS22" s="21">
        <f>[2]底表!DF22</f>
        <v>105</v>
      </c>
      <c r="BT22" s="21">
        <f>[2]底表!DG22</f>
        <v>-6</v>
      </c>
      <c r="BU22" s="21">
        <f>[2]底表!DH22</f>
        <v>-0.0561</v>
      </c>
      <c r="BV22" s="21"/>
      <c r="BW22" s="21"/>
      <c r="BX22" s="23" t="e">
        <f t="shared" si="0"/>
        <v>#DIV/0!</v>
      </c>
      <c r="BY22" s="21">
        <f>[2]底表!DL22</f>
        <v>39</v>
      </c>
      <c r="BZ22" s="21">
        <f>[2]底表!DM22</f>
        <v>-0.1795</v>
      </c>
      <c r="CA22" s="21">
        <f>[2]底表!DN22</f>
        <v>22</v>
      </c>
      <c r="CB22" s="21">
        <f>[2]底表!DO22</f>
        <v>8</v>
      </c>
      <c r="CC22" s="21">
        <f>[2]底表!DP22</f>
        <v>1.75</v>
      </c>
      <c r="CD22" s="21">
        <f>[2]底表!DQ22</f>
        <v>18</v>
      </c>
      <c r="CE22" s="21">
        <f>[2]底表!DR22</f>
        <v>0.2222</v>
      </c>
      <c r="CF22" s="21">
        <f>[2]底表!DS22</f>
        <v>22</v>
      </c>
      <c r="CG22" s="21">
        <f>[2]底表!DT22</f>
        <v>8</v>
      </c>
      <c r="CH22" s="21">
        <f>[2]底表!DU22</f>
        <v>1.75</v>
      </c>
      <c r="CI22" s="21">
        <f>[2]底表!DV22</f>
        <v>18</v>
      </c>
      <c r="CJ22" s="21">
        <f>[2]底表!DW22</f>
        <v>0.2222</v>
      </c>
      <c r="CK22" s="21">
        <f>[2]底表!DX22</f>
        <v>28</v>
      </c>
      <c r="CL22" s="21">
        <f>[2]底表!DY22</f>
        <v>13</v>
      </c>
      <c r="CM22" s="21">
        <f>[2]底表!DZ22</f>
        <v>1.1538</v>
      </c>
      <c r="CN22" s="21">
        <f>[2]底表!EA22</f>
        <v>18</v>
      </c>
      <c r="CO22" s="21">
        <f>[2]底表!EB22</f>
        <v>0.5556</v>
      </c>
      <c r="CP22" s="21">
        <f>[2]底表!EC22</f>
        <v>12</v>
      </c>
      <c r="CQ22" s="21">
        <f>[2]底表!ED22</f>
        <v>6</v>
      </c>
      <c r="CR22" s="21">
        <f>[2]底表!EE22</f>
        <v>1</v>
      </c>
      <c r="CS22" s="21">
        <f>[2]底表!EF22</f>
        <v>10</v>
      </c>
      <c r="CT22" s="21">
        <f>[2]底表!EG22</f>
        <v>0.2</v>
      </c>
      <c r="CU22" s="21">
        <f>[2]底表!EH22</f>
        <v>0.3243</v>
      </c>
      <c r="CV22" s="21">
        <f>[2]底表!EI22</f>
        <v>0.1021</v>
      </c>
      <c r="CW22" s="21">
        <f>[2]底表!EJ22</f>
        <v>29</v>
      </c>
      <c r="CX22" s="21">
        <f>[2]底表!EK22</f>
        <v>7</v>
      </c>
      <c r="CY22" s="21">
        <f>[2]底表!EL22</f>
        <v>0.3171</v>
      </c>
      <c r="CZ22" s="21">
        <f>[2]底表!EM22</f>
        <v>12</v>
      </c>
      <c r="DA22" s="21">
        <f>[2]底表!EN22</f>
        <v>6</v>
      </c>
      <c r="DB22" s="21">
        <f>[2]底表!EO22</f>
        <v>1</v>
      </c>
      <c r="DC22" s="21">
        <f>[2]底表!EP22</f>
        <v>10</v>
      </c>
      <c r="DD22" s="21">
        <f>[2]底表!EQ22</f>
        <v>0.2</v>
      </c>
      <c r="DE22" s="21">
        <f>[2]底表!ER22</f>
        <v>15</v>
      </c>
      <c r="DF22" s="21">
        <f>[2]底表!ES22</f>
        <v>16</v>
      </c>
      <c r="DG22" s="23">
        <f>[2]底表!ET22</f>
        <v>-0.0625</v>
      </c>
      <c r="DH22" s="21">
        <f>[2]底表!EU22</f>
        <v>38</v>
      </c>
      <c r="DI22" s="21">
        <f>[2]底表!EV22</f>
        <v>-0.6053</v>
      </c>
      <c r="DJ22" s="21">
        <f>[2]底表!EW22</f>
        <v>0.4054</v>
      </c>
      <c r="DK22" s="21">
        <f>[2]底表!EX22</f>
        <v>-0.1872</v>
      </c>
      <c r="DL22" s="21">
        <f>[2]底表!EY22</f>
        <v>37</v>
      </c>
      <c r="DM22" s="21">
        <f>[2]底表!EZ22</f>
        <v>-23</v>
      </c>
      <c r="DN22" s="21">
        <f>[2]底表!FA22</f>
        <v>-0.3826</v>
      </c>
      <c r="DO22" s="21">
        <f>[2]底表!BQ22</f>
        <v>9</v>
      </c>
      <c r="DP22" s="21">
        <f>[2]底表!BR22</f>
        <v>16</v>
      </c>
      <c r="DQ22" s="24">
        <f>[2]底表!BS22</f>
        <v>-0.4375</v>
      </c>
    </row>
    <row r="23" s="2" customFormat="1" ht="32" hidden="1" customHeight="1" spans="1:121">
      <c r="A23" s="27" t="str">
        <f>[2]底表!A23</f>
        <v>排除诈骗及关联犯罪</v>
      </c>
      <c r="B23" s="28" t="str">
        <f>[2]底表!B23</f>
        <v>郁南县</v>
      </c>
      <c r="C23" s="21">
        <f>[2]底表!AM23</f>
        <v>32</v>
      </c>
      <c r="D23" s="21">
        <f>[2]底表!AN23</f>
        <v>6</v>
      </c>
      <c r="E23" s="23">
        <f>[2]底表!AO23</f>
        <v>4.3333</v>
      </c>
      <c r="F23" s="21">
        <f>[2]底表!AP23</f>
        <v>13</v>
      </c>
      <c r="G23" s="21">
        <f>[2]底表!AQ23</f>
        <v>1.4615</v>
      </c>
      <c r="H23" s="21">
        <f>[2]底表!AR23</f>
        <v>0.8649</v>
      </c>
      <c r="I23" s="21">
        <f>[2]底表!AS23</f>
        <v>0.4899</v>
      </c>
      <c r="J23" s="21">
        <f>[2]底表!AT23</f>
        <v>23</v>
      </c>
      <c r="K23" s="21">
        <f>[2]底表!AU23</f>
        <v>10</v>
      </c>
      <c r="L23" s="21">
        <f>[2]底表!AV23</f>
        <v>1.3</v>
      </c>
      <c r="M23" s="21">
        <f>[2]底表!AW23</f>
        <v>13</v>
      </c>
      <c r="N23" s="21">
        <f>[2]底表!AX23</f>
        <v>0.7692</v>
      </c>
      <c r="O23" s="21">
        <f>[2]底表!AY23</f>
        <v>22</v>
      </c>
      <c r="P23" s="21">
        <f>[2]底表!AZ23</f>
        <v>4</v>
      </c>
      <c r="Q23" s="21">
        <f>[2]底表!BA23</f>
        <v>4.5</v>
      </c>
      <c r="R23" s="21">
        <f>[2]底表!BB23</f>
        <v>13</v>
      </c>
      <c r="S23" s="21">
        <f>[2]底表!BC23</f>
        <v>0.6923</v>
      </c>
      <c r="T23" s="21">
        <f>[2]底表!BD23</f>
        <v>0.9565</v>
      </c>
      <c r="U23" s="21">
        <f>[2]底表!BE23</f>
        <v>0.5565</v>
      </c>
      <c r="V23" s="21">
        <f>[2]底表!BF23</f>
        <v>14</v>
      </c>
      <c r="W23" s="21">
        <f>[2]底表!BG23</f>
        <v>6</v>
      </c>
      <c r="X23" s="21">
        <f>[2]底表!BH23</f>
        <v>1.3333</v>
      </c>
      <c r="Y23" s="21">
        <f>[2]底表!BI23</f>
        <v>1</v>
      </c>
      <c r="Z23" s="21">
        <f>[2]底表!BJ23</f>
        <v>13</v>
      </c>
      <c r="AA23" s="21">
        <f>[2]底表!BK23</f>
        <v>0.3784</v>
      </c>
      <c r="AB23" s="21">
        <f>[2]底表!BL23</f>
        <v>10</v>
      </c>
      <c r="AC23" s="21">
        <f>[2]底表!BM23</f>
        <v>2</v>
      </c>
      <c r="AD23" s="21">
        <f>[2]底表!BN23</f>
        <v>4</v>
      </c>
      <c r="AE23" s="21">
        <f>[2]底表!BO23</f>
        <v>0</v>
      </c>
      <c r="AF23" s="21" t="str">
        <f>[2]底表!BP23</f>
        <v>多10起</v>
      </c>
      <c r="AG23" s="21">
        <f>[2]底表!BT23</f>
        <v>22</v>
      </c>
      <c r="AH23" s="21">
        <f>[2]底表!BU23</f>
        <v>-0.6818</v>
      </c>
      <c r="AI23" s="21">
        <f>[2]底表!BV23</f>
        <v>0.1892</v>
      </c>
      <c r="AJ23" s="21">
        <f>[2]底表!BW23</f>
        <v>-0.1233</v>
      </c>
      <c r="AK23" s="21">
        <f>[2]底表!BX23</f>
        <v>0.3043</v>
      </c>
      <c r="AL23" s="21">
        <f>[2]底表!BY23</f>
        <v>-0.1957</v>
      </c>
      <c r="AM23" s="21">
        <f>[2]底表!BZ23</f>
        <v>0</v>
      </c>
      <c r="AN23" s="21">
        <f>[2]底表!CA23</f>
        <v>0</v>
      </c>
      <c r="AO23" s="21" t="str">
        <f>[2]底表!CB23</f>
        <v>持平</v>
      </c>
      <c r="AP23" s="21">
        <f>[2]底表!CC23</f>
        <v>0</v>
      </c>
      <c r="AQ23" s="21" t="str">
        <f>[2]底表!CD23</f>
        <v>持平</v>
      </c>
      <c r="AR23" s="21" t="str">
        <f>[2]底表!CE23</f>
        <v/>
      </c>
      <c r="AS23" s="21" t="str">
        <f>[2]底表!CF23</f>
        <v/>
      </c>
      <c r="AT23" s="21">
        <f>[2]底表!CG23</f>
        <v>36</v>
      </c>
      <c r="AU23" s="21">
        <f>[2]底表!CH23</f>
        <v>16</v>
      </c>
      <c r="AV23" s="21">
        <f>[2]底表!CI23</f>
        <v>1.25</v>
      </c>
      <c r="AW23" s="21">
        <f>[2]底表!CJ23</f>
        <v>15</v>
      </c>
      <c r="AX23" s="21">
        <f>[2]底表!CK23</f>
        <v>1.4</v>
      </c>
      <c r="AY23" s="21">
        <f>[2]底表!CL23</f>
        <v>97</v>
      </c>
      <c r="AZ23" s="21">
        <f>[2]底表!CM23</f>
        <v>-3</v>
      </c>
      <c r="BA23" s="21">
        <f>[2]底表!CN23</f>
        <v>-0.027</v>
      </c>
      <c r="BB23" s="21">
        <f>[2]底表!CO23</f>
        <v>38</v>
      </c>
      <c r="BC23" s="21">
        <f>[2]底表!CP23</f>
        <v>7</v>
      </c>
      <c r="BD23" s="21">
        <f>[2]底表!CQ23</f>
        <v>4.4286</v>
      </c>
      <c r="BE23" s="21">
        <f>[2]底表!CR23</f>
        <v>15</v>
      </c>
      <c r="BF23" s="21">
        <f>[2]底表!CS23</f>
        <v>1.5333</v>
      </c>
      <c r="BG23" s="21">
        <f>[2]底表!CT23</f>
        <v>1.0556</v>
      </c>
      <c r="BH23" s="21">
        <f>[2]底表!CU23</f>
        <v>0.6181</v>
      </c>
      <c r="BI23" s="21">
        <f>[2]底表!CV23</f>
        <v>103</v>
      </c>
      <c r="BJ23" s="21">
        <f>[2]底表!CW23</f>
        <v>59</v>
      </c>
      <c r="BK23" s="21">
        <f>[2]底表!CX23</f>
        <v>1.3475</v>
      </c>
      <c r="BL23" s="21">
        <f>[2]底表!CY23</f>
        <v>42</v>
      </c>
      <c r="BM23" s="21">
        <f>[2]底表!CZ23</f>
        <v>7</v>
      </c>
      <c r="BN23" s="23">
        <f>[2]底表!DA23</f>
        <v>5</v>
      </c>
      <c r="BO23" s="21">
        <f>[2]底表!DB23</f>
        <v>16</v>
      </c>
      <c r="BP23" s="21">
        <f>[2]底表!DC23</f>
        <v>1.625</v>
      </c>
      <c r="BQ23" s="21">
        <f>[2]底表!DD23</f>
        <v>1.1667</v>
      </c>
      <c r="BR23" s="21">
        <f>[2]底表!DE23</f>
        <v>0.7292</v>
      </c>
      <c r="BS23" s="21">
        <f>[2]底表!DF23</f>
        <v>114</v>
      </c>
      <c r="BT23" s="21">
        <f>[2]底表!DG23</f>
        <v>70</v>
      </c>
      <c r="BU23" s="21">
        <f>[2]底表!DH23</f>
        <v>1.5946</v>
      </c>
      <c r="BV23" s="21"/>
      <c r="BW23" s="21"/>
      <c r="BX23" s="23" t="e">
        <f t="shared" si="0"/>
        <v>#DIV/0!</v>
      </c>
      <c r="BY23" s="21">
        <f>[2]底表!DL23</f>
        <v>22</v>
      </c>
      <c r="BZ23" s="21">
        <f>[2]底表!DM23</f>
        <v>0.5</v>
      </c>
      <c r="CA23" s="21">
        <f>[2]底表!DN23</f>
        <v>16</v>
      </c>
      <c r="CB23" s="21">
        <f>[2]底表!DO23</f>
        <v>10</v>
      </c>
      <c r="CC23" s="21">
        <f>[2]底表!DP23</f>
        <v>0.6</v>
      </c>
      <c r="CD23" s="21">
        <f>[2]底表!DQ23</f>
        <v>15</v>
      </c>
      <c r="CE23" s="21">
        <f>[2]底表!DR23</f>
        <v>0.0667</v>
      </c>
      <c r="CF23" s="21">
        <f>[2]底表!DS23</f>
        <v>16</v>
      </c>
      <c r="CG23" s="21">
        <f>[2]底表!DT23</f>
        <v>10</v>
      </c>
      <c r="CH23" s="21">
        <f>[2]底表!DU23</f>
        <v>0.6</v>
      </c>
      <c r="CI23" s="21">
        <f>[2]底表!DV23</f>
        <v>15</v>
      </c>
      <c r="CJ23" s="21">
        <f>[2]底表!DW23</f>
        <v>0.0667</v>
      </c>
      <c r="CK23" s="21">
        <f>[2]底表!DX23</f>
        <v>24</v>
      </c>
      <c r="CL23" s="21">
        <f>[2]底表!DY23</f>
        <v>5</v>
      </c>
      <c r="CM23" s="21">
        <f>[2]底表!DZ23</f>
        <v>3.8</v>
      </c>
      <c r="CN23" s="21">
        <f>[2]底表!EA23</f>
        <v>24</v>
      </c>
      <c r="CO23" s="21">
        <f>[2]底表!EB23</f>
        <v>0</v>
      </c>
      <c r="CP23" s="21">
        <f>[2]底表!EC23</f>
        <v>17</v>
      </c>
      <c r="CQ23" s="21">
        <f>[2]底表!ED23</f>
        <v>5</v>
      </c>
      <c r="CR23" s="21">
        <f>[2]底表!EE23</f>
        <v>2.4</v>
      </c>
      <c r="CS23" s="21">
        <f>[2]底表!EF23</f>
        <v>15</v>
      </c>
      <c r="CT23" s="21">
        <f>[2]底表!EG23</f>
        <v>0.1333</v>
      </c>
      <c r="CU23" s="21">
        <f>[2]底表!EH23</f>
        <v>0.4474</v>
      </c>
      <c r="CV23" s="21">
        <f>[2]底表!EI23</f>
        <v>-0.2669</v>
      </c>
      <c r="CW23" s="21">
        <f>[2]底表!EJ23</f>
        <v>46</v>
      </c>
      <c r="CX23" s="21">
        <f>[2]底表!EK23</f>
        <v>15</v>
      </c>
      <c r="CY23" s="21">
        <f>[2]底表!EL23</f>
        <v>0.4703</v>
      </c>
      <c r="CZ23" s="21">
        <f>[2]底表!EM23</f>
        <v>17</v>
      </c>
      <c r="DA23" s="21">
        <f>[2]底表!EN23</f>
        <v>5</v>
      </c>
      <c r="DB23" s="21">
        <f>[2]底表!EO23</f>
        <v>2.4</v>
      </c>
      <c r="DC23" s="21">
        <f>[2]底表!EP23</f>
        <v>15</v>
      </c>
      <c r="DD23" s="21">
        <f>[2]底表!EQ23</f>
        <v>0.1333</v>
      </c>
      <c r="DE23" s="21">
        <f>[2]底表!ER23</f>
        <v>16</v>
      </c>
      <c r="DF23" s="21">
        <f>[2]底表!ES23</f>
        <v>13</v>
      </c>
      <c r="DG23" s="23">
        <f>[2]底表!ET23</f>
        <v>0.2308</v>
      </c>
      <c r="DH23" s="21">
        <f>[2]底表!EU23</f>
        <v>39</v>
      </c>
      <c r="DI23" s="21">
        <f>[2]底表!EV23</f>
        <v>-0.5897</v>
      </c>
      <c r="DJ23" s="21">
        <f>[2]底表!EW23</f>
        <v>0.4211</v>
      </c>
      <c r="DK23" s="21">
        <f>[2]底表!EX23</f>
        <v>-1.4361</v>
      </c>
      <c r="DL23" s="21">
        <f>[2]底表!EY23</f>
        <v>43</v>
      </c>
      <c r="DM23" s="21">
        <f>[2]底表!EZ23</f>
        <v>-38</v>
      </c>
      <c r="DN23" s="21">
        <f>[2]底表!FA23</f>
        <v>-0.4678</v>
      </c>
      <c r="DO23" s="21">
        <f>[2]底表!BQ23</f>
        <v>7</v>
      </c>
      <c r="DP23" s="21">
        <f>[2]底表!BR23</f>
        <v>5</v>
      </c>
      <c r="DQ23" s="24">
        <f>[2]底表!BS23</f>
        <v>0.4</v>
      </c>
    </row>
    <row r="24" s="2" customFormat="1" ht="32" hidden="1" customHeight="1" spans="1:121">
      <c r="A24" s="27" t="str">
        <f>[2]底表!A24</f>
        <v>排除诈骗及关联犯罪</v>
      </c>
      <c r="B24" s="28" t="str">
        <f>[2]底表!B24</f>
        <v>罗定市</v>
      </c>
      <c r="C24" s="21">
        <f>[2]底表!AM24</f>
        <v>46</v>
      </c>
      <c r="D24" s="21">
        <f>[2]底表!AN24</f>
        <v>38</v>
      </c>
      <c r="E24" s="23">
        <f>[2]底表!AO24</f>
        <v>0.2105</v>
      </c>
      <c r="F24" s="21">
        <f>[2]底表!AP24</f>
        <v>54</v>
      </c>
      <c r="G24" s="21">
        <f>[2]底表!AQ24</f>
        <v>-0.1481</v>
      </c>
      <c r="H24" s="21">
        <f>[2]底表!AR24</f>
        <v>0.902</v>
      </c>
      <c r="I24" s="21">
        <f>[2]底表!AS24</f>
        <v>-0.0724</v>
      </c>
      <c r="J24" s="21">
        <f>[2]底表!AT24</f>
        <v>20</v>
      </c>
      <c r="K24" s="21">
        <f>[2]底表!AU24</f>
        <v>20</v>
      </c>
      <c r="L24" s="21">
        <f>[2]底表!AV24</f>
        <v>0</v>
      </c>
      <c r="M24" s="21">
        <f>[2]底表!AW24</f>
        <v>30</v>
      </c>
      <c r="N24" s="21">
        <f>[2]底表!AX24</f>
        <v>-0.3333</v>
      </c>
      <c r="O24" s="21">
        <f>[2]底表!AY24</f>
        <v>11</v>
      </c>
      <c r="P24" s="21">
        <f>[2]底表!AZ24</f>
        <v>12</v>
      </c>
      <c r="Q24" s="21">
        <f>[2]底表!BA24</f>
        <v>-0.0833</v>
      </c>
      <c r="R24" s="21">
        <f>[2]底表!BB24</f>
        <v>48</v>
      </c>
      <c r="S24" s="21">
        <f>[2]底表!BC24</f>
        <v>-0.7708</v>
      </c>
      <c r="T24" s="21">
        <f>[2]底表!BD24</f>
        <v>0.55</v>
      </c>
      <c r="U24" s="21">
        <f>[2]底表!BE24</f>
        <v>-0.05</v>
      </c>
      <c r="V24" s="21">
        <f>[2]底表!BF24</f>
        <v>31</v>
      </c>
      <c r="W24" s="21">
        <f>[2]底表!BG24</f>
        <v>19</v>
      </c>
      <c r="X24" s="21">
        <f>[2]底表!BH24</f>
        <v>0.6316</v>
      </c>
      <c r="Y24" s="21">
        <f>[2]底表!BI24</f>
        <v>2</v>
      </c>
      <c r="Z24" s="21">
        <f>[2]底表!BJ24</f>
        <v>14.5</v>
      </c>
      <c r="AA24" s="21">
        <f>[2]底表!BK24</f>
        <v>0.6078</v>
      </c>
      <c r="AB24" s="21">
        <f>[2]底表!BL24</f>
        <v>35</v>
      </c>
      <c r="AC24" s="21">
        <f>[2]底表!BM24</f>
        <v>26</v>
      </c>
      <c r="AD24" s="21">
        <f>[2]底表!BN24</f>
        <v>0.3462</v>
      </c>
      <c r="AE24" s="21">
        <f>[2]底表!BO24</f>
        <v>6</v>
      </c>
      <c r="AF24" s="21">
        <f>[2]底表!BP24</f>
        <v>4.8333</v>
      </c>
      <c r="AG24" s="21">
        <f>[2]底表!BT24</f>
        <v>46</v>
      </c>
      <c r="AH24" s="21">
        <f>[2]底表!BU24</f>
        <v>-0.5435</v>
      </c>
      <c r="AI24" s="21">
        <f>[2]底表!BV24</f>
        <v>0.4118</v>
      </c>
      <c r="AJ24" s="21">
        <f>[2]底表!BW24</f>
        <v>-0.178</v>
      </c>
      <c r="AK24" s="21">
        <f>[2]底表!BX24</f>
        <v>1.05</v>
      </c>
      <c r="AL24" s="21">
        <f>[2]底表!BY24</f>
        <v>-0.1</v>
      </c>
      <c r="AM24" s="21">
        <f>[2]底表!BZ24</f>
        <v>0</v>
      </c>
      <c r="AN24" s="21">
        <f>[2]底表!CA24</f>
        <v>0</v>
      </c>
      <c r="AO24" s="21" t="str">
        <f>[2]底表!CB24</f>
        <v>持平</v>
      </c>
      <c r="AP24" s="21">
        <f>[2]底表!CC24</f>
        <v>1</v>
      </c>
      <c r="AQ24" s="21" t="str">
        <f>[2]底表!CD24</f>
        <v>少1起</v>
      </c>
      <c r="AR24" s="21" t="str">
        <f>[2]底表!CE24</f>
        <v/>
      </c>
      <c r="AS24" s="21" t="str">
        <f>[2]底表!CF24</f>
        <v/>
      </c>
      <c r="AT24" s="21">
        <f>[2]底表!CG24</f>
        <v>63</v>
      </c>
      <c r="AU24" s="21">
        <f>[2]底表!CH24</f>
        <v>50</v>
      </c>
      <c r="AV24" s="21">
        <f>[2]底表!CI24</f>
        <v>0.26</v>
      </c>
      <c r="AW24" s="21">
        <f>[2]底表!CJ24</f>
        <v>61</v>
      </c>
      <c r="AX24" s="21">
        <f>[2]底表!CK24</f>
        <v>0.0328</v>
      </c>
      <c r="AY24" s="21">
        <f>[2]底表!CL24</f>
        <v>124</v>
      </c>
      <c r="AZ24" s="21">
        <f>[2]底表!CM24</f>
        <v>-5</v>
      </c>
      <c r="BA24" s="21">
        <f>[2]底表!CN24</f>
        <v>-0.0365</v>
      </c>
      <c r="BB24" s="21">
        <f>[2]底表!CO24</f>
        <v>53</v>
      </c>
      <c r="BC24" s="21">
        <f>[2]底表!CP24</f>
        <v>40</v>
      </c>
      <c r="BD24" s="21">
        <f>[2]底表!CQ24</f>
        <v>0.325</v>
      </c>
      <c r="BE24" s="21">
        <f>[2]底表!CR24</f>
        <v>34</v>
      </c>
      <c r="BF24" s="21">
        <f>[2]底表!CS24</f>
        <v>0.5588</v>
      </c>
      <c r="BG24" s="21">
        <f>[2]底表!CT24</f>
        <v>0.8413</v>
      </c>
      <c r="BH24" s="21">
        <f>[2]底表!CU24</f>
        <v>0.0413</v>
      </c>
      <c r="BI24" s="21">
        <f>[2]底表!CV24</f>
        <v>104</v>
      </c>
      <c r="BJ24" s="21">
        <f>[2]底表!CW24</f>
        <v>1</v>
      </c>
      <c r="BK24" s="21">
        <f>[2]底表!CX24</f>
        <v>0.0132</v>
      </c>
      <c r="BL24" s="21">
        <f>[2]底表!CY24</f>
        <v>56</v>
      </c>
      <c r="BM24" s="21">
        <f>[2]底表!CZ24</f>
        <v>49</v>
      </c>
      <c r="BN24" s="23">
        <f>[2]底表!DA24</f>
        <v>0.1429</v>
      </c>
      <c r="BO24" s="21">
        <f>[2]底表!DB24</f>
        <v>40</v>
      </c>
      <c r="BP24" s="21">
        <f>[2]底表!DC24</f>
        <v>0.4</v>
      </c>
      <c r="BQ24" s="21">
        <f>[2]底表!DD24</f>
        <v>0.8889</v>
      </c>
      <c r="BR24" s="21">
        <f>[2]底表!DE24</f>
        <v>-0.0911</v>
      </c>
      <c r="BS24" s="21">
        <f>[2]底表!DF24</f>
        <v>110</v>
      </c>
      <c r="BT24" s="21">
        <f>[2]底表!DG24</f>
        <v>-16</v>
      </c>
      <c r="BU24" s="21">
        <f>[2]底表!DH24</f>
        <v>-0.1261</v>
      </c>
      <c r="BV24" s="21"/>
      <c r="BW24" s="21"/>
      <c r="BX24" s="23" t="e">
        <f t="shared" si="0"/>
        <v>#DIV/0!</v>
      </c>
      <c r="BY24" s="21">
        <f>[2]底表!DL24</f>
        <v>63</v>
      </c>
      <c r="BZ24" s="21">
        <f>[2]底表!DM24</f>
        <v>-0.1587</v>
      </c>
      <c r="CA24" s="21">
        <f>[2]底表!DN24</f>
        <v>17</v>
      </c>
      <c r="CB24" s="21">
        <f>[2]底表!DO24</f>
        <v>32</v>
      </c>
      <c r="CC24" s="21">
        <f>[2]底表!DP24</f>
        <v>-0.4688</v>
      </c>
      <c r="CD24" s="21">
        <f>[2]底表!DQ24</f>
        <v>41</v>
      </c>
      <c r="CE24" s="21">
        <f>[2]底表!DR24</f>
        <v>-0.5854</v>
      </c>
      <c r="CF24" s="21">
        <f>[2]底表!DS24</f>
        <v>17</v>
      </c>
      <c r="CG24" s="21">
        <f>[2]底表!DT24</f>
        <v>32</v>
      </c>
      <c r="CH24" s="21">
        <f>[2]底表!DU24</f>
        <v>-0.4688</v>
      </c>
      <c r="CI24" s="21">
        <f>[2]底表!DV24</f>
        <v>41</v>
      </c>
      <c r="CJ24" s="21">
        <f>[2]底表!DW24</f>
        <v>-0.5854</v>
      </c>
      <c r="CK24" s="21">
        <f>[2]底表!DX24</f>
        <v>44</v>
      </c>
      <c r="CL24" s="21">
        <f>[2]底表!DY24</f>
        <v>32</v>
      </c>
      <c r="CM24" s="21">
        <f>[2]底表!DZ24</f>
        <v>0.375</v>
      </c>
      <c r="CN24" s="21">
        <f>[2]底表!EA24</f>
        <v>53</v>
      </c>
      <c r="CO24" s="21">
        <f>[2]底表!EB24</f>
        <v>-0.1698</v>
      </c>
      <c r="CP24" s="21">
        <f>[2]底表!EC24</f>
        <v>32</v>
      </c>
      <c r="CQ24" s="21">
        <f>[2]底表!ED24</f>
        <v>18</v>
      </c>
      <c r="CR24" s="21">
        <f>[2]底表!EE24</f>
        <v>0.7778</v>
      </c>
      <c r="CS24" s="21">
        <f>[2]底表!EF24</f>
        <v>44</v>
      </c>
      <c r="CT24" s="21">
        <f>[2]底表!EG24</f>
        <v>-0.2727</v>
      </c>
      <c r="CU24" s="21">
        <f>[2]底表!EH24</f>
        <v>0.6038</v>
      </c>
      <c r="CV24" s="21">
        <f>[2]底表!EI24</f>
        <v>0.1538</v>
      </c>
      <c r="CW24" s="21">
        <f>[2]底表!EJ24</f>
        <v>63</v>
      </c>
      <c r="CX24" s="21">
        <f>[2]底表!EK24</f>
        <v>17</v>
      </c>
      <c r="CY24" s="21">
        <f>[2]底表!EL24</f>
        <v>0.3595</v>
      </c>
      <c r="CZ24" s="21">
        <f>[2]底表!EM24</f>
        <v>32</v>
      </c>
      <c r="DA24" s="21">
        <f>[2]底表!EN24</f>
        <v>18</v>
      </c>
      <c r="DB24" s="21">
        <f>[2]底表!EO24</f>
        <v>0.7778</v>
      </c>
      <c r="DC24" s="21">
        <f>[2]底表!EP24</f>
        <v>45</v>
      </c>
      <c r="DD24" s="21">
        <f>[2]底表!EQ24</f>
        <v>-0.2889</v>
      </c>
      <c r="DE24" s="21">
        <f>[2]底表!ER24</f>
        <v>38</v>
      </c>
      <c r="DF24" s="21">
        <f>[2]底表!ES24</f>
        <v>25</v>
      </c>
      <c r="DG24" s="23">
        <f>[2]底表!ET24</f>
        <v>0.52</v>
      </c>
      <c r="DH24" s="21">
        <f>[2]底表!EU24</f>
        <v>64</v>
      </c>
      <c r="DI24" s="21">
        <f>[2]底表!EV24</f>
        <v>-0.4063</v>
      </c>
      <c r="DJ24" s="21">
        <f>[2]底表!EW24</f>
        <v>0.717</v>
      </c>
      <c r="DK24" s="21">
        <f>[2]底表!EX24</f>
        <v>0.092</v>
      </c>
      <c r="DL24" s="21">
        <f>[2]底表!EY24</f>
        <v>75</v>
      </c>
      <c r="DM24" s="21">
        <f>[2]底表!EZ24</f>
        <v>10</v>
      </c>
      <c r="DN24" s="21">
        <f>[2]底表!FA24</f>
        <v>0.1624</v>
      </c>
      <c r="DO24" s="21">
        <f>[2]底表!BQ24</f>
        <v>21</v>
      </c>
      <c r="DP24" s="21">
        <f>[2]底表!BR24</f>
        <v>23</v>
      </c>
      <c r="DQ24" s="24">
        <f>[2]底表!BS24</f>
        <v>-0.087</v>
      </c>
    </row>
    <row r="25" s="2" customFormat="1" ht="32" hidden="1" customHeight="1" spans="1:121">
      <c r="A25" s="27" t="str">
        <f>[2]底表!A25</f>
        <v>盗窃</v>
      </c>
      <c r="B25" s="28" t="str">
        <f>[2]底表!B25</f>
        <v>全省</v>
      </c>
      <c r="C25" s="21">
        <f>[2]底表!AM25</f>
        <v>3475</v>
      </c>
      <c r="D25" s="21">
        <f>[2]底表!AN25</f>
        <v>2322</v>
      </c>
      <c r="E25" s="23">
        <f>[2]底表!AO25</f>
        <v>0.4966</v>
      </c>
      <c r="F25" s="21">
        <f>[2]底表!AP25</f>
        <v>5098</v>
      </c>
      <c r="G25" s="21">
        <f>[2]底表!AQ25</f>
        <v>-0.3184</v>
      </c>
      <c r="H25" s="21">
        <f>[2]底表!AR25</f>
        <v>0.7647</v>
      </c>
      <c r="I25" s="21">
        <f>[2]底表!AS25</f>
        <v>0.2132</v>
      </c>
      <c r="J25" s="21">
        <f>[2]底表!AT25</f>
        <v>2813</v>
      </c>
      <c r="K25" s="21">
        <f>[2]底表!AU25</f>
        <v>2265</v>
      </c>
      <c r="L25" s="21">
        <f>[2]底表!AV25</f>
        <v>0.2419</v>
      </c>
      <c r="M25" s="21">
        <f>[2]底表!AW25</f>
        <v>4303</v>
      </c>
      <c r="N25" s="21">
        <f>[2]底表!AX25</f>
        <v>-0.3463</v>
      </c>
      <c r="O25" s="21">
        <f>[2]底表!AY25</f>
        <v>2206</v>
      </c>
      <c r="P25" s="21">
        <f>[2]底表!AZ25</f>
        <v>1395</v>
      </c>
      <c r="Q25" s="21">
        <f>[2]底表!BA25</f>
        <v>0.5814</v>
      </c>
      <c r="R25" s="21">
        <f>[2]底表!BB25</f>
        <v>4371</v>
      </c>
      <c r="S25" s="21">
        <f>[2]底表!BC25</f>
        <v>-0.4953</v>
      </c>
      <c r="T25" s="21">
        <f>[2]底表!BD25</f>
        <v>0.7842</v>
      </c>
      <c r="U25" s="21">
        <f>[2]底表!BE25</f>
        <v>0.1683</v>
      </c>
      <c r="V25" s="21">
        <f>[2]底表!BF25</f>
        <v>1731</v>
      </c>
      <c r="W25" s="21">
        <f>[2]底表!BG25</f>
        <v>1945</v>
      </c>
      <c r="X25" s="21">
        <f>[2]底表!BH25</f>
        <v>-0.11</v>
      </c>
      <c r="Y25" s="21">
        <f>[2]底表!BI25</f>
        <v>108</v>
      </c>
      <c r="Z25" s="21">
        <f>[2]底表!BJ25</f>
        <v>15.0278</v>
      </c>
      <c r="AA25" s="21">
        <f>[2]底表!BK25</f>
        <v>0.3809</v>
      </c>
      <c r="AB25" s="21">
        <f>[2]底表!BL25</f>
        <v>1269</v>
      </c>
      <c r="AC25" s="21">
        <f>[2]底表!BM25</f>
        <v>927</v>
      </c>
      <c r="AD25" s="21">
        <f>[2]底表!BN25</f>
        <v>0.3689</v>
      </c>
      <c r="AE25" s="21">
        <f>[2]底表!BO25</f>
        <v>727</v>
      </c>
      <c r="AF25" s="21">
        <f>[2]底表!BP25</f>
        <v>0.7455</v>
      </c>
      <c r="AG25" s="21">
        <f>[2]底表!BT25</f>
        <v>2681</v>
      </c>
      <c r="AH25" s="21">
        <f>[2]底表!BU25</f>
        <v>-0.3778</v>
      </c>
      <c r="AI25" s="21">
        <f>[2]底表!BV25</f>
        <v>0.3671</v>
      </c>
      <c r="AJ25" s="21">
        <f>[2]底表!BW25</f>
        <v>0.1015</v>
      </c>
      <c r="AK25" s="21">
        <f>[2]底表!BX25</f>
        <v>0.593</v>
      </c>
      <c r="AL25" s="21">
        <f>[2]底表!BY25</f>
        <v>0.0994</v>
      </c>
      <c r="AM25" s="21">
        <f>[2]底表!BZ25</f>
        <v>20</v>
      </c>
      <c r="AN25" s="21">
        <f>[2]底表!CA25</f>
        <v>31</v>
      </c>
      <c r="AO25" s="21">
        <f>[2]底表!CB25</f>
        <v>-0.3548</v>
      </c>
      <c r="AP25" s="21">
        <f>[2]底表!CC25</f>
        <v>172</v>
      </c>
      <c r="AQ25" s="21">
        <f>[2]底表!CD25</f>
        <v>-0.8837</v>
      </c>
      <c r="AR25" s="21" t="str">
        <f>[2]底表!CE25</f>
        <v/>
      </c>
      <c r="AS25" s="21" t="str">
        <f>[2]底表!CF25</f>
        <v/>
      </c>
      <c r="AT25" s="21">
        <f>[2]底表!CG25</f>
        <v>4152</v>
      </c>
      <c r="AU25" s="21">
        <f>[2]底表!CH25</f>
        <v>3165</v>
      </c>
      <c r="AV25" s="21">
        <f>[2]底表!CI25</f>
        <v>0.3118</v>
      </c>
      <c r="AW25" s="21">
        <f>[2]底表!CJ25</f>
        <v>4301</v>
      </c>
      <c r="AX25" s="21">
        <f>[2]底表!CK25</f>
        <v>-0.0346</v>
      </c>
      <c r="AY25" s="21">
        <f>[2]底表!CL25</f>
        <v>91</v>
      </c>
      <c r="AZ25" s="21">
        <f>[2]底表!CM25</f>
        <v>16</v>
      </c>
      <c r="BA25" s="21">
        <f>[2]底表!CN25</f>
        <v>0.2154</v>
      </c>
      <c r="BB25" s="21">
        <f>[2]底表!CO25</f>
        <v>3607</v>
      </c>
      <c r="BC25" s="21">
        <f>[2]底表!CP25</f>
        <v>1922</v>
      </c>
      <c r="BD25" s="21">
        <f>[2]底表!CQ25</f>
        <v>0.8767</v>
      </c>
      <c r="BE25" s="21">
        <f>[2]底表!CR25</f>
        <v>3352</v>
      </c>
      <c r="BF25" s="21">
        <f>[2]底表!CS25</f>
        <v>0.0761</v>
      </c>
      <c r="BG25" s="21">
        <f>[2]底表!CT25</f>
        <v>0.8687</v>
      </c>
      <c r="BH25" s="21">
        <f>[2]底表!CU25</f>
        <v>0.2615</v>
      </c>
      <c r="BI25" s="21">
        <f>[2]底表!CV25</f>
        <v>79</v>
      </c>
      <c r="BJ25" s="21">
        <f>[2]底表!CW25</f>
        <v>34</v>
      </c>
      <c r="BK25" s="21">
        <f>[2]底表!CX25</f>
        <v>0.7387</v>
      </c>
      <c r="BL25" s="21">
        <f>[2]底表!CY25</f>
        <v>4132</v>
      </c>
      <c r="BM25" s="21">
        <f>[2]底表!CZ25</f>
        <v>2452</v>
      </c>
      <c r="BN25" s="23">
        <f>[2]底表!DA25</f>
        <v>0.6852</v>
      </c>
      <c r="BO25" s="21">
        <f>[2]底表!DB25</f>
        <v>3850</v>
      </c>
      <c r="BP25" s="21">
        <f>[2]底表!DC25</f>
        <v>0.0732</v>
      </c>
      <c r="BQ25" s="21">
        <f>[2]底表!DD25</f>
        <v>0.9952</v>
      </c>
      <c r="BR25" s="21">
        <f>[2]底表!DE25</f>
        <v>0.2205</v>
      </c>
      <c r="BS25" s="21">
        <f>[2]底表!DF25</f>
        <v>91</v>
      </c>
      <c r="BT25" s="21">
        <f>[2]底表!DG25</f>
        <v>33</v>
      </c>
      <c r="BU25" s="21">
        <f>[2]底表!DH25</f>
        <v>0.5613</v>
      </c>
      <c r="BV25" s="21">
        <f>[2]底表!DI25</f>
        <v>3863</v>
      </c>
      <c r="BW25" s="21">
        <f>[2]底表!DJ25</f>
        <v>2472</v>
      </c>
      <c r="BX25" s="23">
        <f>[2]底表!DK25</f>
        <v>0.5627</v>
      </c>
      <c r="BY25" s="21">
        <f>[2]底表!DL25</f>
        <v>3765</v>
      </c>
      <c r="BZ25" s="21">
        <f>[2]底表!DM25</f>
        <v>0.026</v>
      </c>
      <c r="CA25" s="21">
        <f>[2]底表!DN25</f>
        <v>2171</v>
      </c>
      <c r="CB25" s="21">
        <f>[2]底表!DO25</f>
        <v>1634</v>
      </c>
      <c r="CC25" s="21">
        <f>[2]底表!DP25</f>
        <v>0.3286</v>
      </c>
      <c r="CD25" s="21">
        <f>[2]底表!DQ25</f>
        <v>2098</v>
      </c>
      <c r="CE25" s="21">
        <f>[2]底表!DR25</f>
        <v>0.0348</v>
      </c>
      <c r="CF25" s="21">
        <f>[2]底表!DS25</f>
        <v>2179</v>
      </c>
      <c r="CG25" s="21">
        <f>[2]底表!DT25</f>
        <v>1635</v>
      </c>
      <c r="CH25" s="21">
        <f>[2]底表!DU25</f>
        <v>0.3327</v>
      </c>
      <c r="CI25" s="21">
        <f>[2]底表!DV25</f>
        <v>2109</v>
      </c>
      <c r="CJ25" s="21">
        <f>[2]底表!DW25</f>
        <v>0.0332</v>
      </c>
      <c r="CK25" s="21">
        <f>[2]底表!DX25</f>
        <v>2497</v>
      </c>
      <c r="CL25" s="21">
        <f>[2]底表!DY25</f>
        <v>1953</v>
      </c>
      <c r="CM25" s="21">
        <f>[2]底表!DZ25</f>
        <v>0.2785</v>
      </c>
      <c r="CN25" s="21">
        <f>[2]底表!EA25</f>
        <v>2515</v>
      </c>
      <c r="CO25" s="21">
        <f>[2]底表!EB25</f>
        <v>-0.0072</v>
      </c>
      <c r="CP25" s="21">
        <f>[2]底表!EC25</f>
        <v>1219</v>
      </c>
      <c r="CQ25" s="21">
        <f>[2]底表!ED25</f>
        <v>1345</v>
      </c>
      <c r="CR25" s="21">
        <f>[2]底表!EE25</f>
        <v>-0.0937</v>
      </c>
      <c r="CS25" s="21">
        <f>[2]底表!EF25</f>
        <v>1613</v>
      </c>
      <c r="CT25" s="21">
        <f>[2]底表!EG25</f>
        <v>-0.2443</v>
      </c>
      <c r="CU25" s="21">
        <f>[2]底表!EH25</f>
        <v>0.338</v>
      </c>
      <c r="CV25" s="21">
        <f>[2]底表!EI25</f>
        <v>-0.3618</v>
      </c>
      <c r="CW25" s="21">
        <f>[2]底表!EJ25</f>
        <v>27</v>
      </c>
      <c r="CX25" s="21">
        <f>[2]底表!EK25</f>
        <v>-5</v>
      </c>
      <c r="CY25" s="21">
        <f>[2]底表!EL25</f>
        <v>-0.1603</v>
      </c>
      <c r="CZ25" s="21">
        <f>[2]底表!EM25</f>
        <v>1262</v>
      </c>
      <c r="DA25" s="21">
        <f>[2]底表!EN25</f>
        <v>1362</v>
      </c>
      <c r="DB25" s="21">
        <f>[2]底表!EO25</f>
        <v>-0.0734</v>
      </c>
      <c r="DC25" s="21">
        <f>[2]底表!EP25</f>
        <v>1642</v>
      </c>
      <c r="DD25" s="21">
        <f>[2]底表!EQ25</f>
        <v>-0.2314</v>
      </c>
      <c r="DE25" s="21">
        <f>[2]底表!ER25</f>
        <v>2006</v>
      </c>
      <c r="DF25" s="21">
        <f>[2]底表!ES25</f>
        <v>1338</v>
      </c>
      <c r="DG25" s="23">
        <f>[2]底表!ET25</f>
        <v>0.4993</v>
      </c>
      <c r="DH25" s="21">
        <f>[2]底表!EU25</f>
        <v>3170</v>
      </c>
      <c r="DI25" s="21">
        <f>[2]底表!EV25</f>
        <v>-0.3672</v>
      </c>
      <c r="DJ25" s="21">
        <f>[2]底表!EW25</f>
        <v>0.5561</v>
      </c>
      <c r="DK25" s="21">
        <f>[2]底表!EX25</f>
        <v>-0.14</v>
      </c>
      <c r="DL25" s="21">
        <f>[2]底表!EY25</f>
        <v>44</v>
      </c>
      <c r="DM25" s="21">
        <f>[2]底表!EZ25</f>
        <v>12</v>
      </c>
      <c r="DN25" s="21">
        <f>[2]底表!FA25</f>
        <v>0.3891</v>
      </c>
      <c r="DO25" s="21">
        <f>[2]底表!BQ25</f>
        <v>1668</v>
      </c>
      <c r="DP25" s="21">
        <f>[2]底表!BR25</f>
        <v>1118</v>
      </c>
      <c r="DQ25" s="24">
        <f>[2]底表!BS25</f>
        <v>0.4919</v>
      </c>
    </row>
    <row r="26" s="2" customFormat="1" ht="32" hidden="1" customHeight="1" spans="1:121">
      <c r="A26" s="27" t="str">
        <f>[2]底表!A26</f>
        <v>盗窃</v>
      </c>
      <c r="B26" s="28" t="str">
        <f>[2]底表!B26</f>
        <v>云浮</v>
      </c>
      <c r="C26" s="21">
        <f>[2]底表!AM26</f>
        <v>25</v>
      </c>
      <c r="D26" s="21">
        <f>[2]底表!AN26</f>
        <v>12</v>
      </c>
      <c r="E26" s="23">
        <f>[2]底表!AO26</f>
        <v>1.0833</v>
      </c>
      <c r="F26" s="21">
        <f>[2]底表!AP26</f>
        <v>20</v>
      </c>
      <c r="G26" s="21">
        <f>[2]底表!AQ26</f>
        <v>0.25</v>
      </c>
      <c r="H26" s="21">
        <f>[2]底表!AR26</f>
        <v>0.6579</v>
      </c>
      <c r="I26" s="21">
        <f>[2]底表!AS26</f>
        <v>0.0865</v>
      </c>
      <c r="J26" s="21">
        <f>[2]底表!AT26</f>
        <v>17</v>
      </c>
      <c r="K26" s="21">
        <f>[2]底表!AU26</f>
        <v>13</v>
      </c>
      <c r="L26" s="21">
        <f>[2]底表!AV26</f>
        <v>0.3077</v>
      </c>
      <c r="M26" s="21">
        <f>[2]底表!AW26</f>
        <v>19</v>
      </c>
      <c r="N26" s="21">
        <f>[2]底表!AX26</f>
        <v>-0.1053</v>
      </c>
      <c r="O26" s="21">
        <f>[2]底表!AY26</f>
        <v>13</v>
      </c>
      <c r="P26" s="21">
        <f>[2]底表!AZ26</f>
        <v>7</v>
      </c>
      <c r="Q26" s="21">
        <f>[2]底表!BA26</f>
        <v>0.8571</v>
      </c>
      <c r="R26" s="21">
        <f>[2]底表!BB26</f>
        <v>20</v>
      </c>
      <c r="S26" s="21">
        <f>[2]底表!BC26</f>
        <v>-0.35</v>
      </c>
      <c r="T26" s="21">
        <f>[2]底表!BD26</f>
        <v>0.7647</v>
      </c>
      <c r="U26" s="21">
        <f>[2]底表!BE26</f>
        <v>0.2262</v>
      </c>
      <c r="V26" s="21">
        <f>[2]底表!BF26</f>
        <v>21</v>
      </c>
      <c r="W26" s="21">
        <f>[2]底表!BG26</f>
        <v>8</v>
      </c>
      <c r="X26" s="21">
        <f>[2]底表!BH26</f>
        <v>1.625</v>
      </c>
      <c r="Y26" s="21">
        <f>[2]底表!BI26</f>
        <v>0</v>
      </c>
      <c r="Z26" s="21" t="str">
        <f>[2]底表!BJ26</f>
        <v>多21起</v>
      </c>
      <c r="AA26" s="21">
        <f>[2]底表!BK26</f>
        <v>0.5526</v>
      </c>
      <c r="AB26" s="21">
        <f>[2]底表!BL26</f>
        <v>12</v>
      </c>
      <c r="AC26" s="21">
        <f>[2]底表!BM26</f>
        <v>5</v>
      </c>
      <c r="AD26" s="21">
        <f>[2]底表!BN26</f>
        <v>1.4</v>
      </c>
      <c r="AE26" s="21">
        <f>[2]底表!BO26</f>
        <v>0</v>
      </c>
      <c r="AF26" s="21" t="str">
        <f>[2]底表!BP26</f>
        <v>多12起</v>
      </c>
      <c r="AG26" s="21">
        <f>[2]底表!BT26</f>
        <v>27</v>
      </c>
      <c r="AH26" s="21">
        <f>[2]底表!BU26</f>
        <v>-0.8519</v>
      </c>
      <c r="AI26" s="21">
        <f>[2]底表!BV26</f>
        <v>0.1053</v>
      </c>
      <c r="AJ26" s="21">
        <f>[2]底表!BW26</f>
        <v>-0.4662</v>
      </c>
      <c r="AK26" s="21">
        <f>[2]底表!BX26</f>
        <v>0.2353</v>
      </c>
      <c r="AL26" s="21">
        <f>[2]底表!BY26</f>
        <v>-0.6878</v>
      </c>
      <c r="AM26" s="21">
        <f>[2]底表!BZ26</f>
        <v>0</v>
      </c>
      <c r="AN26" s="21">
        <f>[2]底表!CA26</f>
        <v>0</v>
      </c>
      <c r="AO26" s="21" t="str">
        <f>[2]底表!CB26</f>
        <v>持平</v>
      </c>
      <c r="AP26" s="21">
        <f>[2]底表!CC26</f>
        <v>0</v>
      </c>
      <c r="AQ26" s="21" t="str">
        <f>[2]底表!CD26</f>
        <v>持平</v>
      </c>
      <c r="AR26" s="21" t="str">
        <f>[2]底表!CE26</f>
        <v/>
      </c>
      <c r="AS26" s="21" t="str">
        <f>[2]底表!CF26</f>
        <v/>
      </c>
      <c r="AT26" s="21">
        <f>[2]底表!CG26</f>
        <v>23</v>
      </c>
      <c r="AU26" s="21">
        <f>[2]底表!CH26</f>
        <v>22</v>
      </c>
      <c r="AV26" s="21">
        <f>[2]底表!CI26</f>
        <v>0.0455</v>
      </c>
      <c r="AW26" s="21">
        <f>[2]底表!CJ26</f>
        <v>22</v>
      </c>
      <c r="AX26" s="21">
        <f>[2]底表!CK26</f>
        <v>0.0455</v>
      </c>
      <c r="AY26" s="21">
        <f>[2]底表!CL26</f>
        <v>61</v>
      </c>
      <c r="AZ26" s="21">
        <f>[2]底表!CM26</f>
        <v>-44</v>
      </c>
      <c r="BA26" s="21">
        <f>[2]底表!CN26</f>
        <v>-0.4222</v>
      </c>
      <c r="BB26" s="21">
        <f>[2]底表!CO26</f>
        <v>25</v>
      </c>
      <c r="BC26" s="21">
        <f>[2]底表!CP26</f>
        <v>19</v>
      </c>
      <c r="BD26" s="21">
        <f>[2]底表!CQ26</f>
        <v>0.3158</v>
      </c>
      <c r="BE26" s="21">
        <f>[2]底表!CR26</f>
        <v>29</v>
      </c>
      <c r="BF26" s="21">
        <f>[2]底表!CS26</f>
        <v>-0.1379</v>
      </c>
      <c r="BG26" s="21">
        <f>[2]底表!CT26</f>
        <v>1.087</v>
      </c>
      <c r="BH26" s="21">
        <f>[2]底表!CU26</f>
        <v>0.2233</v>
      </c>
      <c r="BI26" s="21">
        <f>[2]底表!CV26</f>
        <v>66</v>
      </c>
      <c r="BJ26" s="21">
        <f>[2]底表!CW26</f>
        <v>-25</v>
      </c>
      <c r="BK26" s="21">
        <f>[2]底表!CX26</f>
        <v>-0.2729</v>
      </c>
      <c r="BL26" s="21">
        <f>[2]底表!CY26</f>
        <v>28</v>
      </c>
      <c r="BM26" s="21">
        <f>[2]底表!CZ26</f>
        <v>20</v>
      </c>
      <c r="BN26" s="23">
        <f>[2]底表!DA26</f>
        <v>0.4</v>
      </c>
      <c r="BO26" s="21">
        <f>[2]底表!DB26</f>
        <v>30</v>
      </c>
      <c r="BP26" s="21">
        <f>[2]底表!DC26</f>
        <v>-0.0667</v>
      </c>
      <c r="BQ26" s="21">
        <f>[2]底表!DD26</f>
        <v>1.2174</v>
      </c>
      <c r="BR26" s="21">
        <f>[2]底表!DE26</f>
        <v>0.3083</v>
      </c>
      <c r="BS26" s="21">
        <f>[2]底表!DF26</f>
        <v>74</v>
      </c>
      <c r="BT26" s="21">
        <f>[2]底表!DG26</f>
        <v>-22</v>
      </c>
      <c r="BU26" s="21">
        <f>[2]底表!DH26</f>
        <v>-0.2263</v>
      </c>
      <c r="BV26" s="21">
        <f>[2]底表!DI26</f>
        <v>24</v>
      </c>
      <c r="BW26" s="21">
        <f>[2]底表!DJ26</f>
        <v>22</v>
      </c>
      <c r="BX26" s="23">
        <f>[2]底表!DK26</f>
        <v>0.0909</v>
      </c>
      <c r="BY26" s="21">
        <f>[2]底表!DL26</f>
        <v>25</v>
      </c>
      <c r="BZ26" s="21">
        <f>[2]底表!DM26</f>
        <v>-0.04</v>
      </c>
      <c r="CA26" s="21">
        <f>[2]底表!DN26</f>
        <v>13</v>
      </c>
      <c r="CB26" s="21">
        <f>[2]底表!DO26</f>
        <v>4</v>
      </c>
      <c r="CC26" s="21">
        <f>[2]底表!DP26</f>
        <v>2.25</v>
      </c>
      <c r="CD26" s="21">
        <f>[2]底表!DQ26</f>
        <v>10</v>
      </c>
      <c r="CE26" s="21">
        <f>[2]底表!DR26</f>
        <v>0.3</v>
      </c>
      <c r="CF26" s="21">
        <f>[2]底表!DS26</f>
        <v>13</v>
      </c>
      <c r="CG26" s="21">
        <f>[2]底表!DT26</f>
        <v>4</v>
      </c>
      <c r="CH26" s="21">
        <f>[2]底表!DU26</f>
        <v>2.25</v>
      </c>
      <c r="CI26" s="21">
        <f>[2]底表!DV26</f>
        <v>10</v>
      </c>
      <c r="CJ26" s="21">
        <f>[2]底表!DW26</f>
        <v>0.3</v>
      </c>
      <c r="CK26" s="21">
        <f>[2]底表!DX26</f>
        <v>32</v>
      </c>
      <c r="CL26" s="21">
        <f>[2]底表!DY26</f>
        <v>15</v>
      </c>
      <c r="CM26" s="21">
        <f>[2]底表!DZ26</f>
        <v>1.1333</v>
      </c>
      <c r="CN26" s="21">
        <f>[2]底表!EA26</f>
        <v>13</v>
      </c>
      <c r="CO26" s="21">
        <f>[2]底表!EB26</f>
        <v>1.4615</v>
      </c>
      <c r="CP26" s="21">
        <f>[2]底表!EC26</f>
        <v>17</v>
      </c>
      <c r="CQ26" s="21">
        <f>[2]底表!ED26</f>
        <v>14</v>
      </c>
      <c r="CR26" s="21">
        <f>[2]底表!EE26</f>
        <v>0.2143</v>
      </c>
      <c r="CS26" s="21">
        <f>[2]底表!EF26</f>
        <v>12</v>
      </c>
      <c r="CT26" s="21">
        <f>[2]底表!EG26</f>
        <v>0.4167</v>
      </c>
      <c r="CU26" s="21">
        <f>[2]底表!EH26</f>
        <v>0.68</v>
      </c>
      <c r="CV26" s="21">
        <f>[2]底表!EI26</f>
        <v>-0.0568</v>
      </c>
      <c r="CW26" s="21">
        <f>[2]底表!EJ26</f>
        <v>45</v>
      </c>
      <c r="CX26" s="21">
        <f>[2]底表!EK26</f>
        <v>-22</v>
      </c>
      <c r="CY26" s="21">
        <f>[2]底表!EL26</f>
        <v>-0.3289</v>
      </c>
      <c r="CZ26" s="21">
        <f>[2]底表!EM26</f>
        <v>17</v>
      </c>
      <c r="DA26" s="21">
        <f>[2]底表!EN26</f>
        <v>14</v>
      </c>
      <c r="DB26" s="21">
        <f>[2]底表!EO26</f>
        <v>0.2143</v>
      </c>
      <c r="DC26" s="21">
        <f>[2]底表!EP26</f>
        <v>12</v>
      </c>
      <c r="DD26" s="21">
        <f>[2]底表!EQ26</f>
        <v>0.4167</v>
      </c>
      <c r="DE26" s="21">
        <f>[2]底表!ER26</f>
        <v>15</v>
      </c>
      <c r="DF26" s="21">
        <f>[2]底表!ES26</f>
        <v>15</v>
      </c>
      <c r="DG26" s="23">
        <f>[2]底表!ET26</f>
        <v>0</v>
      </c>
      <c r="DH26" s="21">
        <f>[2]底表!EU26</f>
        <v>32</v>
      </c>
      <c r="DI26" s="21">
        <f>[2]底表!EV26</f>
        <v>-0.5313</v>
      </c>
      <c r="DJ26" s="21">
        <f>[2]底表!EW26</f>
        <v>0.6</v>
      </c>
      <c r="DK26" s="21">
        <f>[2]底表!EX26</f>
        <v>-0.1895</v>
      </c>
      <c r="DL26" s="21">
        <f>[2]底表!EY26</f>
        <v>39</v>
      </c>
      <c r="DM26" s="21">
        <f>[2]底表!EZ26</f>
        <v>-32</v>
      </c>
      <c r="DN26" s="21">
        <f>[2]底表!FA26</f>
        <v>-0.4474</v>
      </c>
      <c r="DO26" s="21">
        <f>[2]底表!BQ26</f>
        <v>4</v>
      </c>
      <c r="DP26" s="21">
        <f>[2]底表!BR26</f>
        <v>12</v>
      </c>
      <c r="DQ26" s="24">
        <f>[2]底表!BS26</f>
        <v>-0.6667</v>
      </c>
    </row>
    <row r="27" s="2" customFormat="1" ht="32" hidden="1" customHeight="1" spans="1:121">
      <c r="A27" s="27" t="str">
        <f>[2]底表!A27</f>
        <v>盗窃</v>
      </c>
      <c r="B27" s="28" t="str">
        <f>[2]底表!B27</f>
        <v>云城区</v>
      </c>
      <c r="C27" s="21">
        <f>[2]底表!AM27</f>
        <v>3</v>
      </c>
      <c r="D27" s="21">
        <f>[2]底表!AN27</f>
        <v>1</v>
      </c>
      <c r="E27" s="23">
        <f>[2]底表!AO27</f>
        <v>2</v>
      </c>
      <c r="F27" s="21">
        <f>[2]底表!AP27</f>
        <v>1</v>
      </c>
      <c r="G27" s="21">
        <f>[2]底表!AQ27</f>
        <v>2</v>
      </c>
      <c r="H27" s="21">
        <f>[2]底表!AR27</f>
        <v>0.6</v>
      </c>
      <c r="I27" s="21">
        <f>[2]底表!AS27</f>
        <v>0.1</v>
      </c>
      <c r="J27" s="21">
        <f>[2]底表!AT27</f>
        <v>1</v>
      </c>
      <c r="K27" s="21">
        <f>[2]底表!AU27</f>
        <v>2</v>
      </c>
      <c r="L27" s="21">
        <f>[2]底表!AV27</f>
        <v>-0.5</v>
      </c>
      <c r="M27" s="21">
        <f>[2]底表!AW27</f>
        <v>2</v>
      </c>
      <c r="N27" s="21">
        <f>[2]底表!AX27</f>
        <v>-0.5</v>
      </c>
      <c r="O27" s="21">
        <f>[2]底表!AY27</f>
        <v>1</v>
      </c>
      <c r="P27" s="21">
        <f>[2]底表!AZ27</f>
        <v>1</v>
      </c>
      <c r="Q27" s="21">
        <f>[2]底表!BA27</f>
        <v>0</v>
      </c>
      <c r="R27" s="21">
        <f>[2]底表!BB27</f>
        <v>1</v>
      </c>
      <c r="S27" s="21">
        <f>[2]底表!BC27</f>
        <v>0</v>
      </c>
      <c r="T27" s="21">
        <f>[2]底表!BD27</f>
        <v>1</v>
      </c>
      <c r="U27" s="21">
        <f>[2]底表!BE27</f>
        <v>0.5</v>
      </c>
      <c r="V27" s="21">
        <f>[2]底表!BF27</f>
        <v>4</v>
      </c>
      <c r="W27" s="21">
        <f>[2]底表!BG27</f>
        <v>0</v>
      </c>
      <c r="X27" s="21" t="str">
        <f>[2]底表!BH27</f>
        <v>多4起</v>
      </c>
      <c r="Y27" s="21">
        <f>[2]底表!BI27</f>
        <v>0</v>
      </c>
      <c r="Z27" s="21" t="str">
        <f>[2]底表!BJ27</f>
        <v>多4起</v>
      </c>
      <c r="AA27" s="21">
        <f>[2]底表!BK27</f>
        <v>0.8</v>
      </c>
      <c r="AB27" s="21">
        <f>[2]底表!BL27</f>
        <v>2</v>
      </c>
      <c r="AC27" s="21">
        <f>[2]底表!BM27</f>
        <v>0</v>
      </c>
      <c r="AD27" s="21" t="str">
        <f>[2]底表!BN27</f>
        <v>多2起</v>
      </c>
      <c r="AE27" s="21">
        <f>[2]底表!BO27</f>
        <v>0</v>
      </c>
      <c r="AF27" s="21" t="str">
        <f>[2]底表!BP27</f>
        <v>多2起</v>
      </c>
      <c r="AG27" s="21">
        <f>[2]底表!BT27</f>
        <v>11</v>
      </c>
      <c r="AH27" s="21" t="str">
        <f>[2]底表!BU27</f>
        <v>少11起</v>
      </c>
      <c r="AI27" s="21">
        <f>[2]底表!BV27</f>
        <v>0</v>
      </c>
      <c r="AJ27" s="21">
        <f>[2]底表!BW27</f>
        <v>-1</v>
      </c>
      <c r="AK27" s="21">
        <f>[2]底表!BX27</f>
        <v>0</v>
      </c>
      <c r="AL27" s="21">
        <f>[2]底表!BY27</f>
        <v>-1</v>
      </c>
      <c r="AM27" s="21">
        <f>[2]底表!BZ27</f>
        <v>0</v>
      </c>
      <c r="AN27" s="21">
        <f>[2]底表!CA27</f>
        <v>0</v>
      </c>
      <c r="AO27" s="21" t="str">
        <f>[2]底表!CB27</f>
        <v>持平</v>
      </c>
      <c r="AP27" s="21">
        <f>[2]底表!CC27</f>
        <v>0</v>
      </c>
      <c r="AQ27" s="21" t="str">
        <f>[2]底表!CD27</f>
        <v>持平</v>
      </c>
      <c r="AR27" s="21" t="str">
        <f>[2]底表!CE27</f>
        <v/>
      </c>
      <c r="AS27" s="21" t="str">
        <f>[2]底表!CF27</f>
        <v/>
      </c>
      <c r="AT27" s="21">
        <f>[2]底表!CG27</f>
        <v>3</v>
      </c>
      <c r="AU27" s="21">
        <f>[2]底表!CH27</f>
        <v>3</v>
      </c>
      <c r="AV27" s="21">
        <f>[2]底表!CI27</f>
        <v>0</v>
      </c>
      <c r="AW27" s="21">
        <f>[2]底表!CJ27</f>
        <v>0</v>
      </c>
      <c r="AX27" s="21" t="str">
        <f>[2]底表!CK27</f>
        <v>多3人</v>
      </c>
      <c r="AY27" s="21">
        <f>[2]底表!CL27</f>
        <v>60</v>
      </c>
      <c r="AZ27" s="21">
        <f>[2]底表!CM27</f>
        <v>-90</v>
      </c>
      <c r="BA27" s="21">
        <f>[2]底表!CN27</f>
        <v>-0.6</v>
      </c>
      <c r="BB27" s="21">
        <f>[2]底表!CO27</f>
        <v>1</v>
      </c>
      <c r="BC27" s="21">
        <f>[2]底表!CP27</f>
        <v>3</v>
      </c>
      <c r="BD27" s="21">
        <f>[2]底表!CQ27</f>
        <v>-0.6667</v>
      </c>
      <c r="BE27" s="21">
        <f>[2]底表!CR27</f>
        <v>1</v>
      </c>
      <c r="BF27" s="21">
        <f>[2]底表!CS27</f>
        <v>0</v>
      </c>
      <c r="BG27" s="21">
        <f>[2]底表!CT27</f>
        <v>0.3333</v>
      </c>
      <c r="BH27" s="21">
        <f>[2]底表!CU27</f>
        <v>-0.6667</v>
      </c>
      <c r="BI27" s="21">
        <f>[2]底表!CV27</f>
        <v>20</v>
      </c>
      <c r="BJ27" s="21">
        <f>[2]底表!CW27</f>
        <v>-130</v>
      </c>
      <c r="BK27" s="21">
        <f>[2]底表!CX27</f>
        <v>-0.8667</v>
      </c>
      <c r="BL27" s="21">
        <f>[2]底表!CY27</f>
        <v>1</v>
      </c>
      <c r="BM27" s="21">
        <f>[2]底表!CZ27</f>
        <v>3</v>
      </c>
      <c r="BN27" s="23">
        <f>[2]底表!DA27</f>
        <v>-0.6667</v>
      </c>
      <c r="BO27" s="21">
        <f>[2]底表!DB27</f>
        <v>1</v>
      </c>
      <c r="BP27" s="21">
        <f>[2]底表!DC27</f>
        <v>0</v>
      </c>
      <c r="BQ27" s="21">
        <f>[2]底表!DD27</f>
        <v>0.3333</v>
      </c>
      <c r="BR27" s="21">
        <f>[2]底表!DE27</f>
        <v>-0.6667</v>
      </c>
      <c r="BS27" s="21">
        <f>[2]底表!DF27</f>
        <v>20</v>
      </c>
      <c r="BT27" s="21">
        <f>[2]底表!DG27</f>
        <v>-130</v>
      </c>
      <c r="BU27" s="21">
        <f>[2]底表!DH27</f>
        <v>-0.8667</v>
      </c>
      <c r="BV27" s="21">
        <f>[2]底表!DI27</f>
        <v>0</v>
      </c>
      <c r="BW27" s="21">
        <f>[2]底表!DJ27</f>
        <v>0</v>
      </c>
      <c r="BX27" s="23" t="str">
        <f>[2]底表!DK27</f>
        <v>持平</v>
      </c>
      <c r="BY27" s="21">
        <f>[2]底表!DL27</f>
        <v>0</v>
      </c>
      <c r="BZ27" s="21" t="str">
        <f>[2]底表!DM27</f>
        <v>持平</v>
      </c>
      <c r="CA27" s="21">
        <f>[2]底表!DN27</f>
        <v>1</v>
      </c>
      <c r="CB27" s="21">
        <f>[2]底表!DO27</f>
        <v>0</v>
      </c>
      <c r="CC27" s="21" t="str">
        <f>[2]底表!DP27</f>
        <v>多1人</v>
      </c>
      <c r="CD27" s="21">
        <f>[2]底表!DQ27</f>
        <v>1</v>
      </c>
      <c r="CE27" s="21">
        <f>[2]底表!DR27</f>
        <v>0</v>
      </c>
      <c r="CF27" s="21">
        <f>[2]底表!DS27</f>
        <v>1</v>
      </c>
      <c r="CG27" s="21">
        <f>[2]底表!DT27</f>
        <v>0</v>
      </c>
      <c r="CH27" s="21" t="str">
        <f>[2]底表!DU27</f>
        <v>多1人</v>
      </c>
      <c r="CI27" s="21">
        <f>[2]底表!DV27</f>
        <v>1</v>
      </c>
      <c r="CJ27" s="21">
        <f>[2]底表!DW27</f>
        <v>0</v>
      </c>
      <c r="CK27" s="21">
        <f>[2]底表!DX27</f>
        <v>2</v>
      </c>
      <c r="CL27" s="21">
        <f>[2]底表!DY27</f>
        <v>1</v>
      </c>
      <c r="CM27" s="21">
        <f>[2]底表!DZ27</f>
        <v>1</v>
      </c>
      <c r="CN27" s="21">
        <f>[2]底表!EA27</f>
        <v>1</v>
      </c>
      <c r="CO27" s="21">
        <f>[2]底表!EB27</f>
        <v>1</v>
      </c>
      <c r="CP27" s="21">
        <f>[2]底表!EC27</f>
        <v>1</v>
      </c>
      <c r="CQ27" s="21">
        <f>[2]底表!ED27</f>
        <v>1</v>
      </c>
      <c r="CR27" s="21">
        <f>[2]底表!EE27</f>
        <v>0</v>
      </c>
      <c r="CS27" s="21">
        <f>[2]底表!EF27</f>
        <v>2</v>
      </c>
      <c r="CT27" s="21">
        <f>[2]底表!EG27</f>
        <v>-0.5</v>
      </c>
      <c r="CU27" s="21">
        <f>[2]底表!EH27</f>
        <v>1</v>
      </c>
      <c r="CV27" s="21">
        <f>[2]底表!EI27</f>
        <v>0.6667</v>
      </c>
      <c r="CW27" s="21">
        <f>[2]底表!EJ27</f>
        <v>20</v>
      </c>
      <c r="CX27" s="21">
        <f>[2]底表!EK27</f>
        <v>-30</v>
      </c>
      <c r="CY27" s="21">
        <f>[2]底表!EL27</f>
        <v>-0.6</v>
      </c>
      <c r="CZ27" s="21">
        <f>[2]底表!EM27</f>
        <v>1</v>
      </c>
      <c r="DA27" s="21">
        <f>[2]底表!EN27</f>
        <v>1</v>
      </c>
      <c r="DB27" s="21">
        <f>[2]底表!EO27</f>
        <v>0</v>
      </c>
      <c r="DC27" s="21">
        <f>[2]底表!EP27</f>
        <v>2</v>
      </c>
      <c r="DD27" s="21">
        <f>[2]底表!EQ27</f>
        <v>-0.5</v>
      </c>
      <c r="DE27" s="21">
        <f>[2]底表!ER27</f>
        <v>0</v>
      </c>
      <c r="DF27" s="21">
        <f>[2]底表!ES27</f>
        <v>3</v>
      </c>
      <c r="DG27" s="23" t="str">
        <f>[2]底表!ET27</f>
        <v>少3人</v>
      </c>
      <c r="DH27" s="21">
        <f>[2]底表!EU27</f>
        <v>14</v>
      </c>
      <c r="DI27" s="21" t="str">
        <f>[2]底表!EV27</f>
        <v>少14人</v>
      </c>
      <c r="DJ27" s="21">
        <f>[2]底表!EW27</f>
        <v>0</v>
      </c>
      <c r="DK27" s="21">
        <f>[2]底表!EX27</f>
        <v>-1</v>
      </c>
      <c r="DL27" s="21">
        <f>[2]底表!EY27</f>
        <v>0</v>
      </c>
      <c r="DM27" s="21">
        <f>[2]底表!EZ27</f>
        <v>-150</v>
      </c>
      <c r="DN27" s="21">
        <f>[2]底表!FA27</f>
        <v>-1</v>
      </c>
      <c r="DO27" s="21">
        <f>[2]底表!BQ27</f>
        <v>0</v>
      </c>
      <c r="DP27" s="21">
        <f>[2]底表!BR27</f>
        <v>2</v>
      </c>
      <c r="DQ27" s="24" t="str">
        <f>[2]底表!BS27</f>
        <v>少2起</v>
      </c>
    </row>
    <row r="28" s="2" customFormat="1" ht="32" hidden="1" customHeight="1" spans="1:121">
      <c r="A28" s="27" t="str">
        <f>[2]底表!A28</f>
        <v>盗窃</v>
      </c>
      <c r="B28" s="28" t="str">
        <f>[2]底表!B28</f>
        <v>云安区</v>
      </c>
      <c r="C28" s="21">
        <f>[2]底表!AM28</f>
        <v>2</v>
      </c>
      <c r="D28" s="21">
        <f>[2]底表!AN28</f>
        <v>2</v>
      </c>
      <c r="E28" s="23">
        <f>[2]底表!AO28</f>
        <v>0</v>
      </c>
      <c r="F28" s="21">
        <f>[2]底表!AP28</f>
        <v>1</v>
      </c>
      <c r="G28" s="21">
        <f>[2]底表!AQ28</f>
        <v>1</v>
      </c>
      <c r="H28" s="21">
        <f>[2]底表!AR28</f>
        <v>1</v>
      </c>
      <c r="I28" s="21" t="str">
        <f>[2]底表!AS28</f>
        <v/>
      </c>
      <c r="J28" s="21">
        <f>[2]底表!AT28</f>
        <v>2</v>
      </c>
      <c r="K28" s="21">
        <f>[2]底表!AU28</f>
        <v>0</v>
      </c>
      <c r="L28" s="21" t="str">
        <f>[2]底表!AV28</f>
        <v>多2起</v>
      </c>
      <c r="M28" s="21">
        <f>[2]底表!AW28</f>
        <v>1</v>
      </c>
      <c r="N28" s="21">
        <f>[2]底表!AX28</f>
        <v>1</v>
      </c>
      <c r="O28" s="21">
        <f>[2]底表!AY28</f>
        <v>2</v>
      </c>
      <c r="P28" s="21">
        <f>[2]底表!AZ28</f>
        <v>0</v>
      </c>
      <c r="Q28" s="21" t="str">
        <f>[2]底表!BA28</f>
        <v>多2起</v>
      </c>
      <c r="R28" s="21">
        <f>[2]底表!BB28</f>
        <v>1</v>
      </c>
      <c r="S28" s="21">
        <f>[2]底表!BC28</f>
        <v>1</v>
      </c>
      <c r="T28" s="21">
        <f>[2]底表!BD28</f>
        <v>1</v>
      </c>
      <c r="U28" s="21" t="str">
        <f>[2]底表!BE28</f>
        <v/>
      </c>
      <c r="V28" s="21">
        <f>[2]底表!BF28</f>
        <v>0</v>
      </c>
      <c r="W28" s="21">
        <f>[2]底表!BG28</f>
        <v>0</v>
      </c>
      <c r="X28" s="21" t="str">
        <f>[2]底表!BH28</f>
        <v>持平</v>
      </c>
      <c r="Y28" s="21">
        <f>[2]底表!BI28</f>
        <v>0</v>
      </c>
      <c r="Z28" s="21" t="str">
        <f>[2]底表!BJ28</f>
        <v>持平</v>
      </c>
      <c r="AA28" s="21">
        <f>[2]底表!BK28</f>
        <v>0</v>
      </c>
      <c r="AB28" s="21">
        <f>[2]底表!BL28</f>
        <v>0</v>
      </c>
      <c r="AC28" s="21">
        <f>[2]底表!BM28</f>
        <v>2</v>
      </c>
      <c r="AD28" s="21" t="str">
        <f>[2]底表!BN28</f>
        <v>少2起</v>
      </c>
      <c r="AE28" s="21">
        <f>[2]底表!BO28</f>
        <v>0</v>
      </c>
      <c r="AF28" s="21" t="str">
        <f>[2]底表!BP28</f>
        <v>持平</v>
      </c>
      <c r="AG28" s="21">
        <f>[2]底表!BT28</f>
        <v>0</v>
      </c>
      <c r="AH28" s="21" t="str">
        <f>[2]底表!BU28</f>
        <v>持平</v>
      </c>
      <c r="AI28" s="21">
        <f>[2]底表!BV28</f>
        <v>0</v>
      </c>
      <c r="AJ28" s="21" t="str">
        <f>[2]底表!BW28</f>
        <v/>
      </c>
      <c r="AK28" s="21">
        <f>[2]底表!BX28</f>
        <v>0</v>
      </c>
      <c r="AL28" s="21" t="str">
        <f>[2]底表!BY28</f>
        <v/>
      </c>
      <c r="AM28" s="21">
        <f>[2]底表!BZ28</f>
        <v>0</v>
      </c>
      <c r="AN28" s="21">
        <f>[2]底表!CA28</f>
        <v>0</v>
      </c>
      <c r="AO28" s="21" t="str">
        <f>[2]底表!CB28</f>
        <v>持平</v>
      </c>
      <c r="AP28" s="21">
        <f>[2]底表!CC28</f>
        <v>0</v>
      </c>
      <c r="AQ28" s="21" t="str">
        <f>[2]底表!CD28</f>
        <v>持平</v>
      </c>
      <c r="AR28" s="21" t="str">
        <f>[2]底表!CE28</f>
        <v/>
      </c>
      <c r="AS28" s="21" t="str">
        <f>[2]底表!CF28</f>
        <v/>
      </c>
      <c r="AT28" s="21">
        <f>[2]底表!CG28</f>
        <v>4</v>
      </c>
      <c r="AU28" s="21">
        <f>[2]底表!CH28</f>
        <v>1</v>
      </c>
      <c r="AV28" s="21">
        <f>[2]底表!CI28</f>
        <v>3</v>
      </c>
      <c r="AW28" s="21">
        <f>[2]底表!CJ28</f>
        <v>1</v>
      </c>
      <c r="AX28" s="21">
        <f>[2]底表!CK28</f>
        <v>3</v>
      </c>
      <c r="AY28" s="21">
        <f>[2]底表!CL28</f>
        <v>200</v>
      </c>
      <c r="AZ28" s="21" t="str">
        <f>[2]底表!CM28</f>
        <v/>
      </c>
      <c r="BA28" s="21" t="str">
        <f>[2]底表!CN28</f>
        <v/>
      </c>
      <c r="BB28" s="21">
        <f>[2]底表!CO28</f>
        <v>4</v>
      </c>
      <c r="BC28" s="21">
        <f>[2]底表!CP28</f>
        <v>2</v>
      </c>
      <c r="BD28" s="21">
        <f>[2]底表!CQ28</f>
        <v>1</v>
      </c>
      <c r="BE28" s="21">
        <f>[2]底表!CR28</f>
        <v>3</v>
      </c>
      <c r="BF28" s="21">
        <f>[2]底表!CS28</f>
        <v>0.3333</v>
      </c>
      <c r="BG28" s="21">
        <f>[2]底表!CT28</f>
        <v>1</v>
      </c>
      <c r="BH28" s="21">
        <f>[2]底表!CU28</f>
        <v>-1</v>
      </c>
      <c r="BI28" s="21">
        <f>[2]底表!CV28</f>
        <v>200</v>
      </c>
      <c r="BJ28" s="21" t="str">
        <f>[2]底表!CW28</f>
        <v/>
      </c>
      <c r="BK28" s="21" t="str">
        <f>[2]底表!CX28</f>
        <v/>
      </c>
      <c r="BL28" s="21">
        <f>[2]底表!CY28</f>
        <v>4</v>
      </c>
      <c r="BM28" s="21">
        <f>[2]底表!CZ28</f>
        <v>2</v>
      </c>
      <c r="BN28" s="23">
        <f>[2]底表!DA28</f>
        <v>1</v>
      </c>
      <c r="BO28" s="21">
        <f>[2]底表!DB28</f>
        <v>3</v>
      </c>
      <c r="BP28" s="21">
        <f>[2]底表!DC28</f>
        <v>0.3333</v>
      </c>
      <c r="BQ28" s="21">
        <f>[2]底表!DD28</f>
        <v>1</v>
      </c>
      <c r="BR28" s="21">
        <f>[2]底表!DE28</f>
        <v>-1</v>
      </c>
      <c r="BS28" s="21">
        <f>[2]底表!DF28</f>
        <v>200</v>
      </c>
      <c r="BT28" s="21" t="str">
        <f>[2]底表!DG28</f>
        <v/>
      </c>
      <c r="BU28" s="21" t="str">
        <f>[2]底表!DH28</f>
        <v/>
      </c>
      <c r="BV28" s="21">
        <f>[2]底表!DI28</f>
        <v>0</v>
      </c>
      <c r="BW28" s="21">
        <f>[2]底表!DJ28</f>
        <v>0</v>
      </c>
      <c r="BX28" s="23" t="str">
        <f>[2]底表!DK28</f>
        <v>持平</v>
      </c>
      <c r="BY28" s="21">
        <f>[2]底表!DL28</f>
        <v>0</v>
      </c>
      <c r="BZ28" s="21" t="str">
        <f>[2]底表!DM28</f>
        <v>持平</v>
      </c>
      <c r="CA28" s="21">
        <f>[2]底表!DN28</f>
        <v>2</v>
      </c>
      <c r="CB28" s="21">
        <f>[2]底表!DO28</f>
        <v>2</v>
      </c>
      <c r="CC28" s="21">
        <f>[2]底表!DP28</f>
        <v>0</v>
      </c>
      <c r="CD28" s="21">
        <f>[2]底表!DQ28</f>
        <v>0</v>
      </c>
      <c r="CE28" s="21" t="str">
        <f>[2]底表!DR28</f>
        <v>多2人</v>
      </c>
      <c r="CF28" s="21">
        <f>[2]底表!DS28</f>
        <v>2</v>
      </c>
      <c r="CG28" s="21">
        <f>[2]底表!DT28</f>
        <v>2</v>
      </c>
      <c r="CH28" s="21">
        <f>[2]底表!DU28</f>
        <v>0</v>
      </c>
      <c r="CI28" s="21">
        <f>[2]底表!DV28</f>
        <v>0</v>
      </c>
      <c r="CJ28" s="21" t="str">
        <f>[2]底表!DW28</f>
        <v>多2人</v>
      </c>
      <c r="CK28" s="21">
        <f>[2]底表!DX28</f>
        <v>6</v>
      </c>
      <c r="CL28" s="21">
        <f>[2]底表!DY28</f>
        <v>5</v>
      </c>
      <c r="CM28" s="21">
        <f>[2]底表!DZ28</f>
        <v>0.2</v>
      </c>
      <c r="CN28" s="21">
        <f>[2]底表!EA28</f>
        <v>1</v>
      </c>
      <c r="CO28" s="21">
        <f>[2]底表!EB28</f>
        <v>5</v>
      </c>
      <c r="CP28" s="21">
        <f>[2]底表!EC28</f>
        <v>1</v>
      </c>
      <c r="CQ28" s="21">
        <f>[2]底表!ED28</f>
        <v>4</v>
      </c>
      <c r="CR28" s="21">
        <f>[2]底表!EE28</f>
        <v>-0.75</v>
      </c>
      <c r="CS28" s="21">
        <f>[2]底表!EF28</f>
        <v>1</v>
      </c>
      <c r="CT28" s="21">
        <f>[2]底表!EG28</f>
        <v>0</v>
      </c>
      <c r="CU28" s="21">
        <f>[2]底表!EH28</f>
        <v>0.25</v>
      </c>
      <c r="CV28" s="21">
        <f>[2]底表!EI28</f>
        <v>-1.75</v>
      </c>
      <c r="CW28" s="21">
        <f>[2]底表!EJ28</f>
        <v>50</v>
      </c>
      <c r="CX28" s="21" t="str">
        <f>[2]底表!EK28</f>
        <v/>
      </c>
      <c r="CY28" s="21" t="str">
        <f>[2]底表!EL28</f>
        <v/>
      </c>
      <c r="CZ28" s="21">
        <f>[2]底表!EM28</f>
        <v>1</v>
      </c>
      <c r="DA28" s="21">
        <f>[2]底表!EN28</f>
        <v>4</v>
      </c>
      <c r="DB28" s="21">
        <f>[2]底表!EO28</f>
        <v>-0.75</v>
      </c>
      <c r="DC28" s="21">
        <f>[2]底表!EP28</f>
        <v>1</v>
      </c>
      <c r="DD28" s="21">
        <f>[2]底表!EQ28</f>
        <v>0</v>
      </c>
      <c r="DE28" s="21">
        <f>[2]底表!ER28</f>
        <v>0</v>
      </c>
      <c r="DF28" s="21">
        <f>[2]底表!ES28</f>
        <v>4</v>
      </c>
      <c r="DG28" s="23" t="str">
        <f>[2]底表!ET28</f>
        <v>少4人</v>
      </c>
      <c r="DH28" s="21">
        <f>[2]底表!EU28</f>
        <v>0</v>
      </c>
      <c r="DI28" s="21" t="str">
        <f>[2]底表!EV28</f>
        <v>持平</v>
      </c>
      <c r="DJ28" s="21">
        <f>[2]底表!EW28</f>
        <v>0</v>
      </c>
      <c r="DK28" s="21">
        <f>[2]底表!EX28</f>
        <v>-2</v>
      </c>
      <c r="DL28" s="21">
        <f>[2]底表!EY28</f>
        <v>0</v>
      </c>
      <c r="DM28" s="21" t="str">
        <f>[2]底表!EZ28</f>
        <v/>
      </c>
      <c r="DN28" s="21" t="str">
        <f>[2]底表!FA28</f>
        <v/>
      </c>
      <c r="DO28" s="21">
        <f>[2]底表!BQ28</f>
        <v>0</v>
      </c>
      <c r="DP28" s="21">
        <f>[2]底表!BR28</f>
        <v>3</v>
      </c>
      <c r="DQ28" s="24" t="str">
        <f>[2]底表!BS28</f>
        <v>少3起</v>
      </c>
    </row>
    <row r="29" s="2" customFormat="1" ht="32" hidden="1" customHeight="1" spans="1:121">
      <c r="A29" s="27" t="str">
        <f>[2]底表!A29</f>
        <v>盗窃</v>
      </c>
      <c r="B29" s="28" t="str">
        <f>[2]底表!B29</f>
        <v>新兴县</v>
      </c>
      <c r="C29" s="21">
        <f>[2]底表!AM29</f>
        <v>6</v>
      </c>
      <c r="D29" s="21">
        <f>[2]底表!AN29</f>
        <v>1</v>
      </c>
      <c r="E29" s="23">
        <f>[2]底表!AO29</f>
        <v>5</v>
      </c>
      <c r="F29" s="21">
        <f>[2]底表!AP29</f>
        <v>4</v>
      </c>
      <c r="G29" s="21">
        <f>[2]底表!AQ29</f>
        <v>0.5</v>
      </c>
      <c r="H29" s="21">
        <f>[2]底表!AR29</f>
        <v>0.6</v>
      </c>
      <c r="I29" s="21">
        <f>[2]底表!AS29</f>
        <v>0.2667</v>
      </c>
      <c r="J29" s="21">
        <f>[2]底表!AT29</f>
        <v>3</v>
      </c>
      <c r="K29" s="21">
        <f>[2]底表!AU29</f>
        <v>0</v>
      </c>
      <c r="L29" s="21" t="str">
        <f>[2]底表!AV29</f>
        <v>多3起</v>
      </c>
      <c r="M29" s="21">
        <f>[2]底表!AW29</f>
        <v>8</v>
      </c>
      <c r="N29" s="21">
        <f>[2]底表!AX29</f>
        <v>-0.625</v>
      </c>
      <c r="O29" s="21">
        <f>[2]底表!AY29</f>
        <v>1</v>
      </c>
      <c r="P29" s="21">
        <f>[2]底表!AZ29</f>
        <v>0</v>
      </c>
      <c r="Q29" s="21" t="str">
        <f>[2]底表!BA29</f>
        <v>多1起</v>
      </c>
      <c r="R29" s="21">
        <f>[2]底表!BB29</f>
        <v>4</v>
      </c>
      <c r="S29" s="21">
        <f>[2]底表!BC29</f>
        <v>-0.75</v>
      </c>
      <c r="T29" s="21">
        <f>[2]底表!BD29</f>
        <v>0.3333</v>
      </c>
      <c r="U29" s="21" t="str">
        <f>[2]底表!BE29</f>
        <v/>
      </c>
      <c r="V29" s="21">
        <f>[2]底表!BF29</f>
        <v>7</v>
      </c>
      <c r="W29" s="21">
        <f>[2]底表!BG29</f>
        <v>3</v>
      </c>
      <c r="X29" s="21">
        <f>[2]底表!BH29</f>
        <v>1.3333</v>
      </c>
      <c r="Y29" s="21">
        <f>[2]底表!BI29</f>
        <v>0</v>
      </c>
      <c r="Z29" s="21" t="str">
        <f>[2]底表!BJ29</f>
        <v>多7起</v>
      </c>
      <c r="AA29" s="21">
        <f>[2]底表!BK29</f>
        <v>0.7</v>
      </c>
      <c r="AB29" s="21">
        <f>[2]底表!BL29</f>
        <v>5</v>
      </c>
      <c r="AC29" s="21">
        <f>[2]底表!BM29</f>
        <v>1</v>
      </c>
      <c r="AD29" s="21">
        <f>[2]底表!BN29</f>
        <v>4</v>
      </c>
      <c r="AE29" s="21">
        <f>[2]底表!BO29</f>
        <v>0</v>
      </c>
      <c r="AF29" s="21" t="str">
        <f>[2]底表!BP29</f>
        <v>多5起</v>
      </c>
      <c r="AG29" s="21">
        <f>[2]底表!BT29</f>
        <v>6</v>
      </c>
      <c r="AH29" s="21">
        <f>[2]底表!BU29</f>
        <v>-0.8333</v>
      </c>
      <c r="AI29" s="21">
        <f>[2]底表!BV29</f>
        <v>0.1</v>
      </c>
      <c r="AJ29" s="21">
        <f>[2]底表!BW29</f>
        <v>-0.9</v>
      </c>
      <c r="AK29" s="21">
        <f>[2]底表!BX29</f>
        <v>0.3333</v>
      </c>
      <c r="AL29" s="21" t="str">
        <f>[2]底表!BY29</f>
        <v/>
      </c>
      <c r="AM29" s="21">
        <f>[2]底表!BZ29</f>
        <v>0</v>
      </c>
      <c r="AN29" s="21">
        <f>[2]底表!CA29</f>
        <v>0</v>
      </c>
      <c r="AO29" s="21" t="str">
        <f>[2]底表!CB29</f>
        <v>持平</v>
      </c>
      <c r="AP29" s="21">
        <f>[2]底表!CC29</f>
        <v>0</v>
      </c>
      <c r="AQ29" s="21" t="str">
        <f>[2]底表!CD29</f>
        <v>持平</v>
      </c>
      <c r="AR29" s="21" t="str">
        <f>[2]底表!CE29</f>
        <v/>
      </c>
      <c r="AS29" s="21" t="str">
        <f>[2]底表!CF29</f>
        <v/>
      </c>
      <c r="AT29" s="21">
        <f>[2]底表!CG29</f>
        <v>4</v>
      </c>
      <c r="AU29" s="21">
        <f>[2]底表!CH29</f>
        <v>1</v>
      </c>
      <c r="AV29" s="21">
        <f>[2]底表!CI29</f>
        <v>3</v>
      </c>
      <c r="AW29" s="21">
        <f>[2]底表!CJ29</f>
        <v>5</v>
      </c>
      <c r="AX29" s="21">
        <f>[2]底表!CK29</f>
        <v>-0.2</v>
      </c>
      <c r="AY29" s="21">
        <f>[2]底表!CL29</f>
        <v>40</v>
      </c>
      <c r="AZ29" s="21">
        <f>[2]底表!CM29</f>
        <v>7</v>
      </c>
      <c r="BA29" s="21">
        <f>[2]底表!CN29</f>
        <v>0.2</v>
      </c>
      <c r="BB29" s="21">
        <f>[2]底表!CO29</f>
        <v>6</v>
      </c>
      <c r="BC29" s="21">
        <f>[2]底表!CP29</f>
        <v>2</v>
      </c>
      <c r="BD29" s="21">
        <f>[2]底表!CQ29</f>
        <v>2</v>
      </c>
      <c r="BE29" s="21">
        <f>[2]底表!CR29</f>
        <v>13</v>
      </c>
      <c r="BF29" s="21">
        <f>[2]底表!CS29</f>
        <v>-0.5385</v>
      </c>
      <c r="BG29" s="21">
        <f>[2]底表!CT29</f>
        <v>1.5</v>
      </c>
      <c r="BH29" s="21">
        <f>[2]底表!CU29</f>
        <v>-0.5</v>
      </c>
      <c r="BI29" s="21">
        <f>[2]底表!CV29</f>
        <v>60</v>
      </c>
      <c r="BJ29" s="21">
        <f>[2]底表!CW29</f>
        <v>-7</v>
      </c>
      <c r="BK29" s="21">
        <f>[2]底表!CX29</f>
        <v>-0.1</v>
      </c>
      <c r="BL29" s="21">
        <f>[2]底表!CY29</f>
        <v>6</v>
      </c>
      <c r="BM29" s="21">
        <f>[2]底表!CZ29</f>
        <v>2</v>
      </c>
      <c r="BN29" s="23">
        <f>[2]底表!DA29</f>
        <v>2</v>
      </c>
      <c r="BO29" s="21">
        <f>[2]底表!DB29</f>
        <v>13</v>
      </c>
      <c r="BP29" s="21">
        <f>[2]底表!DC29</f>
        <v>-0.5385</v>
      </c>
      <c r="BQ29" s="21">
        <f>[2]底表!DD29</f>
        <v>1.5</v>
      </c>
      <c r="BR29" s="21">
        <f>[2]底表!DE29</f>
        <v>-0.5</v>
      </c>
      <c r="BS29" s="21">
        <f>[2]底表!DF29</f>
        <v>60</v>
      </c>
      <c r="BT29" s="21">
        <f>[2]底表!DG29</f>
        <v>-7</v>
      </c>
      <c r="BU29" s="21">
        <f>[2]底表!DH29</f>
        <v>-0.1</v>
      </c>
      <c r="BV29" s="21">
        <f>[2]底表!DI29</f>
        <v>3</v>
      </c>
      <c r="BW29" s="21">
        <f>[2]底表!DJ29</f>
        <v>5</v>
      </c>
      <c r="BX29" s="23">
        <f>[2]底表!DK29</f>
        <v>-0.4</v>
      </c>
      <c r="BY29" s="21">
        <f>[2]底表!DL29</f>
        <v>8</v>
      </c>
      <c r="BZ29" s="21">
        <f>[2]底表!DM29</f>
        <v>-0.625</v>
      </c>
      <c r="CA29" s="21">
        <f>[2]底表!DN29</f>
        <v>3</v>
      </c>
      <c r="CB29" s="21">
        <f>[2]底表!DO29</f>
        <v>1</v>
      </c>
      <c r="CC29" s="21">
        <f>[2]底表!DP29</f>
        <v>2</v>
      </c>
      <c r="CD29" s="21">
        <f>[2]底表!DQ29</f>
        <v>2</v>
      </c>
      <c r="CE29" s="21">
        <f>[2]底表!DR29</f>
        <v>0.5</v>
      </c>
      <c r="CF29" s="21">
        <f>[2]底表!DS29</f>
        <v>3</v>
      </c>
      <c r="CG29" s="21">
        <f>[2]底表!DT29</f>
        <v>1</v>
      </c>
      <c r="CH29" s="21">
        <f>[2]底表!DU29</f>
        <v>2</v>
      </c>
      <c r="CI29" s="21">
        <f>[2]底表!DV29</f>
        <v>2</v>
      </c>
      <c r="CJ29" s="21">
        <f>[2]底表!DW29</f>
        <v>0.5</v>
      </c>
      <c r="CK29" s="21">
        <f>[2]底表!DX29</f>
        <v>9</v>
      </c>
      <c r="CL29" s="21">
        <f>[2]底表!DY29</f>
        <v>4</v>
      </c>
      <c r="CM29" s="21">
        <f>[2]底表!DZ29</f>
        <v>1.25</v>
      </c>
      <c r="CN29" s="21">
        <f>[2]底表!EA29</f>
        <v>3</v>
      </c>
      <c r="CO29" s="21">
        <f>[2]底表!EB29</f>
        <v>2</v>
      </c>
      <c r="CP29" s="21">
        <f>[2]底表!EC29</f>
        <v>6</v>
      </c>
      <c r="CQ29" s="21">
        <f>[2]底表!ED29</f>
        <v>3</v>
      </c>
      <c r="CR29" s="21">
        <f>[2]底表!EE29</f>
        <v>1</v>
      </c>
      <c r="CS29" s="21">
        <f>[2]底表!EF29</f>
        <v>3</v>
      </c>
      <c r="CT29" s="21">
        <f>[2]底表!EG29</f>
        <v>1</v>
      </c>
      <c r="CU29" s="21">
        <f>[2]底表!EH29</f>
        <v>1</v>
      </c>
      <c r="CV29" s="21">
        <f>[2]底表!EI29</f>
        <v>-0.5</v>
      </c>
      <c r="CW29" s="21">
        <f>[2]底表!EJ29</f>
        <v>60</v>
      </c>
      <c r="CX29" s="21">
        <f>[2]底表!EK29</f>
        <v>-40</v>
      </c>
      <c r="CY29" s="21">
        <f>[2]底表!EL29</f>
        <v>-0.4</v>
      </c>
      <c r="CZ29" s="21">
        <f>[2]底表!EM29</f>
        <v>6</v>
      </c>
      <c r="DA29" s="21">
        <f>[2]底表!EN29</f>
        <v>3</v>
      </c>
      <c r="DB29" s="21">
        <f>[2]底表!EO29</f>
        <v>1</v>
      </c>
      <c r="DC29" s="21">
        <f>[2]底表!EP29</f>
        <v>3</v>
      </c>
      <c r="DD29" s="21">
        <f>[2]底表!EQ29</f>
        <v>1</v>
      </c>
      <c r="DE29" s="21">
        <f>[2]底表!ER29</f>
        <v>3</v>
      </c>
      <c r="DF29" s="21">
        <f>[2]底表!ES29</f>
        <v>3</v>
      </c>
      <c r="DG29" s="23">
        <f>[2]底表!ET29</f>
        <v>0</v>
      </c>
      <c r="DH29" s="21">
        <f>[2]底表!EU29</f>
        <v>6</v>
      </c>
      <c r="DI29" s="21">
        <f>[2]底表!EV29</f>
        <v>-0.5</v>
      </c>
      <c r="DJ29" s="21">
        <f>[2]底表!EW29</f>
        <v>0.5</v>
      </c>
      <c r="DK29" s="21">
        <f>[2]底表!EX29</f>
        <v>-1</v>
      </c>
      <c r="DL29" s="21">
        <f>[2]底表!EY29</f>
        <v>30</v>
      </c>
      <c r="DM29" s="21">
        <f>[2]底表!EZ29</f>
        <v>-70</v>
      </c>
      <c r="DN29" s="21">
        <f>[2]底表!FA29</f>
        <v>-0.7</v>
      </c>
      <c r="DO29" s="21">
        <f>[2]底表!BQ29</f>
        <v>1</v>
      </c>
      <c r="DP29" s="21">
        <f>[2]底表!BR29</f>
        <v>3</v>
      </c>
      <c r="DQ29" s="24">
        <f>[2]底表!BS29</f>
        <v>-0.6667</v>
      </c>
    </row>
    <row r="30" s="2" customFormat="1" ht="32" hidden="1" customHeight="1" spans="1:121">
      <c r="A30" s="27" t="str">
        <f>[2]底表!A30</f>
        <v>盗窃</v>
      </c>
      <c r="B30" s="28" t="str">
        <f>[2]底表!B30</f>
        <v>郁南县</v>
      </c>
      <c r="C30" s="21">
        <f>[2]底表!AM30</f>
        <v>9</v>
      </c>
      <c r="D30" s="21">
        <f>[2]底表!AN30</f>
        <v>2</v>
      </c>
      <c r="E30" s="23">
        <f>[2]底表!AO30</f>
        <v>3.5</v>
      </c>
      <c r="F30" s="21">
        <f>[2]底表!AP30</f>
        <v>1</v>
      </c>
      <c r="G30" s="21">
        <f>[2]底表!AQ30</f>
        <v>8</v>
      </c>
      <c r="H30" s="21">
        <f>[2]底表!AR30</f>
        <v>0.75</v>
      </c>
      <c r="I30" s="21">
        <f>[2]底表!AS30</f>
        <v>0.4167</v>
      </c>
      <c r="J30" s="21">
        <f>[2]底表!AT30</f>
        <v>7</v>
      </c>
      <c r="K30" s="21">
        <f>[2]底表!AU30</f>
        <v>4</v>
      </c>
      <c r="L30" s="21">
        <f>[2]底表!AV30</f>
        <v>0.75</v>
      </c>
      <c r="M30" s="21">
        <f>[2]底表!AW30</f>
        <v>2</v>
      </c>
      <c r="N30" s="21">
        <f>[2]底表!AX30</f>
        <v>2.5</v>
      </c>
      <c r="O30" s="21">
        <f>[2]底表!AY30</f>
        <v>6</v>
      </c>
      <c r="P30" s="21">
        <f>[2]底表!AZ30</f>
        <v>2</v>
      </c>
      <c r="Q30" s="21">
        <f>[2]底表!BA30</f>
        <v>2</v>
      </c>
      <c r="R30" s="21">
        <f>[2]底表!BB30</f>
        <v>1</v>
      </c>
      <c r="S30" s="21">
        <f>[2]底表!BC30</f>
        <v>5</v>
      </c>
      <c r="T30" s="21">
        <f>[2]底表!BD30</f>
        <v>0.8571</v>
      </c>
      <c r="U30" s="21">
        <f>[2]底表!BE30</f>
        <v>0.3571</v>
      </c>
      <c r="V30" s="21">
        <f>[2]底表!BF30</f>
        <v>5</v>
      </c>
      <c r="W30" s="21">
        <f>[2]底表!BG30</f>
        <v>2</v>
      </c>
      <c r="X30" s="21">
        <f>[2]底表!BH30</f>
        <v>1.5</v>
      </c>
      <c r="Y30" s="21">
        <f>[2]底表!BI30</f>
        <v>0</v>
      </c>
      <c r="Z30" s="21" t="str">
        <f>[2]底表!BJ30</f>
        <v>多5起</v>
      </c>
      <c r="AA30" s="21">
        <f>[2]底表!BK30</f>
        <v>0.4167</v>
      </c>
      <c r="AB30" s="21">
        <f>[2]底表!BL30</f>
        <v>3</v>
      </c>
      <c r="AC30" s="21">
        <f>[2]底表!BM30</f>
        <v>0</v>
      </c>
      <c r="AD30" s="21" t="str">
        <f>[2]底表!BN30</f>
        <v>多3起</v>
      </c>
      <c r="AE30" s="21">
        <f>[2]底表!BO30</f>
        <v>0</v>
      </c>
      <c r="AF30" s="21" t="str">
        <f>[2]底表!BP30</f>
        <v>多3起</v>
      </c>
      <c r="AG30" s="21">
        <f>[2]底表!BT30</f>
        <v>3</v>
      </c>
      <c r="AH30" s="21" t="str">
        <f>[2]底表!BU30</f>
        <v>少3起</v>
      </c>
      <c r="AI30" s="21">
        <f>[2]底表!BV30</f>
        <v>0</v>
      </c>
      <c r="AJ30" s="21">
        <f>[2]底表!BW30</f>
        <v>0</v>
      </c>
      <c r="AK30" s="21">
        <f>[2]底表!BX30</f>
        <v>0</v>
      </c>
      <c r="AL30" s="21">
        <f>[2]底表!BY30</f>
        <v>0</v>
      </c>
      <c r="AM30" s="21">
        <f>[2]底表!BZ30</f>
        <v>0</v>
      </c>
      <c r="AN30" s="21">
        <f>[2]底表!CA30</f>
        <v>0</v>
      </c>
      <c r="AO30" s="21" t="str">
        <f>[2]底表!CB30</f>
        <v>持平</v>
      </c>
      <c r="AP30" s="21">
        <f>[2]底表!CC30</f>
        <v>0</v>
      </c>
      <c r="AQ30" s="21" t="str">
        <f>[2]底表!CD30</f>
        <v>持平</v>
      </c>
      <c r="AR30" s="21" t="str">
        <f>[2]底表!CE30</f>
        <v/>
      </c>
      <c r="AS30" s="21" t="str">
        <f>[2]底表!CF30</f>
        <v/>
      </c>
      <c r="AT30" s="21">
        <f>[2]底表!CG30</f>
        <v>7</v>
      </c>
      <c r="AU30" s="21">
        <f>[2]底表!CH30</f>
        <v>3</v>
      </c>
      <c r="AV30" s="21">
        <f>[2]底表!CI30</f>
        <v>1.3333</v>
      </c>
      <c r="AW30" s="21">
        <f>[2]底表!CJ30</f>
        <v>3</v>
      </c>
      <c r="AX30" s="21">
        <f>[2]底表!CK30</f>
        <v>1.3333</v>
      </c>
      <c r="AY30" s="21">
        <f>[2]底表!CL30</f>
        <v>58</v>
      </c>
      <c r="AZ30" s="21">
        <f>[2]底表!CM30</f>
        <v>8</v>
      </c>
      <c r="BA30" s="21">
        <f>[2]底表!CN30</f>
        <v>0.1667</v>
      </c>
      <c r="BB30" s="21">
        <f>[2]底表!CO30</f>
        <v>8</v>
      </c>
      <c r="BC30" s="21">
        <f>[2]底表!CP30</f>
        <v>3</v>
      </c>
      <c r="BD30" s="21">
        <f>[2]底表!CQ30</f>
        <v>1.6667</v>
      </c>
      <c r="BE30" s="21">
        <f>[2]底表!CR30</f>
        <v>2</v>
      </c>
      <c r="BF30" s="21">
        <f>[2]底表!CS30</f>
        <v>3</v>
      </c>
      <c r="BG30" s="21">
        <f>[2]底表!CT30</f>
        <v>1.1429</v>
      </c>
      <c r="BH30" s="21">
        <f>[2]底表!CU30</f>
        <v>0.1429</v>
      </c>
      <c r="BI30" s="21">
        <f>[2]底表!CV30</f>
        <v>67</v>
      </c>
      <c r="BJ30" s="21">
        <f>[2]底表!CW30</f>
        <v>17</v>
      </c>
      <c r="BK30" s="21">
        <f>[2]底表!CX30</f>
        <v>0.3333</v>
      </c>
      <c r="BL30" s="21">
        <f>[2]底表!CY30</f>
        <v>9</v>
      </c>
      <c r="BM30" s="21">
        <f>[2]底表!CZ30</f>
        <v>3</v>
      </c>
      <c r="BN30" s="23">
        <f>[2]底表!DA30</f>
        <v>2</v>
      </c>
      <c r="BO30" s="21">
        <f>[2]底表!DB30</f>
        <v>2</v>
      </c>
      <c r="BP30" s="21">
        <f>[2]底表!DC30</f>
        <v>3.5</v>
      </c>
      <c r="BQ30" s="21">
        <f>[2]底表!DD30</f>
        <v>1.2857</v>
      </c>
      <c r="BR30" s="21">
        <f>[2]底表!DE30</f>
        <v>0.2857</v>
      </c>
      <c r="BS30" s="21">
        <f>[2]底表!DF30</f>
        <v>75</v>
      </c>
      <c r="BT30" s="21">
        <f>[2]底表!DG30</f>
        <v>25</v>
      </c>
      <c r="BU30" s="21">
        <f>[2]底表!DH30</f>
        <v>0.5</v>
      </c>
      <c r="BV30" s="21">
        <f>[2]底表!DI30</f>
        <v>8</v>
      </c>
      <c r="BW30" s="21">
        <f>[2]底表!DJ30</f>
        <v>3</v>
      </c>
      <c r="BX30" s="23">
        <f>[2]底表!DK30</f>
        <v>1.6667</v>
      </c>
      <c r="BY30" s="21">
        <f>[2]底表!DL30</f>
        <v>1</v>
      </c>
      <c r="BZ30" s="21">
        <f>[2]底表!DM30</f>
        <v>7</v>
      </c>
      <c r="CA30" s="21">
        <f>[2]底表!DN30</f>
        <v>1</v>
      </c>
      <c r="CB30" s="21">
        <f>[2]底表!DO30</f>
        <v>0</v>
      </c>
      <c r="CC30" s="21" t="str">
        <f>[2]底表!DP30</f>
        <v>多1人</v>
      </c>
      <c r="CD30" s="21">
        <f>[2]底表!DQ30</f>
        <v>0</v>
      </c>
      <c r="CE30" s="21" t="str">
        <f>[2]底表!DR30</f>
        <v>多1人</v>
      </c>
      <c r="CF30" s="21">
        <f>[2]底表!DS30</f>
        <v>1</v>
      </c>
      <c r="CG30" s="21">
        <f>[2]底表!DT30</f>
        <v>0</v>
      </c>
      <c r="CH30" s="21" t="str">
        <f>[2]底表!DU30</f>
        <v>多1人</v>
      </c>
      <c r="CI30" s="21">
        <f>[2]底表!DV30</f>
        <v>0</v>
      </c>
      <c r="CJ30" s="21" t="str">
        <f>[2]底表!DW30</f>
        <v>多1人</v>
      </c>
      <c r="CK30" s="21">
        <f>[2]底表!DX30</f>
        <v>7</v>
      </c>
      <c r="CL30" s="21">
        <f>[2]底表!DY30</f>
        <v>3</v>
      </c>
      <c r="CM30" s="21">
        <f>[2]底表!DZ30</f>
        <v>1.3333</v>
      </c>
      <c r="CN30" s="21">
        <f>[2]底表!EA30</f>
        <v>1</v>
      </c>
      <c r="CO30" s="21">
        <f>[2]底表!EB30</f>
        <v>6</v>
      </c>
      <c r="CP30" s="21">
        <f>[2]底表!EC30</f>
        <v>5</v>
      </c>
      <c r="CQ30" s="21">
        <f>[2]底表!ED30</f>
        <v>3</v>
      </c>
      <c r="CR30" s="21">
        <f>[2]底表!EE30</f>
        <v>0.6667</v>
      </c>
      <c r="CS30" s="21">
        <f>[2]底表!EF30</f>
        <v>0</v>
      </c>
      <c r="CT30" s="21" t="str">
        <f>[2]底表!EG30</f>
        <v>多5人</v>
      </c>
      <c r="CU30" s="21">
        <f>[2]底表!EH30</f>
        <v>0.625</v>
      </c>
      <c r="CV30" s="21">
        <f>[2]底表!EI30</f>
        <v>-0.375</v>
      </c>
      <c r="CW30" s="21">
        <f>[2]底表!EJ30</f>
        <v>42</v>
      </c>
      <c r="CX30" s="21">
        <f>[2]底表!EK30</f>
        <v>-8</v>
      </c>
      <c r="CY30" s="21">
        <f>[2]底表!EL30</f>
        <v>-0.1667</v>
      </c>
      <c r="CZ30" s="21">
        <f>[2]底表!EM30</f>
        <v>5</v>
      </c>
      <c r="DA30" s="21">
        <f>[2]底表!EN30</f>
        <v>3</v>
      </c>
      <c r="DB30" s="21">
        <f>[2]底表!EO30</f>
        <v>0.6667</v>
      </c>
      <c r="DC30" s="21">
        <f>[2]底表!EP30</f>
        <v>0</v>
      </c>
      <c r="DD30" s="21" t="str">
        <f>[2]底表!EQ30</f>
        <v>多5人</v>
      </c>
      <c r="DE30" s="21">
        <f>[2]底表!ER30</f>
        <v>2</v>
      </c>
      <c r="DF30" s="21">
        <f>[2]底表!ES30</f>
        <v>1</v>
      </c>
      <c r="DG30" s="23">
        <f>[2]底表!ET30</f>
        <v>1</v>
      </c>
      <c r="DH30" s="21">
        <f>[2]底表!EU30</f>
        <v>3</v>
      </c>
      <c r="DI30" s="21">
        <f>[2]底表!EV30</f>
        <v>-0.3333</v>
      </c>
      <c r="DJ30" s="21">
        <f>[2]底表!EW30</f>
        <v>0.25</v>
      </c>
      <c r="DK30" s="21">
        <f>[2]底表!EX30</f>
        <v>-0.0833</v>
      </c>
      <c r="DL30" s="21">
        <f>[2]底表!EY30</f>
        <v>17</v>
      </c>
      <c r="DM30" s="21">
        <f>[2]底表!EZ30</f>
        <v>0</v>
      </c>
      <c r="DN30" s="21">
        <f>[2]底表!FA30</f>
        <v>0</v>
      </c>
      <c r="DO30" s="21">
        <f>[2]底表!BQ30</f>
        <v>0</v>
      </c>
      <c r="DP30" s="21">
        <f>[2]底表!BR30</f>
        <v>0</v>
      </c>
      <c r="DQ30" s="24" t="str">
        <f>[2]底表!BS30</f>
        <v>持平</v>
      </c>
    </row>
    <row r="31" s="2" customFormat="1" ht="32" hidden="1" customHeight="1" spans="1:121">
      <c r="A31" s="27" t="str">
        <f>[2]底表!A31</f>
        <v>盗窃</v>
      </c>
      <c r="B31" s="28" t="str">
        <f>[2]底表!B31</f>
        <v>罗定市</v>
      </c>
      <c r="C31" s="21">
        <f>[2]底表!AM31</f>
        <v>5</v>
      </c>
      <c r="D31" s="21">
        <f>[2]底表!AN31</f>
        <v>6</v>
      </c>
      <c r="E31" s="23">
        <f>[2]底表!AO31</f>
        <v>-0.1667</v>
      </c>
      <c r="F31" s="21">
        <f>[2]底表!AP31</f>
        <v>13</v>
      </c>
      <c r="G31" s="21">
        <f>[2]底表!AQ31</f>
        <v>-0.6154</v>
      </c>
      <c r="H31" s="21">
        <f>[2]底表!AR31</f>
        <v>0.5556</v>
      </c>
      <c r="I31" s="21">
        <f>[2]底表!AS31</f>
        <v>-0.0444</v>
      </c>
      <c r="J31" s="21">
        <f>[2]底表!AT31</f>
        <v>4</v>
      </c>
      <c r="K31" s="21">
        <f>[2]底表!AU31</f>
        <v>7</v>
      </c>
      <c r="L31" s="21">
        <f>[2]底表!AV31</f>
        <v>-0.4286</v>
      </c>
      <c r="M31" s="21">
        <f>[2]底表!AW31</f>
        <v>6</v>
      </c>
      <c r="N31" s="21">
        <f>[2]底表!AX31</f>
        <v>-0.3333</v>
      </c>
      <c r="O31" s="21">
        <f>[2]底表!AY31</f>
        <v>3</v>
      </c>
      <c r="P31" s="21">
        <f>[2]底表!AZ31</f>
        <v>4</v>
      </c>
      <c r="Q31" s="21">
        <f>[2]底表!BA31</f>
        <v>-0.25</v>
      </c>
      <c r="R31" s="21">
        <f>[2]底表!BB31</f>
        <v>13</v>
      </c>
      <c r="S31" s="21">
        <f>[2]底表!BC31</f>
        <v>-0.7692</v>
      </c>
      <c r="T31" s="21">
        <f>[2]底表!BD31</f>
        <v>0.75</v>
      </c>
      <c r="U31" s="21">
        <f>[2]底表!BE31</f>
        <v>0.1786</v>
      </c>
      <c r="V31" s="21">
        <f>[2]底表!BF31</f>
        <v>5</v>
      </c>
      <c r="W31" s="21">
        <f>[2]底表!BG31</f>
        <v>3</v>
      </c>
      <c r="X31" s="21">
        <f>[2]底表!BH31</f>
        <v>0.6667</v>
      </c>
      <c r="Y31" s="21">
        <f>[2]底表!BI31</f>
        <v>0</v>
      </c>
      <c r="Z31" s="21" t="str">
        <f>[2]底表!BJ31</f>
        <v>多5起</v>
      </c>
      <c r="AA31" s="21">
        <f>[2]底表!BK31</f>
        <v>0.5556</v>
      </c>
      <c r="AB31" s="21">
        <f>[2]底表!BL31</f>
        <v>2</v>
      </c>
      <c r="AC31" s="21">
        <f>[2]底表!BM31</f>
        <v>2</v>
      </c>
      <c r="AD31" s="21">
        <f>[2]底表!BN31</f>
        <v>0</v>
      </c>
      <c r="AE31" s="21">
        <f>[2]底表!BO31</f>
        <v>0</v>
      </c>
      <c r="AF31" s="21" t="str">
        <f>[2]底表!BP31</f>
        <v>多2起</v>
      </c>
      <c r="AG31" s="21">
        <f>[2]底表!BT31</f>
        <v>7</v>
      </c>
      <c r="AH31" s="21">
        <f>[2]底表!BU31</f>
        <v>-0.5714</v>
      </c>
      <c r="AI31" s="21">
        <f>[2]底表!BV31</f>
        <v>0.3333</v>
      </c>
      <c r="AJ31" s="21">
        <f>[2]底表!BW31</f>
        <v>-0.0667</v>
      </c>
      <c r="AK31" s="21">
        <f>[2]底表!BX31</f>
        <v>0.75</v>
      </c>
      <c r="AL31" s="21">
        <f>[2]底表!BY31</f>
        <v>0.1786</v>
      </c>
      <c r="AM31" s="21">
        <f>[2]底表!BZ31</f>
        <v>0</v>
      </c>
      <c r="AN31" s="21">
        <f>[2]底表!CA31</f>
        <v>0</v>
      </c>
      <c r="AO31" s="21" t="str">
        <f>[2]底表!CB31</f>
        <v>持平</v>
      </c>
      <c r="AP31" s="21">
        <f>[2]底表!CC31</f>
        <v>0</v>
      </c>
      <c r="AQ31" s="21" t="str">
        <f>[2]底表!CD31</f>
        <v>持平</v>
      </c>
      <c r="AR31" s="21" t="str">
        <f>[2]底表!CE31</f>
        <v/>
      </c>
      <c r="AS31" s="21" t="str">
        <f>[2]底表!CF31</f>
        <v/>
      </c>
      <c r="AT31" s="21">
        <f>[2]底表!CG31</f>
        <v>5</v>
      </c>
      <c r="AU31" s="21">
        <f>[2]底表!CH31</f>
        <v>14</v>
      </c>
      <c r="AV31" s="21">
        <f>[2]底表!CI31</f>
        <v>-0.6429</v>
      </c>
      <c r="AW31" s="21">
        <f>[2]底表!CJ31</f>
        <v>13</v>
      </c>
      <c r="AX31" s="21">
        <f>[2]底表!CK31</f>
        <v>-0.6154</v>
      </c>
      <c r="AY31" s="21">
        <f>[2]底表!CL31</f>
        <v>56</v>
      </c>
      <c r="AZ31" s="21">
        <f>[2]底表!CM31</f>
        <v>-84</v>
      </c>
      <c r="BA31" s="21">
        <f>[2]底表!CN31</f>
        <v>-0.6032</v>
      </c>
      <c r="BB31" s="21">
        <f>[2]底表!CO31</f>
        <v>6</v>
      </c>
      <c r="BC31" s="21">
        <f>[2]底表!CP31</f>
        <v>9</v>
      </c>
      <c r="BD31" s="21">
        <f>[2]底表!CQ31</f>
        <v>-0.3333</v>
      </c>
      <c r="BE31" s="21">
        <f>[2]底表!CR31</f>
        <v>10</v>
      </c>
      <c r="BF31" s="21">
        <f>[2]底表!CS31</f>
        <v>-0.4</v>
      </c>
      <c r="BG31" s="21">
        <f>[2]底表!CT31</f>
        <v>1.2</v>
      </c>
      <c r="BH31" s="21">
        <f>[2]底表!CU31</f>
        <v>0.5571</v>
      </c>
      <c r="BI31" s="21">
        <f>[2]底表!CV31</f>
        <v>67</v>
      </c>
      <c r="BJ31" s="21">
        <f>[2]底表!CW31</f>
        <v>-23</v>
      </c>
      <c r="BK31" s="21">
        <f>[2]底表!CX31</f>
        <v>-0.2593</v>
      </c>
      <c r="BL31" s="21">
        <f>[2]底表!CY31</f>
        <v>8</v>
      </c>
      <c r="BM31" s="21">
        <f>[2]底表!CZ31</f>
        <v>10</v>
      </c>
      <c r="BN31" s="23">
        <f>[2]底表!DA31</f>
        <v>-0.2</v>
      </c>
      <c r="BO31" s="21">
        <f>[2]底表!DB31</f>
        <v>11</v>
      </c>
      <c r="BP31" s="21">
        <f>[2]底表!DC31</f>
        <v>-0.2727</v>
      </c>
      <c r="BQ31" s="21">
        <f>[2]底表!DD31</f>
        <v>1.6</v>
      </c>
      <c r="BR31" s="21">
        <f>[2]底表!DE31</f>
        <v>0.8857</v>
      </c>
      <c r="BS31" s="21">
        <f>[2]底表!DF31</f>
        <v>89</v>
      </c>
      <c r="BT31" s="21">
        <f>[2]底表!DG31</f>
        <v>-11</v>
      </c>
      <c r="BU31" s="21">
        <f>[2]底表!DH31</f>
        <v>-0.1111</v>
      </c>
      <c r="BV31" s="21">
        <f>[2]底表!DI31</f>
        <v>7</v>
      </c>
      <c r="BW31" s="21">
        <f>[2]底表!DJ31</f>
        <v>0</v>
      </c>
      <c r="BX31" s="23" t="str">
        <f>[2]底表!DK31</f>
        <v>多7人</v>
      </c>
      <c r="BY31" s="21">
        <f>[2]底表!DL31</f>
        <v>11</v>
      </c>
      <c r="BZ31" s="21">
        <f>[2]底表!DM31</f>
        <v>-0.3636</v>
      </c>
      <c r="CA31" s="21">
        <f>[2]底表!DN31</f>
        <v>6</v>
      </c>
      <c r="CB31" s="21">
        <f>[2]底表!DO31</f>
        <v>1</v>
      </c>
      <c r="CC31" s="21">
        <f>[2]底表!DP31</f>
        <v>5</v>
      </c>
      <c r="CD31" s="21">
        <f>[2]底表!DQ31</f>
        <v>7</v>
      </c>
      <c r="CE31" s="21">
        <f>[2]底表!DR31</f>
        <v>-0.1429</v>
      </c>
      <c r="CF31" s="21">
        <f>[2]底表!DS31</f>
        <v>6</v>
      </c>
      <c r="CG31" s="21">
        <f>[2]底表!DT31</f>
        <v>1</v>
      </c>
      <c r="CH31" s="21">
        <f>[2]底表!DU31</f>
        <v>5</v>
      </c>
      <c r="CI31" s="21">
        <f>[2]底表!DV31</f>
        <v>7</v>
      </c>
      <c r="CJ31" s="21">
        <f>[2]底表!DW31</f>
        <v>-0.1429</v>
      </c>
      <c r="CK31" s="21">
        <f>[2]底表!DX31</f>
        <v>8</v>
      </c>
      <c r="CL31" s="21">
        <f>[2]底表!DY31</f>
        <v>2</v>
      </c>
      <c r="CM31" s="21">
        <f>[2]底表!DZ31</f>
        <v>3</v>
      </c>
      <c r="CN31" s="21">
        <f>[2]底表!EA31</f>
        <v>7</v>
      </c>
      <c r="CO31" s="21">
        <f>[2]底表!EB31</f>
        <v>0.1429</v>
      </c>
      <c r="CP31" s="21">
        <f>[2]底表!EC31</f>
        <v>4</v>
      </c>
      <c r="CQ31" s="21">
        <f>[2]底表!ED31</f>
        <v>3</v>
      </c>
      <c r="CR31" s="21">
        <f>[2]底表!EE31</f>
        <v>0.3333</v>
      </c>
      <c r="CS31" s="21">
        <f>[2]底表!EF31</f>
        <v>6</v>
      </c>
      <c r="CT31" s="21">
        <f>[2]底表!EG31</f>
        <v>-0.3333</v>
      </c>
      <c r="CU31" s="21">
        <f>[2]底表!EH31</f>
        <v>0.6667</v>
      </c>
      <c r="CV31" s="21">
        <f>[2]底表!EI31</f>
        <v>0.3333</v>
      </c>
      <c r="CW31" s="21">
        <f>[2]底表!EJ31</f>
        <v>44</v>
      </c>
      <c r="CX31" s="21">
        <f>[2]底表!EK31</f>
        <v>14</v>
      </c>
      <c r="CY31" s="21">
        <f>[2]底表!EL31</f>
        <v>0.4815</v>
      </c>
      <c r="CZ31" s="21">
        <f>[2]底表!EM31</f>
        <v>4</v>
      </c>
      <c r="DA31" s="21">
        <f>[2]底表!EN31</f>
        <v>3</v>
      </c>
      <c r="DB31" s="21">
        <f>[2]底表!EO31</f>
        <v>0.3333</v>
      </c>
      <c r="DC31" s="21">
        <f>[2]底表!EP31</f>
        <v>6</v>
      </c>
      <c r="DD31" s="21">
        <f>[2]底表!EQ31</f>
        <v>-0.3333</v>
      </c>
      <c r="DE31" s="21">
        <f>[2]底表!ER31</f>
        <v>10</v>
      </c>
      <c r="DF31" s="21">
        <f>[2]底表!ES31</f>
        <v>4</v>
      </c>
      <c r="DG31" s="23">
        <f>[2]底表!ET31</f>
        <v>1.5</v>
      </c>
      <c r="DH31" s="21">
        <f>[2]底表!EU31</f>
        <v>9</v>
      </c>
      <c r="DI31" s="21">
        <f>[2]底表!EV31</f>
        <v>0.1111</v>
      </c>
      <c r="DJ31" s="21">
        <f>[2]底表!EW31</f>
        <v>1.6667</v>
      </c>
      <c r="DK31" s="21">
        <f>[2]底表!EX31</f>
        <v>1.2222</v>
      </c>
      <c r="DL31" s="21">
        <f>[2]底表!EY31</f>
        <v>111</v>
      </c>
      <c r="DM31" s="21">
        <f>[2]底表!EZ31</f>
        <v>71</v>
      </c>
      <c r="DN31" s="21">
        <f>[2]底表!FA31</f>
        <v>1.7778</v>
      </c>
      <c r="DO31" s="21">
        <f>[2]底表!BQ31</f>
        <v>3</v>
      </c>
      <c r="DP31" s="21">
        <f>[2]底表!BR31</f>
        <v>4</v>
      </c>
      <c r="DQ31" s="24">
        <f>[2]底表!BS31</f>
        <v>-0.25</v>
      </c>
    </row>
    <row r="32" s="2" customFormat="1" ht="32" hidden="1" customHeight="1" spans="1:121">
      <c r="A32" s="27" t="str">
        <f>[2]底表!A32</f>
        <v>诈骗及关联犯罪</v>
      </c>
      <c r="B32" s="28" t="str">
        <f>[2]底表!B32</f>
        <v>全省</v>
      </c>
      <c r="C32" s="21">
        <f>[2]底表!AM32</f>
        <v>7675</v>
      </c>
      <c r="D32" s="21">
        <f>[2]底表!AN32</f>
        <v>4906</v>
      </c>
      <c r="E32" s="23">
        <f>[2]底表!AO32</f>
        <v>0.5644</v>
      </c>
      <c r="F32" s="21">
        <f>[2]底表!AP32</f>
        <v>20926</v>
      </c>
      <c r="G32" s="21">
        <f>[2]底表!AQ32</f>
        <v>-0.6332</v>
      </c>
      <c r="H32" s="21">
        <f>[2]底表!AR32</f>
        <v>0.484</v>
      </c>
      <c r="I32" s="21">
        <f>[2]底表!AS32</f>
        <v>0.2345</v>
      </c>
      <c r="J32" s="21">
        <f>[2]底表!AT32</f>
        <v>9097</v>
      </c>
      <c r="K32" s="21">
        <f>[2]底表!AU32</f>
        <v>8194</v>
      </c>
      <c r="L32" s="21">
        <f>[2]底表!AV32</f>
        <v>0.1102</v>
      </c>
      <c r="M32" s="21">
        <f>[2]底表!AW32</f>
        <v>19102</v>
      </c>
      <c r="N32" s="21">
        <f>[2]底表!AX32</f>
        <v>-0.5238</v>
      </c>
      <c r="O32" s="21">
        <f>[2]底表!AY32</f>
        <v>1300</v>
      </c>
      <c r="P32" s="21">
        <f>[2]底表!AZ32</f>
        <v>1180</v>
      </c>
      <c r="Q32" s="21">
        <f>[2]底表!BA32</f>
        <v>0.1017</v>
      </c>
      <c r="R32" s="21">
        <f>[2]底表!BB32</f>
        <v>6493</v>
      </c>
      <c r="S32" s="21">
        <f>[2]底表!BC32</f>
        <v>-0.7998</v>
      </c>
      <c r="T32" s="21">
        <f>[2]底表!BD32</f>
        <v>0.1429</v>
      </c>
      <c r="U32" s="21">
        <f>[2]底表!BE32</f>
        <v>-0.0011</v>
      </c>
      <c r="V32" s="21">
        <f>[2]底表!BF32</f>
        <v>6762</v>
      </c>
      <c r="W32" s="21">
        <f>[2]底表!BG32</f>
        <v>11477</v>
      </c>
      <c r="X32" s="21">
        <f>[2]底表!BH32</f>
        <v>-0.4108</v>
      </c>
      <c r="Y32" s="21">
        <f>[2]底表!BI32</f>
        <v>788</v>
      </c>
      <c r="Z32" s="21">
        <f>[2]底表!BJ32</f>
        <v>7.5812</v>
      </c>
      <c r="AA32" s="21">
        <f>[2]底表!BK32</f>
        <v>0.4264</v>
      </c>
      <c r="AB32" s="21">
        <f>[2]底表!BL32</f>
        <v>6375</v>
      </c>
      <c r="AC32" s="21">
        <f>[2]底表!BM32</f>
        <v>3726</v>
      </c>
      <c r="AD32" s="21">
        <f>[2]底表!BN32</f>
        <v>0.711</v>
      </c>
      <c r="AE32" s="21">
        <f>[2]底表!BO32</f>
        <v>14433</v>
      </c>
      <c r="AF32" s="21">
        <f>[2]底表!BP32</f>
        <v>-0.5583</v>
      </c>
      <c r="AG32" s="21">
        <f>[2]底表!BT32</f>
        <v>2699</v>
      </c>
      <c r="AH32" s="21">
        <f>[2]底表!BU32</f>
        <v>-0.4894</v>
      </c>
      <c r="AI32" s="21">
        <f>[2]底表!BV32</f>
        <v>0.0869</v>
      </c>
      <c r="AJ32" s="21">
        <f>[2]底表!BW32</f>
        <v>0.0271</v>
      </c>
      <c r="AK32" s="21">
        <f>[2]底表!BX32</f>
        <v>0.1515</v>
      </c>
      <c r="AL32" s="21">
        <f>[2]底表!BY32</f>
        <v>0.0078</v>
      </c>
      <c r="AM32" s="21">
        <f>[2]底表!BZ32</f>
        <v>14</v>
      </c>
      <c r="AN32" s="21">
        <f>[2]底表!CA32</f>
        <v>7</v>
      </c>
      <c r="AO32" s="21">
        <f>[2]底表!CB32</f>
        <v>1</v>
      </c>
      <c r="AP32" s="21">
        <f>[2]底表!CC32</f>
        <v>245</v>
      </c>
      <c r="AQ32" s="21">
        <f>[2]底表!CD32</f>
        <v>-0.9429</v>
      </c>
      <c r="AR32" s="21" t="str">
        <f>[2]底表!CE32</f>
        <v/>
      </c>
      <c r="AS32" s="21" t="str">
        <f>[2]底表!CF32</f>
        <v/>
      </c>
      <c r="AT32" s="21">
        <f>[2]底表!CG32</f>
        <v>8324</v>
      </c>
      <c r="AU32" s="21">
        <f>[2]底表!CH32</f>
        <v>5779</v>
      </c>
      <c r="AV32" s="21">
        <f>[2]底表!CI32</f>
        <v>0.4404</v>
      </c>
      <c r="AW32" s="21">
        <f>[2]底表!CJ32</f>
        <v>9365</v>
      </c>
      <c r="AX32" s="21">
        <f>[2]底表!CK32</f>
        <v>-0.1112</v>
      </c>
      <c r="AY32" s="21">
        <f>[2]底表!CL32</f>
        <v>52</v>
      </c>
      <c r="AZ32" s="21">
        <f>[2]底表!CM32</f>
        <v>23</v>
      </c>
      <c r="BA32" s="21">
        <f>[2]底表!CN32</f>
        <v>0.7866</v>
      </c>
      <c r="BB32" s="21">
        <f>[2]底表!CO32</f>
        <v>9271</v>
      </c>
      <c r="BC32" s="21">
        <f>[2]底表!CP32</f>
        <v>4404</v>
      </c>
      <c r="BD32" s="21">
        <f>[2]底表!CQ32</f>
        <v>1.1051</v>
      </c>
      <c r="BE32" s="21">
        <f>[2]底表!CR32</f>
        <v>7077</v>
      </c>
      <c r="BF32" s="21">
        <f>[2]底表!CS32</f>
        <v>0.31</v>
      </c>
      <c r="BG32" s="21">
        <f>[2]底表!CT32</f>
        <v>1.1138</v>
      </c>
      <c r="BH32" s="21">
        <f>[2]底表!CU32</f>
        <v>0.3517</v>
      </c>
      <c r="BI32" s="21">
        <f>[2]底表!CV32</f>
        <v>58</v>
      </c>
      <c r="BJ32" s="21">
        <f>[2]底表!CW32</f>
        <v>36</v>
      </c>
      <c r="BK32" s="21">
        <f>[2]底表!CX32</f>
        <v>1.6111</v>
      </c>
      <c r="BL32" s="21">
        <f>[2]底表!CY32</f>
        <v>10044</v>
      </c>
      <c r="BM32" s="21">
        <f>[2]底表!CZ32</f>
        <v>5034</v>
      </c>
      <c r="BN32" s="23">
        <f>[2]底表!DA32</f>
        <v>0.9952</v>
      </c>
      <c r="BO32" s="21">
        <f>[2]底表!DB32</f>
        <v>7872</v>
      </c>
      <c r="BP32" s="21">
        <f>[2]底表!DC32</f>
        <v>0.2759</v>
      </c>
      <c r="BQ32" s="21">
        <f>[2]底表!DD32</f>
        <v>1.2066</v>
      </c>
      <c r="BR32" s="21">
        <f>[2]底表!DE32</f>
        <v>0.3355</v>
      </c>
      <c r="BS32" s="21">
        <f>[2]底表!DF32</f>
        <v>63</v>
      </c>
      <c r="BT32" s="21">
        <f>[2]底表!DG32</f>
        <v>38</v>
      </c>
      <c r="BU32" s="21">
        <f>[2]底表!DH32</f>
        <v>1.4748</v>
      </c>
      <c r="BV32" s="21">
        <f>[2]底表!DI32</f>
        <v>8536</v>
      </c>
      <c r="BW32" s="21">
        <f>[2]底表!DJ32</f>
        <v>3813</v>
      </c>
      <c r="BX32" s="23">
        <f>[2]底表!DK32</f>
        <v>1.2387</v>
      </c>
      <c r="BY32" s="21">
        <f>[2]底表!DL32</f>
        <v>6507</v>
      </c>
      <c r="BZ32" s="21">
        <f>[2]底表!DM32</f>
        <v>0.3118</v>
      </c>
      <c r="CA32" s="21">
        <f>[2]底表!DN32</f>
        <v>5002</v>
      </c>
      <c r="CB32" s="21">
        <f>[2]底表!DO32</f>
        <v>3460</v>
      </c>
      <c r="CC32" s="21">
        <f>[2]底表!DP32</f>
        <v>0.4457</v>
      </c>
      <c r="CD32" s="21">
        <f>[2]底表!DQ32</f>
        <v>4892</v>
      </c>
      <c r="CE32" s="21">
        <f>[2]底表!DR32</f>
        <v>0.0225</v>
      </c>
      <c r="CF32" s="21">
        <f>[2]底表!DS32</f>
        <v>5005</v>
      </c>
      <c r="CG32" s="21">
        <f>[2]底表!DT32</f>
        <v>3462</v>
      </c>
      <c r="CH32" s="21">
        <f>[2]底表!DU32</f>
        <v>0.4457</v>
      </c>
      <c r="CI32" s="21">
        <f>[2]底表!DV32</f>
        <v>4894</v>
      </c>
      <c r="CJ32" s="21">
        <f>[2]底表!DW32</f>
        <v>0.0227</v>
      </c>
      <c r="CK32" s="21">
        <f>[2]底表!DX32</f>
        <v>3487</v>
      </c>
      <c r="CL32" s="21">
        <f>[2]底表!DY32</f>
        <v>2942</v>
      </c>
      <c r="CM32" s="21">
        <f>[2]底表!DZ32</f>
        <v>0.1852</v>
      </c>
      <c r="CN32" s="21">
        <f>[2]底表!EA32</f>
        <v>3113</v>
      </c>
      <c r="CO32" s="21">
        <f>[2]底表!EB32</f>
        <v>0.1201</v>
      </c>
      <c r="CP32" s="21">
        <f>[2]底表!EC32</f>
        <v>1444</v>
      </c>
      <c r="CQ32" s="21">
        <f>[2]底表!ED32</f>
        <v>1885</v>
      </c>
      <c r="CR32" s="21">
        <f>[2]底表!EE32</f>
        <v>-0.234</v>
      </c>
      <c r="CS32" s="21">
        <f>[2]底表!EF32</f>
        <v>1489</v>
      </c>
      <c r="CT32" s="21">
        <f>[2]底表!EG32</f>
        <v>-0.0302</v>
      </c>
      <c r="CU32" s="21">
        <f>[2]底表!EH32</f>
        <v>0.1558</v>
      </c>
      <c r="CV32" s="21">
        <f>[2]底表!EI32</f>
        <v>-0.2723</v>
      </c>
      <c r="CW32" s="21">
        <f>[2]底表!EJ32</f>
        <v>9</v>
      </c>
      <c r="CX32" s="21">
        <f>[2]底表!EK32</f>
        <v>0</v>
      </c>
      <c r="CY32" s="21">
        <f>[2]底表!EL32</f>
        <v>-0.0498</v>
      </c>
      <c r="CZ32" s="21">
        <f>[2]底表!EM32</f>
        <v>1527</v>
      </c>
      <c r="DA32" s="21">
        <f>[2]底表!EN32</f>
        <v>1862</v>
      </c>
      <c r="DB32" s="21">
        <f>[2]底表!EO32</f>
        <v>-0.1799</v>
      </c>
      <c r="DC32" s="21">
        <f>[2]底表!EP32</f>
        <v>1504</v>
      </c>
      <c r="DD32" s="21">
        <f>[2]底表!EQ32</f>
        <v>0.0153</v>
      </c>
      <c r="DE32" s="21">
        <f>[2]底表!ER32</f>
        <v>2130</v>
      </c>
      <c r="DF32" s="21">
        <f>[2]底表!ES32</f>
        <v>1766</v>
      </c>
      <c r="DG32" s="23">
        <f>[2]底表!ET32</f>
        <v>0.2061</v>
      </c>
      <c r="DH32" s="21">
        <f>[2]底表!EU32</f>
        <v>3970</v>
      </c>
      <c r="DI32" s="21">
        <f>[2]底表!EV32</f>
        <v>-0.4635</v>
      </c>
      <c r="DJ32" s="21">
        <f>[2]底表!EW32</f>
        <v>0.2297</v>
      </c>
      <c r="DK32" s="21">
        <f>[2]底表!EX32</f>
        <v>-0.1713</v>
      </c>
      <c r="DL32" s="21">
        <f>[2]底表!EY32</f>
        <v>13</v>
      </c>
      <c r="DM32" s="21">
        <f>[2]底表!EZ32</f>
        <v>4</v>
      </c>
      <c r="DN32" s="21">
        <f>[2]底表!FA32</f>
        <v>0.496</v>
      </c>
      <c r="DO32" s="21">
        <f>[2]底表!BQ32</f>
        <v>1378</v>
      </c>
      <c r="DP32" s="21">
        <f>[2]底表!BR32</f>
        <v>1177</v>
      </c>
      <c r="DQ32" s="24">
        <f>[2]底表!BS32</f>
        <v>0.1708</v>
      </c>
    </row>
    <row r="33" s="2" customFormat="1" ht="32" hidden="1" customHeight="1" spans="1:121">
      <c r="A33" s="27" t="str">
        <f>[2]底表!A33</f>
        <v>诈骗及关联犯罪</v>
      </c>
      <c r="B33" s="28" t="str">
        <f>[2]底表!B33</f>
        <v>云浮</v>
      </c>
      <c r="C33" s="21">
        <f>[2]底表!AM33</f>
        <v>56</v>
      </c>
      <c r="D33" s="21">
        <f>[2]底表!AN33</f>
        <v>36</v>
      </c>
      <c r="E33" s="23">
        <f>[2]底表!AO33</f>
        <v>0.5556</v>
      </c>
      <c r="F33" s="21">
        <f>[2]底表!AP33</f>
        <v>163</v>
      </c>
      <c r="G33" s="21">
        <f>[2]底表!AQ33</f>
        <v>-0.6564</v>
      </c>
      <c r="H33" s="21">
        <f>[2]底表!AR33</f>
        <v>0.5385</v>
      </c>
      <c r="I33" s="21">
        <f>[2]底表!AS33</f>
        <v>0.2678</v>
      </c>
      <c r="J33" s="21">
        <f>[2]底表!AT33</f>
        <v>52</v>
      </c>
      <c r="K33" s="21">
        <f>[2]底表!AU33</f>
        <v>60</v>
      </c>
      <c r="L33" s="21">
        <f>[2]底表!AV33</f>
        <v>-0.1333</v>
      </c>
      <c r="M33" s="21">
        <f>[2]底表!AW33</f>
        <v>76</v>
      </c>
      <c r="N33" s="21">
        <f>[2]底表!AX33</f>
        <v>-0.3158</v>
      </c>
      <c r="O33" s="21">
        <f>[2]底表!AY33</f>
        <v>7</v>
      </c>
      <c r="P33" s="21">
        <f>[2]底表!AZ33</f>
        <v>10</v>
      </c>
      <c r="Q33" s="21">
        <f>[2]底表!BA33</f>
        <v>-0.3</v>
      </c>
      <c r="R33" s="21">
        <f>[2]底表!BB33</f>
        <v>43</v>
      </c>
      <c r="S33" s="21">
        <f>[2]底表!BC33</f>
        <v>-0.8372</v>
      </c>
      <c r="T33" s="21">
        <f>[2]底表!BD33</f>
        <v>0.1346</v>
      </c>
      <c r="U33" s="21">
        <f>[2]底表!BE33</f>
        <v>-0.0321</v>
      </c>
      <c r="V33" s="21">
        <f>[2]底表!BF33</f>
        <v>52</v>
      </c>
      <c r="W33" s="21">
        <f>[2]底表!BG33</f>
        <v>73</v>
      </c>
      <c r="X33" s="21">
        <f>[2]底表!BH33</f>
        <v>-0.2877</v>
      </c>
      <c r="Y33" s="21">
        <f>[2]底表!BI33</f>
        <v>2</v>
      </c>
      <c r="Z33" s="21">
        <f>[2]底表!BJ33</f>
        <v>25</v>
      </c>
      <c r="AA33" s="21">
        <f>[2]底表!BK33</f>
        <v>0.5</v>
      </c>
      <c r="AB33" s="21">
        <f>[2]底表!BL33</f>
        <v>49</v>
      </c>
      <c r="AC33" s="21">
        <f>[2]底表!BM33</f>
        <v>26</v>
      </c>
      <c r="AD33" s="21">
        <f>[2]底表!BN33</f>
        <v>0.8846</v>
      </c>
      <c r="AE33" s="21">
        <f>[2]底表!BO33</f>
        <v>120</v>
      </c>
      <c r="AF33" s="21">
        <f>[2]底表!BP33</f>
        <v>-0.5917</v>
      </c>
      <c r="AG33" s="21">
        <f>[2]底表!BT33</f>
        <v>20</v>
      </c>
      <c r="AH33" s="21">
        <f>[2]底表!BU33</f>
        <v>-0.4</v>
      </c>
      <c r="AI33" s="21">
        <f>[2]底表!BV33</f>
        <v>0.1154</v>
      </c>
      <c r="AJ33" s="21">
        <f>[2]底表!BW33</f>
        <v>-0.0049</v>
      </c>
      <c r="AK33" s="21">
        <f>[2]底表!BX33</f>
        <v>0.2308</v>
      </c>
      <c r="AL33" s="21">
        <f>[2]底表!BY33</f>
        <v>-0.0359</v>
      </c>
      <c r="AM33" s="21">
        <f>[2]底表!BZ33</f>
        <v>0</v>
      </c>
      <c r="AN33" s="21">
        <f>[2]底表!CA33</f>
        <v>0</v>
      </c>
      <c r="AO33" s="21" t="str">
        <f>[2]底表!CB33</f>
        <v>持平</v>
      </c>
      <c r="AP33" s="21">
        <f>[2]底表!CC33</f>
        <v>3</v>
      </c>
      <c r="AQ33" s="21" t="str">
        <f>[2]底表!CD33</f>
        <v>少3起</v>
      </c>
      <c r="AR33" s="21" t="str">
        <f>[2]底表!CE33</f>
        <v/>
      </c>
      <c r="AS33" s="21" t="str">
        <f>[2]底表!CF33</f>
        <v/>
      </c>
      <c r="AT33" s="21">
        <f>[2]底表!CG33</f>
        <v>92</v>
      </c>
      <c r="AU33" s="21">
        <f>[2]底表!CH33</f>
        <v>129</v>
      </c>
      <c r="AV33" s="21">
        <f>[2]底表!CI33</f>
        <v>-0.2868</v>
      </c>
      <c r="AW33" s="21">
        <f>[2]底表!CJ33</f>
        <v>111</v>
      </c>
      <c r="AX33" s="21">
        <f>[2]底表!CK33</f>
        <v>-0.1712</v>
      </c>
      <c r="AY33" s="21">
        <f>[2]底表!CL33</f>
        <v>88</v>
      </c>
      <c r="AZ33" s="21">
        <f>[2]底表!CM33</f>
        <v>-9</v>
      </c>
      <c r="BA33" s="21">
        <f>[2]底表!CN33</f>
        <v>-0.088</v>
      </c>
      <c r="BB33" s="21">
        <f>[2]底表!CO33</f>
        <v>104</v>
      </c>
      <c r="BC33" s="21">
        <f>[2]底表!CP33</f>
        <v>150</v>
      </c>
      <c r="BD33" s="21">
        <f>[2]底表!CQ33</f>
        <v>-0.3067</v>
      </c>
      <c r="BE33" s="21">
        <f>[2]底表!CR33</f>
        <v>35</v>
      </c>
      <c r="BF33" s="21">
        <f>[2]底表!CS33</f>
        <v>1.9714</v>
      </c>
      <c r="BG33" s="21">
        <f>[2]底表!CT33</f>
        <v>1.1304</v>
      </c>
      <c r="BH33" s="21">
        <f>[2]底表!CU33</f>
        <v>-0.0324</v>
      </c>
      <c r="BI33" s="21">
        <f>[2]底表!CV33</f>
        <v>100</v>
      </c>
      <c r="BJ33" s="21">
        <f>[2]底表!CW33</f>
        <v>-13</v>
      </c>
      <c r="BK33" s="21">
        <f>[2]底表!CX33</f>
        <v>-0.1133</v>
      </c>
      <c r="BL33" s="21">
        <f>[2]底表!CY33</f>
        <v>109</v>
      </c>
      <c r="BM33" s="21">
        <f>[2]底表!CZ33</f>
        <v>169</v>
      </c>
      <c r="BN33" s="23">
        <f>[2]底表!DA33</f>
        <v>-0.355</v>
      </c>
      <c r="BO33" s="21">
        <f>[2]底表!DB33</f>
        <v>37</v>
      </c>
      <c r="BP33" s="21">
        <f>[2]底表!DC33</f>
        <v>1.9459</v>
      </c>
      <c r="BQ33" s="21">
        <f>[2]底表!DD33</f>
        <v>1.1848</v>
      </c>
      <c r="BR33" s="21">
        <f>[2]底表!DE33</f>
        <v>-0.1253</v>
      </c>
      <c r="BS33" s="21">
        <f>[2]底表!DF33</f>
        <v>105</v>
      </c>
      <c r="BT33" s="21">
        <f>[2]底表!DG33</f>
        <v>-22</v>
      </c>
      <c r="BU33" s="21">
        <f>[2]底表!DH33</f>
        <v>-0.1752</v>
      </c>
      <c r="BV33" s="21">
        <f>[2]底表!DI33</f>
        <v>95</v>
      </c>
      <c r="BW33" s="21">
        <f>[2]底表!DJ33</f>
        <v>135</v>
      </c>
      <c r="BX33" s="23">
        <f>[2]底表!DK33</f>
        <v>-0.2963</v>
      </c>
      <c r="BY33" s="21">
        <f>[2]底表!DL33</f>
        <v>36</v>
      </c>
      <c r="BZ33" s="21">
        <f>[2]底表!DM33</f>
        <v>1.6389</v>
      </c>
      <c r="CA33" s="21">
        <f>[2]底表!DN33</f>
        <v>24</v>
      </c>
      <c r="CB33" s="21">
        <f>[2]底表!DO33</f>
        <v>47</v>
      </c>
      <c r="CC33" s="21">
        <f>[2]底表!DP33</f>
        <v>-0.4894</v>
      </c>
      <c r="CD33" s="21">
        <f>[2]底表!DQ33</f>
        <v>26</v>
      </c>
      <c r="CE33" s="21">
        <f>[2]底表!DR33</f>
        <v>-0.0769</v>
      </c>
      <c r="CF33" s="21">
        <f>[2]底表!DS33</f>
        <v>24</v>
      </c>
      <c r="CG33" s="21">
        <f>[2]底表!DT33</f>
        <v>47</v>
      </c>
      <c r="CH33" s="21">
        <f>[2]底表!DU33</f>
        <v>-0.4894</v>
      </c>
      <c r="CI33" s="21">
        <f>[2]底表!DV33</f>
        <v>26</v>
      </c>
      <c r="CJ33" s="21">
        <f>[2]底表!DW33</f>
        <v>-0.0769</v>
      </c>
      <c r="CK33" s="21">
        <f>[2]底表!DX33</f>
        <v>32</v>
      </c>
      <c r="CL33" s="21">
        <f>[2]底表!DY33</f>
        <v>34</v>
      </c>
      <c r="CM33" s="21">
        <f>[2]底表!DZ33</f>
        <v>-0.0588</v>
      </c>
      <c r="CN33" s="21">
        <f>[2]底表!EA33</f>
        <v>35</v>
      </c>
      <c r="CO33" s="21">
        <f>[2]底表!EB33</f>
        <v>-0.0857</v>
      </c>
      <c r="CP33" s="21">
        <f>[2]底表!EC33</f>
        <v>17</v>
      </c>
      <c r="CQ33" s="21">
        <f>[2]底表!ED33</f>
        <v>24</v>
      </c>
      <c r="CR33" s="21">
        <f>[2]底表!EE33</f>
        <v>-0.2917</v>
      </c>
      <c r="CS33" s="21">
        <f>[2]底表!EF33</f>
        <v>17</v>
      </c>
      <c r="CT33" s="21">
        <f>[2]底表!EG33</f>
        <v>0</v>
      </c>
      <c r="CU33" s="21">
        <f>[2]底表!EH33</f>
        <v>0.1635</v>
      </c>
      <c r="CV33" s="21">
        <f>[2]底表!EI33</f>
        <v>0.0035</v>
      </c>
      <c r="CW33" s="21">
        <f>[2]底表!EJ33</f>
        <v>16</v>
      </c>
      <c r="CX33" s="21">
        <f>[2]底表!EK33</f>
        <v>-2</v>
      </c>
      <c r="CY33" s="21">
        <f>[2]底表!EL33</f>
        <v>-0.0942</v>
      </c>
      <c r="CZ33" s="21">
        <f>[2]底表!EM33</f>
        <v>17</v>
      </c>
      <c r="DA33" s="21">
        <f>[2]底表!EN33</f>
        <v>24</v>
      </c>
      <c r="DB33" s="21">
        <f>[2]底表!EO33</f>
        <v>-0.2917</v>
      </c>
      <c r="DC33" s="21">
        <f>[2]底表!EP33</f>
        <v>17</v>
      </c>
      <c r="DD33" s="21">
        <f>[2]底表!EQ33</f>
        <v>0</v>
      </c>
      <c r="DE33" s="21">
        <f>[2]底表!ER33</f>
        <v>37</v>
      </c>
      <c r="DF33" s="21">
        <f>[2]底表!ES33</f>
        <v>26</v>
      </c>
      <c r="DG33" s="23">
        <f>[2]底表!ET33</f>
        <v>0.4231</v>
      </c>
      <c r="DH33" s="21">
        <f>[2]底表!EU33</f>
        <v>46</v>
      </c>
      <c r="DI33" s="21">
        <f>[2]底表!EV33</f>
        <v>-0.1957</v>
      </c>
      <c r="DJ33" s="21">
        <f>[2]底表!EW33</f>
        <v>0.3558</v>
      </c>
      <c r="DK33" s="21">
        <f>[2]底表!EX33</f>
        <v>0.1824</v>
      </c>
      <c r="DL33" s="21">
        <f>[2]底表!EY33</f>
        <v>36</v>
      </c>
      <c r="DM33" s="21">
        <f>[2]底表!EZ33</f>
        <v>16</v>
      </c>
      <c r="DN33" s="21">
        <f>[2]底表!FA33</f>
        <v>0.8199</v>
      </c>
      <c r="DO33" s="21">
        <f>[2]底表!BQ33</f>
        <v>12</v>
      </c>
      <c r="DP33" s="21">
        <f>[2]底表!BR33</f>
        <v>16</v>
      </c>
      <c r="DQ33" s="24">
        <f>[2]底表!BS33</f>
        <v>-0.25</v>
      </c>
    </row>
    <row r="34" s="2" customFormat="1" ht="32" hidden="1" customHeight="1" spans="1:121">
      <c r="A34" s="27" t="str">
        <f>[2]底表!A34</f>
        <v>诈骗及关联犯罪</v>
      </c>
      <c r="B34" s="28" t="str">
        <f>[2]底表!B34</f>
        <v>云城区</v>
      </c>
      <c r="C34" s="21">
        <f>[2]底表!AM34</f>
        <v>12</v>
      </c>
      <c r="D34" s="21">
        <f>[2]底表!AN34</f>
        <v>9</v>
      </c>
      <c r="E34" s="23">
        <f>[2]底表!AO34</f>
        <v>0.3333</v>
      </c>
      <c r="F34" s="21">
        <f>[2]底表!AP34</f>
        <v>62</v>
      </c>
      <c r="G34" s="21">
        <f>[2]底表!AQ34</f>
        <v>-0.8065</v>
      </c>
      <c r="H34" s="21">
        <f>[2]底表!AR34</f>
        <v>0.4615</v>
      </c>
      <c r="I34" s="21">
        <f>[2]底表!AS34</f>
        <v>0.2365</v>
      </c>
      <c r="J34" s="21">
        <f>[2]底表!AT34</f>
        <v>3</v>
      </c>
      <c r="K34" s="21">
        <f>[2]底表!AU34</f>
        <v>11</v>
      </c>
      <c r="L34" s="21">
        <f>[2]底表!AV34</f>
        <v>-0.7273</v>
      </c>
      <c r="M34" s="21">
        <f>[2]底表!AW34</f>
        <v>23</v>
      </c>
      <c r="N34" s="21">
        <f>[2]底表!AX34</f>
        <v>-0.8696</v>
      </c>
      <c r="O34" s="21">
        <f>[2]底表!AY34</f>
        <v>0</v>
      </c>
      <c r="P34" s="21">
        <f>[2]底表!AZ34</f>
        <v>2</v>
      </c>
      <c r="Q34" s="21" t="str">
        <f>[2]底表!BA34</f>
        <v>少2起</v>
      </c>
      <c r="R34" s="21">
        <f>[2]底表!BB34</f>
        <v>8</v>
      </c>
      <c r="S34" s="21" t="str">
        <f>[2]底表!BC34</f>
        <v>少8起</v>
      </c>
      <c r="T34" s="21">
        <f>[2]底表!BD34</f>
        <v>0</v>
      </c>
      <c r="U34" s="21">
        <f>[2]底表!BE34</f>
        <v>-0.1818</v>
      </c>
      <c r="V34" s="21">
        <f>[2]底表!BF34</f>
        <v>23</v>
      </c>
      <c r="W34" s="21">
        <f>[2]底表!BG34</f>
        <v>29</v>
      </c>
      <c r="X34" s="21">
        <f>[2]底表!BH34</f>
        <v>-0.2069</v>
      </c>
      <c r="Y34" s="21">
        <f>[2]底表!BI34</f>
        <v>0</v>
      </c>
      <c r="Z34" s="21" t="str">
        <f>[2]底表!BJ34</f>
        <v>多23起</v>
      </c>
      <c r="AA34" s="21">
        <f>[2]底表!BK34</f>
        <v>0.8846</v>
      </c>
      <c r="AB34" s="21">
        <f>[2]底表!BL34</f>
        <v>12</v>
      </c>
      <c r="AC34" s="21">
        <f>[2]底表!BM34</f>
        <v>7</v>
      </c>
      <c r="AD34" s="21">
        <f>[2]底表!BN34</f>
        <v>0.7143</v>
      </c>
      <c r="AE34" s="21">
        <f>[2]底表!BO34</f>
        <v>54</v>
      </c>
      <c r="AF34" s="21">
        <f>[2]底表!BP34</f>
        <v>-0.7778</v>
      </c>
      <c r="AG34" s="21">
        <f>[2]底表!BT34</f>
        <v>2</v>
      </c>
      <c r="AH34" s="21" t="str">
        <f>[2]底表!BU34</f>
        <v>少2起</v>
      </c>
      <c r="AI34" s="21">
        <f>[2]底表!BV34</f>
        <v>0</v>
      </c>
      <c r="AJ34" s="21">
        <f>[2]底表!BW34</f>
        <v>-0.1</v>
      </c>
      <c r="AK34" s="21">
        <f>[2]底表!BX34</f>
        <v>0</v>
      </c>
      <c r="AL34" s="21">
        <f>[2]底表!BY34</f>
        <v>-0.3636</v>
      </c>
      <c r="AM34" s="21">
        <f>[2]底表!BZ34</f>
        <v>0</v>
      </c>
      <c r="AN34" s="21">
        <f>[2]底表!CA34</f>
        <v>0</v>
      </c>
      <c r="AO34" s="21" t="str">
        <f>[2]底表!CB34</f>
        <v>持平</v>
      </c>
      <c r="AP34" s="21">
        <f>[2]底表!CC34</f>
        <v>1</v>
      </c>
      <c r="AQ34" s="21" t="str">
        <f>[2]底表!CD34</f>
        <v>少1起</v>
      </c>
      <c r="AR34" s="21" t="str">
        <f>[2]底表!CE34</f>
        <v/>
      </c>
      <c r="AS34" s="21" t="str">
        <f>[2]底表!CF34</f>
        <v/>
      </c>
      <c r="AT34" s="21">
        <f>[2]底表!CG34</f>
        <v>10</v>
      </c>
      <c r="AU34" s="21">
        <f>[2]底表!CH34</f>
        <v>24</v>
      </c>
      <c r="AV34" s="21">
        <f>[2]底表!CI34</f>
        <v>-0.5833</v>
      </c>
      <c r="AW34" s="21">
        <f>[2]底表!CJ34</f>
        <v>24</v>
      </c>
      <c r="AX34" s="21">
        <f>[2]底表!CK34</f>
        <v>-0.5833</v>
      </c>
      <c r="AY34" s="21">
        <f>[2]底表!CL34</f>
        <v>38</v>
      </c>
      <c r="AZ34" s="21">
        <f>[2]底表!CM34</f>
        <v>-22</v>
      </c>
      <c r="BA34" s="21">
        <f>[2]底表!CN34</f>
        <v>-0.359</v>
      </c>
      <c r="BB34" s="21">
        <f>[2]底表!CO34</f>
        <v>15</v>
      </c>
      <c r="BC34" s="21">
        <f>[2]底表!CP34</f>
        <v>31</v>
      </c>
      <c r="BD34" s="21">
        <f>[2]底表!CQ34</f>
        <v>-0.5161</v>
      </c>
      <c r="BE34" s="21">
        <f>[2]底表!CR34</f>
        <v>5</v>
      </c>
      <c r="BF34" s="21">
        <f>[2]底表!CS34</f>
        <v>2</v>
      </c>
      <c r="BG34" s="21">
        <f>[2]底表!CT34</f>
        <v>1.5</v>
      </c>
      <c r="BH34" s="21">
        <f>[2]底表!CU34</f>
        <v>0.2083</v>
      </c>
      <c r="BI34" s="21">
        <f>[2]底表!CV34</f>
        <v>58</v>
      </c>
      <c r="BJ34" s="21">
        <f>[2]底表!CW34</f>
        <v>-20</v>
      </c>
      <c r="BK34" s="21">
        <f>[2]底表!CX34</f>
        <v>-0.2556</v>
      </c>
      <c r="BL34" s="21">
        <f>[2]底表!CY34</f>
        <v>15</v>
      </c>
      <c r="BM34" s="21">
        <f>[2]底表!CZ34</f>
        <v>31</v>
      </c>
      <c r="BN34" s="23">
        <f>[2]底表!DA34</f>
        <v>-0.5161</v>
      </c>
      <c r="BO34" s="21">
        <f>[2]底表!DB34</f>
        <v>5</v>
      </c>
      <c r="BP34" s="21">
        <f>[2]底表!DC34</f>
        <v>2</v>
      </c>
      <c r="BQ34" s="21">
        <f>[2]底表!DD34</f>
        <v>1.5</v>
      </c>
      <c r="BR34" s="21">
        <f>[2]底表!DE34</f>
        <v>0.2083</v>
      </c>
      <c r="BS34" s="21">
        <f>[2]底表!DF34</f>
        <v>58</v>
      </c>
      <c r="BT34" s="21">
        <f>[2]底表!DG34</f>
        <v>-20</v>
      </c>
      <c r="BU34" s="21">
        <f>[2]底表!DH34</f>
        <v>-0.2556</v>
      </c>
      <c r="BV34" s="21">
        <f>[2]底表!DI34</f>
        <v>0</v>
      </c>
      <c r="BW34" s="21">
        <f>[2]底表!DJ34</f>
        <v>0</v>
      </c>
      <c r="BX34" s="23" t="str">
        <f>[2]底表!DK34</f>
        <v>持平</v>
      </c>
      <c r="BY34" s="21">
        <f>[2]底表!DL34</f>
        <v>0</v>
      </c>
      <c r="BZ34" s="21" t="str">
        <f>[2]底表!DM34</f>
        <v>持平</v>
      </c>
      <c r="CA34" s="21">
        <f>[2]底表!DN34</f>
        <v>4</v>
      </c>
      <c r="CB34" s="21">
        <f>[2]底表!DO34</f>
        <v>1</v>
      </c>
      <c r="CC34" s="21">
        <f>[2]底表!DP34</f>
        <v>3</v>
      </c>
      <c r="CD34" s="21">
        <f>[2]底表!DQ34</f>
        <v>2</v>
      </c>
      <c r="CE34" s="21">
        <f>[2]底表!DR34</f>
        <v>1</v>
      </c>
      <c r="CF34" s="21">
        <f>[2]底表!DS34</f>
        <v>4</v>
      </c>
      <c r="CG34" s="21">
        <f>[2]底表!DT34</f>
        <v>1</v>
      </c>
      <c r="CH34" s="21">
        <f>[2]底表!DU34</f>
        <v>3</v>
      </c>
      <c r="CI34" s="21">
        <f>[2]底表!DV34</f>
        <v>2</v>
      </c>
      <c r="CJ34" s="21">
        <f>[2]底表!DW34</f>
        <v>1</v>
      </c>
      <c r="CK34" s="21">
        <f>[2]底表!DX34</f>
        <v>5</v>
      </c>
      <c r="CL34" s="21">
        <f>[2]底表!DY34</f>
        <v>5</v>
      </c>
      <c r="CM34" s="21">
        <f>[2]底表!DZ34</f>
        <v>0</v>
      </c>
      <c r="CN34" s="21">
        <f>[2]底表!EA34</f>
        <v>1</v>
      </c>
      <c r="CO34" s="21">
        <f>[2]底表!EB34</f>
        <v>4</v>
      </c>
      <c r="CP34" s="21">
        <f>[2]底表!EC34</f>
        <v>3</v>
      </c>
      <c r="CQ34" s="21">
        <f>[2]底表!ED34</f>
        <v>5</v>
      </c>
      <c r="CR34" s="21">
        <f>[2]底表!EE34</f>
        <v>-0.4</v>
      </c>
      <c r="CS34" s="21">
        <f>[2]底表!EF34</f>
        <v>0</v>
      </c>
      <c r="CT34" s="21" t="str">
        <f>[2]底表!EG34</f>
        <v>多3人</v>
      </c>
      <c r="CU34" s="21">
        <f>[2]底表!EH34</f>
        <v>0.2</v>
      </c>
      <c r="CV34" s="21">
        <f>[2]底表!EI34</f>
        <v>0.0387</v>
      </c>
      <c r="CW34" s="21">
        <f>[2]底表!EJ34</f>
        <v>12</v>
      </c>
      <c r="CX34" s="21">
        <f>[2]底表!EK34</f>
        <v>-1</v>
      </c>
      <c r="CY34" s="21">
        <f>[2]底表!EL34</f>
        <v>-0.0769</v>
      </c>
      <c r="CZ34" s="21">
        <f>[2]底表!EM34</f>
        <v>3</v>
      </c>
      <c r="DA34" s="21">
        <f>[2]底表!EN34</f>
        <v>5</v>
      </c>
      <c r="DB34" s="21">
        <f>[2]底表!EO34</f>
        <v>-0.4</v>
      </c>
      <c r="DC34" s="21">
        <f>[2]底表!EP34</f>
        <v>0</v>
      </c>
      <c r="DD34" s="21" t="str">
        <f>[2]底表!EQ34</f>
        <v>多3人</v>
      </c>
      <c r="DE34" s="21">
        <f>[2]底表!ER34</f>
        <v>0</v>
      </c>
      <c r="DF34" s="21">
        <f>[2]底表!ES34</f>
        <v>7</v>
      </c>
      <c r="DG34" s="23" t="str">
        <f>[2]底表!ET34</f>
        <v>少7人</v>
      </c>
      <c r="DH34" s="21">
        <f>[2]底表!EU34</f>
        <v>11</v>
      </c>
      <c r="DI34" s="21" t="str">
        <f>[2]底表!EV34</f>
        <v>少11人</v>
      </c>
      <c r="DJ34" s="21">
        <f>[2]底表!EW34</f>
        <v>0</v>
      </c>
      <c r="DK34" s="21">
        <f>[2]底表!EX34</f>
        <v>-0.2258</v>
      </c>
      <c r="DL34" s="21">
        <f>[2]底表!EY34</f>
        <v>0</v>
      </c>
      <c r="DM34" s="21">
        <f>[2]底表!EZ34</f>
        <v>-18</v>
      </c>
      <c r="DN34" s="21">
        <f>[2]底表!FA34</f>
        <v>-1</v>
      </c>
      <c r="DO34" s="21">
        <f>[2]底表!BQ34</f>
        <v>0</v>
      </c>
      <c r="DP34" s="21">
        <f>[2]底表!BR34</f>
        <v>4</v>
      </c>
      <c r="DQ34" s="24" t="str">
        <f>[2]底表!BS34</f>
        <v>少4起</v>
      </c>
    </row>
    <row r="35" s="2" customFormat="1" ht="32" hidden="1" customHeight="1" spans="1:121">
      <c r="A35" s="27" t="str">
        <f>[2]底表!A35</f>
        <v>诈骗及关联犯罪</v>
      </c>
      <c r="B35" s="28" t="str">
        <f>[2]底表!B35</f>
        <v>云安区</v>
      </c>
      <c r="C35" s="21">
        <f>[2]底表!AM35</f>
        <v>12</v>
      </c>
      <c r="D35" s="21">
        <f>[2]底表!AN35</f>
        <v>8</v>
      </c>
      <c r="E35" s="23">
        <f>[2]底表!AO35</f>
        <v>0.5</v>
      </c>
      <c r="F35" s="21">
        <f>[2]底表!AP35</f>
        <v>3</v>
      </c>
      <c r="G35" s="21">
        <f>[2]底表!AQ35</f>
        <v>3</v>
      </c>
      <c r="H35" s="21">
        <f>[2]底表!AR35</f>
        <v>2.4</v>
      </c>
      <c r="I35" s="21">
        <f>[2]底表!AS35</f>
        <v>0.4</v>
      </c>
      <c r="J35" s="21">
        <f>[2]底表!AT35</f>
        <v>4</v>
      </c>
      <c r="K35" s="21">
        <f>[2]底表!AU35</f>
        <v>4</v>
      </c>
      <c r="L35" s="21">
        <f>[2]底表!AV35</f>
        <v>0</v>
      </c>
      <c r="M35" s="21">
        <f>[2]底表!AW35</f>
        <v>3</v>
      </c>
      <c r="N35" s="21">
        <f>[2]底表!AX35</f>
        <v>0.3333</v>
      </c>
      <c r="O35" s="21">
        <f>[2]底表!AY35</f>
        <v>2</v>
      </c>
      <c r="P35" s="21">
        <f>[2]底表!AZ35</f>
        <v>2</v>
      </c>
      <c r="Q35" s="21">
        <f>[2]底表!BA35</f>
        <v>0</v>
      </c>
      <c r="R35" s="21">
        <f>[2]底表!BB35</f>
        <v>2</v>
      </c>
      <c r="S35" s="21">
        <f>[2]底表!BC35</f>
        <v>0</v>
      </c>
      <c r="T35" s="21">
        <f>[2]底表!BD35</f>
        <v>0.5</v>
      </c>
      <c r="U35" s="21">
        <f>[2]底表!BE35</f>
        <v>0</v>
      </c>
      <c r="V35" s="21">
        <f>[2]底表!BF35</f>
        <v>1</v>
      </c>
      <c r="W35" s="21">
        <f>[2]底表!BG35</f>
        <v>0</v>
      </c>
      <c r="X35" s="21" t="str">
        <f>[2]底表!BH35</f>
        <v>多1起</v>
      </c>
      <c r="Y35" s="21">
        <f>[2]底表!BI35</f>
        <v>2</v>
      </c>
      <c r="Z35" s="21">
        <f>[2]底表!BJ35</f>
        <v>-0.5</v>
      </c>
      <c r="AA35" s="21">
        <f>[2]底表!BK35</f>
        <v>0.2</v>
      </c>
      <c r="AB35" s="21">
        <f>[2]底表!BL35</f>
        <v>10</v>
      </c>
      <c r="AC35" s="21">
        <f>[2]底表!BM35</f>
        <v>6</v>
      </c>
      <c r="AD35" s="21">
        <f>[2]底表!BN35</f>
        <v>0.6667</v>
      </c>
      <c r="AE35" s="21">
        <f>[2]底表!BO35</f>
        <v>1</v>
      </c>
      <c r="AF35" s="21">
        <f>[2]底表!BP35</f>
        <v>9</v>
      </c>
      <c r="AG35" s="21">
        <f>[2]底表!BT35</f>
        <v>0</v>
      </c>
      <c r="AH35" s="21" t="str">
        <f>[2]底表!BU35</f>
        <v>多3起</v>
      </c>
      <c r="AI35" s="21">
        <f>[2]底表!BV35</f>
        <v>0.6</v>
      </c>
      <c r="AJ35" s="21">
        <f>[2]底表!BW35</f>
        <v>0.1</v>
      </c>
      <c r="AK35" s="21">
        <f>[2]底表!BX35</f>
        <v>0.75</v>
      </c>
      <c r="AL35" s="21">
        <f>[2]底表!BY35</f>
        <v>0.25</v>
      </c>
      <c r="AM35" s="21">
        <f>[2]底表!BZ35</f>
        <v>0</v>
      </c>
      <c r="AN35" s="21">
        <f>[2]底表!CA35</f>
        <v>0</v>
      </c>
      <c r="AO35" s="21" t="str">
        <f>[2]底表!CB35</f>
        <v>持平</v>
      </c>
      <c r="AP35" s="21">
        <f>[2]底表!CC35</f>
        <v>0</v>
      </c>
      <c r="AQ35" s="21" t="str">
        <f>[2]底表!CD35</f>
        <v>持平</v>
      </c>
      <c r="AR35" s="21" t="str">
        <f>[2]底表!CE35</f>
        <v/>
      </c>
      <c r="AS35" s="21" t="str">
        <f>[2]底表!CF35</f>
        <v/>
      </c>
      <c r="AT35" s="21">
        <f>[2]底表!CG35</f>
        <v>12</v>
      </c>
      <c r="AU35" s="21">
        <f>[2]底表!CH35</f>
        <v>26</v>
      </c>
      <c r="AV35" s="21">
        <f>[2]底表!CI35</f>
        <v>-0.5385</v>
      </c>
      <c r="AW35" s="21">
        <f>[2]底表!CJ35</f>
        <v>8</v>
      </c>
      <c r="AX35" s="21">
        <f>[2]底表!CK35</f>
        <v>0.5</v>
      </c>
      <c r="AY35" s="21">
        <f>[2]底表!CL35</f>
        <v>240</v>
      </c>
      <c r="AZ35" s="21">
        <f>[2]底表!CM35</f>
        <v>-410</v>
      </c>
      <c r="BA35" s="21">
        <f>[2]底表!CN35</f>
        <v>-0.6308</v>
      </c>
      <c r="BB35" s="21">
        <f>[2]底表!CO35</f>
        <v>14</v>
      </c>
      <c r="BC35" s="21">
        <f>[2]底表!CP35</f>
        <v>35</v>
      </c>
      <c r="BD35" s="21">
        <f>[2]底表!CQ35</f>
        <v>-0.6</v>
      </c>
      <c r="BE35" s="21">
        <f>[2]底表!CR35</f>
        <v>14</v>
      </c>
      <c r="BF35" s="21">
        <f>[2]底表!CS35</f>
        <v>0</v>
      </c>
      <c r="BG35" s="21">
        <f>[2]底表!CT35</f>
        <v>1.1667</v>
      </c>
      <c r="BH35" s="21">
        <f>[2]底表!CU35</f>
        <v>-0.1795</v>
      </c>
      <c r="BI35" s="21">
        <f>[2]底表!CV35</f>
        <v>280</v>
      </c>
      <c r="BJ35" s="21">
        <f>[2]底表!CW35</f>
        <v>-595</v>
      </c>
      <c r="BK35" s="21">
        <f>[2]底表!CX35</f>
        <v>-0.68</v>
      </c>
      <c r="BL35" s="21">
        <f>[2]底表!CY35</f>
        <v>15</v>
      </c>
      <c r="BM35" s="21">
        <f>[2]底表!CZ35</f>
        <v>35</v>
      </c>
      <c r="BN35" s="23">
        <f>[2]底表!DA35</f>
        <v>-0.5714</v>
      </c>
      <c r="BO35" s="21">
        <f>[2]底表!DB35</f>
        <v>15</v>
      </c>
      <c r="BP35" s="21">
        <f>[2]底表!DC35</f>
        <v>0</v>
      </c>
      <c r="BQ35" s="21">
        <f>[2]底表!DD35</f>
        <v>1.25</v>
      </c>
      <c r="BR35" s="21">
        <f>[2]底表!DE35</f>
        <v>-0.0962</v>
      </c>
      <c r="BS35" s="21">
        <f>[2]底表!DF35</f>
        <v>300</v>
      </c>
      <c r="BT35" s="21">
        <f>[2]底表!DG35</f>
        <v>-575</v>
      </c>
      <c r="BU35" s="21">
        <f>[2]底表!DH35</f>
        <v>-0.6571</v>
      </c>
      <c r="BV35" s="21">
        <f>[2]底表!DI35</f>
        <v>0</v>
      </c>
      <c r="BW35" s="21">
        <f>[2]底表!DJ35</f>
        <v>0</v>
      </c>
      <c r="BX35" s="23" t="str">
        <f>[2]底表!DK35</f>
        <v>持平</v>
      </c>
      <c r="BY35" s="21">
        <f>[2]底表!DL35</f>
        <v>0</v>
      </c>
      <c r="BZ35" s="21" t="str">
        <f>[2]底表!DM35</f>
        <v>持平</v>
      </c>
      <c r="CA35" s="21">
        <f>[2]底表!DN35</f>
        <v>3</v>
      </c>
      <c r="CB35" s="21">
        <f>[2]底表!DO35</f>
        <v>13</v>
      </c>
      <c r="CC35" s="21">
        <f>[2]底表!DP35</f>
        <v>-0.7692</v>
      </c>
      <c r="CD35" s="21">
        <f>[2]底表!DQ35</f>
        <v>2</v>
      </c>
      <c r="CE35" s="21">
        <f>[2]底表!DR35</f>
        <v>0.5</v>
      </c>
      <c r="CF35" s="21">
        <f>[2]底表!DS35</f>
        <v>3</v>
      </c>
      <c r="CG35" s="21">
        <f>[2]底表!DT35</f>
        <v>13</v>
      </c>
      <c r="CH35" s="21">
        <f>[2]底表!DU35</f>
        <v>-0.7692</v>
      </c>
      <c r="CI35" s="21">
        <f>[2]底表!DV35</f>
        <v>2</v>
      </c>
      <c r="CJ35" s="21">
        <f>[2]底表!DW35</f>
        <v>0.5</v>
      </c>
      <c r="CK35" s="21">
        <f>[2]底表!DX35</f>
        <v>9</v>
      </c>
      <c r="CL35" s="21">
        <f>[2]底表!DY35</f>
        <v>7</v>
      </c>
      <c r="CM35" s="21">
        <f>[2]底表!DZ35</f>
        <v>0.2857</v>
      </c>
      <c r="CN35" s="21">
        <f>[2]底表!EA35</f>
        <v>3</v>
      </c>
      <c r="CO35" s="21">
        <f>[2]底表!EB35</f>
        <v>2</v>
      </c>
      <c r="CP35" s="21">
        <f>[2]底表!EC35</f>
        <v>2</v>
      </c>
      <c r="CQ35" s="21">
        <f>[2]底表!ED35</f>
        <v>6</v>
      </c>
      <c r="CR35" s="21">
        <f>[2]底表!EE35</f>
        <v>-0.6667</v>
      </c>
      <c r="CS35" s="21">
        <f>[2]底表!EF35</f>
        <v>1</v>
      </c>
      <c r="CT35" s="21">
        <f>[2]底表!EG35</f>
        <v>1</v>
      </c>
      <c r="CU35" s="21">
        <f>[2]底表!EH35</f>
        <v>0.1429</v>
      </c>
      <c r="CV35" s="21">
        <f>[2]底表!EI35</f>
        <v>-0.0286</v>
      </c>
      <c r="CW35" s="21">
        <f>[2]底表!EJ35</f>
        <v>40</v>
      </c>
      <c r="CX35" s="21">
        <f>[2]底表!EK35</f>
        <v>-110</v>
      </c>
      <c r="CY35" s="21">
        <f>[2]底表!EL35</f>
        <v>-0.7333</v>
      </c>
      <c r="CZ35" s="21">
        <f>[2]底表!EM35</f>
        <v>2</v>
      </c>
      <c r="DA35" s="21">
        <f>[2]底表!EN35</f>
        <v>6</v>
      </c>
      <c r="DB35" s="21">
        <f>[2]底表!EO35</f>
        <v>-0.6667</v>
      </c>
      <c r="DC35" s="21">
        <f>[2]底表!EP35</f>
        <v>1</v>
      </c>
      <c r="DD35" s="21">
        <f>[2]底表!EQ35</f>
        <v>1</v>
      </c>
      <c r="DE35" s="21">
        <f>[2]底表!ER35</f>
        <v>8</v>
      </c>
      <c r="DF35" s="21">
        <f>[2]底表!ES35</f>
        <v>2</v>
      </c>
      <c r="DG35" s="23">
        <f>[2]底表!ET35</f>
        <v>3</v>
      </c>
      <c r="DH35" s="21">
        <f>[2]底表!EU35</f>
        <v>4</v>
      </c>
      <c r="DI35" s="21">
        <f>[2]底表!EV35</f>
        <v>1</v>
      </c>
      <c r="DJ35" s="21">
        <f>[2]底表!EW35</f>
        <v>0.5714</v>
      </c>
      <c r="DK35" s="21">
        <f>[2]底表!EX35</f>
        <v>0.5143</v>
      </c>
      <c r="DL35" s="21">
        <f>[2]底表!EY35</f>
        <v>160</v>
      </c>
      <c r="DM35" s="21">
        <f>[2]底表!EZ35</f>
        <v>110</v>
      </c>
      <c r="DN35" s="21">
        <f>[2]底表!FA35</f>
        <v>2.2</v>
      </c>
      <c r="DO35" s="21">
        <f>[2]底表!BQ35</f>
        <v>3</v>
      </c>
      <c r="DP35" s="21">
        <f>[2]底表!BR35</f>
        <v>2</v>
      </c>
      <c r="DQ35" s="24">
        <f>[2]底表!BS35</f>
        <v>0.5</v>
      </c>
    </row>
    <row r="36" s="2" customFormat="1" ht="32" hidden="1" customHeight="1" spans="1:121">
      <c r="A36" s="27" t="str">
        <f>[2]底表!A36</f>
        <v>诈骗及关联犯罪</v>
      </c>
      <c r="B36" s="28" t="str">
        <f>[2]底表!B36</f>
        <v>新兴县</v>
      </c>
      <c r="C36" s="21">
        <f>[2]底表!AM36</f>
        <v>12</v>
      </c>
      <c r="D36" s="21">
        <f>[2]底表!AN36</f>
        <v>8</v>
      </c>
      <c r="E36" s="23">
        <f>[2]底表!AO36</f>
        <v>0.5</v>
      </c>
      <c r="F36" s="21">
        <f>[2]底表!AP36</f>
        <v>46</v>
      </c>
      <c r="G36" s="21">
        <f>[2]底表!AQ36</f>
        <v>-0.7391</v>
      </c>
      <c r="H36" s="21">
        <f>[2]底表!AR36</f>
        <v>0.3243</v>
      </c>
      <c r="I36" s="21">
        <f>[2]底表!AS36</f>
        <v>0.1081</v>
      </c>
      <c r="J36" s="21">
        <f>[2]底表!AT36</f>
        <v>27</v>
      </c>
      <c r="K36" s="21">
        <f>[2]底表!AU36</f>
        <v>19</v>
      </c>
      <c r="L36" s="21">
        <f>[2]底表!AV36</f>
        <v>0.4211</v>
      </c>
      <c r="M36" s="21">
        <f>[2]底表!AW36</f>
        <v>22</v>
      </c>
      <c r="N36" s="21">
        <f>[2]底表!AX36</f>
        <v>0.2273</v>
      </c>
      <c r="O36" s="21">
        <f>[2]底表!AY36</f>
        <v>2</v>
      </c>
      <c r="P36" s="21">
        <f>[2]底表!AZ36</f>
        <v>2</v>
      </c>
      <c r="Q36" s="21">
        <f>[2]底表!BA36</f>
        <v>0</v>
      </c>
      <c r="R36" s="21">
        <f>[2]底表!BB36</f>
        <v>19</v>
      </c>
      <c r="S36" s="21">
        <f>[2]底表!BC36</f>
        <v>-0.8947</v>
      </c>
      <c r="T36" s="21">
        <f>[2]底表!BD36</f>
        <v>0.0741</v>
      </c>
      <c r="U36" s="21">
        <f>[2]底表!BE36</f>
        <v>-0.0312</v>
      </c>
      <c r="V36" s="21">
        <f>[2]底表!BF36</f>
        <v>10</v>
      </c>
      <c r="W36" s="21">
        <f>[2]底表!BG36</f>
        <v>18</v>
      </c>
      <c r="X36" s="21">
        <f>[2]底表!BH36</f>
        <v>-0.4444</v>
      </c>
      <c r="Y36" s="21">
        <f>[2]底表!BI36</f>
        <v>0</v>
      </c>
      <c r="Z36" s="21" t="str">
        <f>[2]底表!BJ36</f>
        <v>多10起</v>
      </c>
      <c r="AA36" s="21">
        <f>[2]底表!BK36</f>
        <v>0.2703</v>
      </c>
      <c r="AB36" s="21">
        <f>[2]底表!BL36</f>
        <v>10</v>
      </c>
      <c r="AC36" s="21">
        <f>[2]底表!BM36</f>
        <v>6</v>
      </c>
      <c r="AD36" s="21">
        <f>[2]底表!BN36</f>
        <v>0.6667</v>
      </c>
      <c r="AE36" s="21">
        <f>[2]底表!BO36</f>
        <v>27</v>
      </c>
      <c r="AF36" s="21">
        <f>[2]底表!BP36</f>
        <v>-0.6296</v>
      </c>
      <c r="AG36" s="21">
        <f>[2]底表!BT36</f>
        <v>5</v>
      </c>
      <c r="AH36" s="21">
        <f>[2]底表!BU36</f>
        <v>-0.4</v>
      </c>
      <c r="AI36" s="21">
        <f>[2]底表!BV36</f>
        <v>0.0811</v>
      </c>
      <c r="AJ36" s="21">
        <f>[2]底表!BW36</f>
        <v>-0.0541</v>
      </c>
      <c r="AK36" s="21">
        <f>[2]底表!BX36</f>
        <v>0.1111</v>
      </c>
      <c r="AL36" s="21">
        <f>[2]底表!BY36</f>
        <v>-0.152</v>
      </c>
      <c r="AM36" s="21">
        <f>[2]底表!BZ36</f>
        <v>0</v>
      </c>
      <c r="AN36" s="21">
        <f>[2]底表!CA36</f>
        <v>0</v>
      </c>
      <c r="AO36" s="21" t="str">
        <f>[2]底表!CB36</f>
        <v>持平</v>
      </c>
      <c r="AP36" s="21">
        <f>[2]底表!CC36</f>
        <v>0</v>
      </c>
      <c r="AQ36" s="21" t="str">
        <f>[2]底表!CD36</f>
        <v>持平</v>
      </c>
      <c r="AR36" s="21" t="str">
        <f>[2]底表!CE36</f>
        <v/>
      </c>
      <c r="AS36" s="21" t="str">
        <f>[2]底表!CF36</f>
        <v/>
      </c>
      <c r="AT36" s="21">
        <f>[2]底表!CG36</f>
        <v>30</v>
      </c>
      <c r="AU36" s="21">
        <f>[2]底表!CH36</f>
        <v>26</v>
      </c>
      <c r="AV36" s="21">
        <f>[2]底表!CI36</f>
        <v>0.1538</v>
      </c>
      <c r="AW36" s="21">
        <f>[2]底表!CJ36</f>
        <v>5</v>
      </c>
      <c r="AX36" s="21">
        <f>[2]底表!CK36</f>
        <v>5</v>
      </c>
      <c r="AY36" s="21">
        <f>[2]底表!CL36</f>
        <v>81</v>
      </c>
      <c r="AZ36" s="21">
        <f>[2]底表!CM36</f>
        <v>11</v>
      </c>
      <c r="BA36" s="21">
        <f>[2]底表!CN36</f>
        <v>0.1538</v>
      </c>
      <c r="BB36" s="21">
        <f>[2]底表!CO36</f>
        <v>28</v>
      </c>
      <c r="BC36" s="21">
        <f>[2]底表!CP36</f>
        <v>33</v>
      </c>
      <c r="BD36" s="21">
        <f>[2]底表!CQ36</f>
        <v>-0.1515</v>
      </c>
      <c r="BE36" s="21">
        <f>[2]底表!CR36</f>
        <v>4</v>
      </c>
      <c r="BF36" s="21">
        <f>[2]底表!CS36</f>
        <v>6</v>
      </c>
      <c r="BG36" s="21">
        <f>[2]底表!CT36</f>
        <v>0.9333</v>
      </c>
      <c r="BH36" s="21">
        <f>[2]底表!CU36</f>
        <v>-0.3359</v>
      </c>
      <c r="BI36" s="21">
        <f>[2]底表!CV36</f>
        <v>76</v>
      </c>
      <c r="BJ36" s="21">
        <f>[2]底表!CW36</f>
        <v>-14</v>
      </c>
      <c r="BK36" s="21">
        <f>[2]底表!CX36</f>
        <v>-0.1515</v>
      </c>
      <c r="BL36" s="21">
        <f>[2]底表!CY36</f>
        <v>30</v>
      </c>
      <c r="BM36" s="21">
        <f>[2]底表!CZ36</f>
        <v>34</v>
      </c>
      <c r="BN36" s="23">
        <f>[2]底表!DA36</f>
        <v>-0.1176</v>
      </c>
      <c r="BO36" s="21">
        <f>[2]底表!DB36</f>
        <v>4</v>
      </c>
      <c r="BP36" s="21">
        <f>[2]底表!DC36</f>
        <v>6.5</v>
      </c>
      <c r="BQ36" s="21">
        <f>[2]底表!DD36</f>
        <v>1</v>
      </c>
      <c r="BR36" s="21">
        <f>[2]底表!DE36</f>
        <v>-0.3077</v>
      </c>
      <c r="BS36" s="21">
        <f>[2]底表!DF36</f>
        <v>81</v>
      </c>
      <c r="BT36" s="21">
        <f>[2]底表!DG36</f>
        <v>-11</v>
      </c>
      <c r="BU36" s="21">
        <f>[2]底表!DH36</f>
        <v>-0.1176</v>
      </c>
      <c r="BV36" s="21">
        <f>[2]底表!DI36</f>
        <v>21</v>
      </c>
      <c r="BW36" s="21">
        <f>[2]底表!DJ36</f>
        <v>24</v>
      </c>
      <c r="BX36" s="23">
        <f>[2]底表!DK36</f>
        <v>-0.125</v>
      </c>
      <c r="BY36" s="21">
        <f>[2]底表!DL36</f>
        <v>4</v>
      </c>
      <c r="BZ36" s="21">
        <f>[2]底表!DM36</f>
        <v>4.25</v>
      </c>
      <c r="CA36" s="21">
        <f>[2]底表!DN36</f>
        <v>5</v>
      </c>
      <c r="CB36" s="21">
        <f>[2]底表!DO36</f>
        <v>7</v>
      </c>
      <c r="CC36" s="21">
        <f>[2]底表!DP36</f>
        <v>-0.2857</v>
      </c>
      <c r="CD36" s="21">
        <f>[2]底表!DQ36</f>
        <v>8</v>
      </c>
      <c r="CE36" s="21">
        <f>[2]底表!DR36</f>
        <v>-0.375</v>
      </c>
      <c r="CF36" s="21">
        <f>[2]底表!DS36</f>
        <v>5</v>
      </c>
      <c r="CG36" s="21">
        <f>[2]底表!DT36</f>
        <v>7</v>
      </c>
      <c r="CH36" s="21">
        <f>[2]底表!DU36</f>
        <v>-0.2857</v>
      </c>
      <c r="CI36" s="21">
        <f>[2]底表!DV36</f>
        <v>8</v>
      </c>
      <c r="CJ36" s="21">
        <f>[2]底表!DW36</f>
        <v>-0.375</v>
      </c>
      <c r="CK36" s="21">
        <f>[2]底表!DX36</f>
        <v>7</v>
      </c>
      <c r="CL36" s="21">
        <f>[2]底表!DY36</f>
        <v>5</v>
      </c>
      <c r="CM36" s="21">
        <f>[2]底表!DZ36</f>
        <v>0.4</v>
      </c>
      <c r="CN36" s="21">
        <f>[2]底表!EA36</f>
        <v>7</v>
      </c>
      <c r="CO36" s="21">
        <f>[2]底表!EB36</f>
        <v>0</v>
      </c>
      <c r="CP36" s="21">
        <f>[2]底表!EC36</f>
        <v>2</v>
      </c>
      <c r="CQ36" s="21">
        <f>[2]底表!ED36</f>
        <v>4</v>
      </c>
      <c r="CR36" s="21">
        <f>[2]底表!EE36</f>
        <v>-0.5</v>
      </c>
      <c r="CS36" s="21">
        <f>[2]底表!EF36</f>
        <v>5</v>
      </c>
      <c r="CT36" s="21">
        <f>[2]底表!EG36</f>
        <v>-0.6</v>
      </c>
      <c r="CU36" s="21">
        <f>[2]底表!EH36</f>
        <v>0.0714</v>
      </c>
      <c r="CV36" s="21">
        <f>[2]底表!EI36</f>
        <v>-0.0498</v>
      </c>
      <c r="CW36" s="21">
        <f>[2]底表!EJ36</f>
        <v>5</v>
      </c>
      <c r="CX36" s="21">
        <f>[2]底表!EK36</f>
        <v>-5</v>
      </c>
      <c r="CY36" s="21">
        <f>[2]底表!EL36</f>
        <v>-0.5</v>
      </c>
      <c r="CZ36" s="21">
        <f>[2]底表!EM36</f>
        <v>2</v>
      </c>
      <c r="DA36" s="21">
        <f>[2]底表!EN36</f>
        <v>4</v>
      </c>
      <c r="DB36" s="21">
        <f>[2]底表!EO36</f>
        <v>-0.5</v>
      </c>
      <c r="DC36" s="21">
        <f>[2]底表!EP36</f>
        <v>5</v>
      </c>
      <c r="DD36" s="21">
        <f>[2]底表!EQ36</f>
        <v>-0.6</v>
      </c>
      <c r="DE36" s="21">
        <f>[2]底表!ER36</f>
        <v>5</v>
      </c>
      <c r="DF36" s="21">
        <f>[2]底表!ES36</f>
        <v>8</v>
      </c>
      <c r="DG36" s="23">
        <f>[2]底表!ET36</f>
        <v>-0.375</v>
      </c>
      <c r="DH36" s="21">
        <f>[2]底表!EU36</f>
        <v>9</v>
      </c>
      <c r="DI36" s="21">
        <f>[2]底表!EV36</f>
        <v>-0.4444</v>
      </c>
      <c r="DJ36" s="21">
        <f>[2]底表!EW36</f>
        <v>0.1786</v>
      </c>
      <c r="DK36" s="21">
        <f>[2]底表!EX36</f>
        <v>-0.0639</v>
      </c>
      <c r="DL36" s="21">
        <f>[2]底表!EY36</f>
        <v>14</v>
      </c>
      <c r="DM36" s="21">
        <f>[2]底表!EZ36</f>
        <v>-8</v>
      </c>
      <c r="DN36" s="21">
        <f>[2]底表!FA36</f>
        <v>-0.375</v>
      </c>
      <c r="DO36" s="21">
        <f>[2]底表!BQ36</f>
        <v>3</v>
      </c>
      <c r="DP36" s="21">
        <f>[2]底表!BR36</f>
        <v>5</v>
      </c>
      <c r="DQ36" s="24">
        <f>[2]底表!BS36</f>
        <v>-0.4</v>
      </c>
    </row>
    <row r="37" s="2" customFormat="1" ht="32" hidden="1" customHeight="1" spans="1:121">
      <c r="A37" s="27" t="str">
        <f>[2]底表!A37</f>
        <v>诈骗及关联犯罪</v>
      </c>
      <c r="B37" s="28" t="str">
        <f>[2]底表!B37</f>
        <v>郁南县</v>
      </c>
      <c r="C37" s="21">
        <f>[2]底表!AM37</f>
        <v>4</v>
      </c>
      <c r="D37" s="21">
        <f>[2]底表!AN37</f>
        <v>4</v>
      </c>
      <c r="E37" s="23">
        <f>[2]底表!AO37</f>
        <v>0</v>
      </c>
      <c r="F37" s="21">
        <f>[2]底表!AP37</f>
        <v>5</v>
      </c>
      <c r="G37" s="21">
        <f>[2]底表!AQ37</f>
        <v>-0.2</v>
      </c>
      <c r="H37" s="21">
        <f>[2]底表!AR37</f>
        <v>0.8</v>
      </c>
      <c r="I37" s="21">
        <f>[2]底表!AS37</f>
        <v>0.4364</v>
      </c>
      <c r="J37" s="21">
        <f>[2]底表!AT37</f>
        <v>4</v>
      </c>
      <c r="K37" s="21">
        <f>[2]底表!AU37</f>
        <v>8</v>
      </c>
      <c r="L37" s="21">
        <f>[2]底表!AV37</f>
        <v>-0.5</v>
      </c>
      <c r="M37" s="21">
        <f>[2]底表!AW37</f>
        <v>8</v>
      </c>
      <c r="N37" s="21">
        <f>[2]底表!AX37</f>
        <v>-0.5</v>
      </c>
      <c r="O37" s="21">
        <f>[2]底表!AY37</f>
        <v>1</v>
      </c>
      <c r="P37" s="21">
        <f>[2]底表!AZ37</f>
        <v>2</v>
      </c>
      <c r="Q37" s="21">
        <f>[2]底表!BA37</f>
        <v>-0.5</v>
      </c>
      <c r="R37" s="21">
        <f>[2]底表!BB37</f>
        <v>3</v>
      </c>
      <c r="S37" s="21">
        <f>[2]底表!BC37</f>
        <v>-0.6667</v>
      </c>
      <c r="T37" s="21">
        <f>[2]底表!BD37</f>
        <v>0.25</v>
      </c>
      <c r="U37" s="21">
        <f>[2]底表!BE37</f>
        <v>0</v>
      </c>
      <c r="V37" s="21">
        <f>[2]底表!BF37</f>
        <v>1</v>
      </c>
      <c r="W37" s="21">
        <f>[2]底表!BG37</f>
        <v>3</v>
      </c>
      <c r="X37" s="21">
        <f>[2]底表!BH37</f>
        <v>-0.6667</v>
      </c>
      <c r="Y37" s="21">
        <f>[2]底表!BI37</f>
        <v>0</v>
      </c>
      <c r="Z37" s="21" t="str">
        <f>[2]底表!BJ37</f>
        <v>多1起</v>
      </c>
      <c r="AA37" s="21">
        <f>[2]底表!BK37</f>
        <v>0.2</v>
      </c>
      <c r="AB37" s="21">
        <f>[2]底表!BL37</f>
        <v>3</v>
      </c>
      <c r="AC37" s="21">
        <f>[2]底表!BM37</f>
        <v>2</v>
      </c>
      <c r="AD37" s="21">
        <f>[2]底表!BN37</f>
        <v>0.5</v>
      </c>
      <c r="AE37" s="21">
        <f>[2]底表!BO37</f>
        <v>2</v>
      </c>
      <c r="AF37" s="21">
        <f>[2]底表!BP37</f>
        <v>0.5</v>
      </c>
      <c r="AG37" s="21">
        <f>[2]底表!BT37</f>
        <v>1</v>
      </c>
      <c r="AH37" s="21" t="str">
        <f>[2]底表!BU37</f>
        <v>少1起</v>
      </c>
      <c r="AI37" s="21">
        <f>[2]底表!BV37</f>
        <v>0</v>
      </c>
      <c r="AJ37" s="21">
        <f>[2]底表!BW37</f>
        <v>-0.0909</v>
      </c>
      <c r="AK37" s="21">
        <f>[2]底表!BX37</f>
        <v>0</v>
      </c>
      <c r="AL37" s="21">
        <f>[2]底表!BY37</f>
        <v>-0.125</v>
      </c>
      <c r="AM37" s="21">
        <f>[2]底表!BZ37</f>
        <v>0</v>
      </c>
      <c r="AN37" s="21">
        <f>[2]底表!CA37</f>
        <v>0</v>
      </c>
      <c r="AO37" s="21" t="str">
        <f>[2]底表!CB37</f>
        <v>持平</v>
      </c>
      <c r="AP37" s="21">
        <f>[2]底表!CC37</f>
        <v>0</v>
      </c>
      <c r="AQ37" s="21" t="str">
        <f>[2]底表!CD37</f>
        <v>持平</v>
      </c>
      <c r="AR37" s="21" t="str">
        <f>[2]底表!CE37</f>
        <v/>
      </c>
      <c r="AS37" s="21" t="str">
        <f>[2]底表!CF37</f>
        <v/>
      </c>
      <c r="AT37" s="21">
        <f>[2]底表!CG37</f>
        <v>9</v>
      </c>
      <c r="AU37" s="21">
        <f>[2]底表!CH37</f>
        <v>10</v>
      </c>
      <c r="AV37" s="21">
        <f>[2]底表!CI37</f>
        <v>-0.1</v>
      </c>
      <c r="AW37" s="21">
        <f>[2]底表!CJ37</f>
        <v>4</v>
      </c>
      <c r="AX37" s="21">
        <f>[2]底表!CK37</f>
        <v>1.25</v>
      </c>
      <c r="AY37" s="21">
        <f>[2]底表!CL37</f>
        <v>180</v>
      </c>
      <c r="AZ37" s="21">
        <f>[2]底表!CM37</f>
        <v>89</v>
      </c>
      <c r="BA37" s="21">
        <f>[2]底表!CN37</f>
        <v>0.98</v>
      </c>
      <c r="BB37" s="21">
        <f>[2]底表!CO37</f>
        <v>16</v>
      </c>
      <c r="BC37" s="21">
        <f>[2]底表!CP37</f>
        <v>23</v>
      </c>
      <c r="BD37" s="21">
        <f>[2]底表!CQ37</f>
        <v>-0.3043</v>
      </c>
      <c r="BE37" s="21">
        <f>[2]底表!CR37</f>
        <v>7</v>
      </c>
      <c r="BF37" s="21">
        <f>[2]底表!CS37</f>
        <v>1.2857</v>
      </c>
      <c r="BG37" s="21">
        <f>[2]底表!CT37</f>
        <v>1.7778</v>
      </c>
      <c r="BH37" s="21">
        <f>[2]底表!CU37</f>
        <v>-0.5222</v>
      </c>
      <c r="BI37" s="21">
        <f>[2]底表!CV37</f>
        <v>320</v>
      </c>
      <c r="BJ37" s="21">
        <f>[2]底表!CW37</f>
        <v>111</v>
      </c>
      <c r="BK37" s="21">
        <f>[2]底表!CX37</f>
        <v>0.5304</v>
      </c>
      <c r="BL37" s="21">
        <f>[2]底表!CY37</f>
        <v>16</v>
      </c>
      <c r="BM37" s="21">
        <f>[2]底表!CZ37</f>
        <v>24</v>
      </c>
      <c r="BN37" s="23">
        <f>[2]底表!DA37</f>
        <v>-0.3333</v>
      </c>
      <c r="BO37" s="21">
        <f>[2]底表!DB37</f>
        <v>7</v>
      </c>
      <c r="BP37" s="21">
        <f>[2]底表!DC37</f>
        <v>1.2857</v>
      </c>
      <c r="BQ37" s="21">
        <f>[2]底表!DD37</f>
        <v>1.7778</v>
      </c>
      <c r="BR37" s="21">
        <f>[2]底表!DE37</f>
        <v>-0.6222</v>
      </c>
      <c r="BS37" s="21">
        <f>[2]底表!DF37</f>
        <v>320</v>
      </c>
      <c r="BT37" s="21">
        <f>[2]底表!DG37</f>
        <v>102</v>
      </c>
      <c r="BU37" s="21">
        <f>[2]底表!DH37</f>
        <v>0.4667</v>
      </c>
      <c r="BV37" s="21">
        <f>[2]底表!DI37</f>
        <v>13</v>
      </c>
      <c r="BW37" s="21">
        <f>[2]底表!DJ37</f>
        <v>23</v>
      </c>
      <c r="BX37" s="23">
        <f>[2]底表!DK37</f>
        <v>-0.4348</v>
      </c>
      <c r="BY37" s="21">
        <f>[2]底表!DL37</f>
        <v>12</v>
      </c>
      <c r="BZ37" s="21">
        <f>[2]底表!DM37</f>
        <v>0.0833</v>
      </c>
      <c r="CA37" s="21">
        <f>[2]底表!DN37</f>
        <v>5</v>
      </c>
      <c r="CB37" s="21">
        <f>[2]底表!DO37</f>
        <v>9</v>
      </c>
      <c r="CC37" s="21">
        <f>[2]底表!DP37</f>
        <v>-0.4444</v>
      </c>
      <c r="CD37" s="21">
        <f>[2]底表!DQ37</f>
        <v>5</v>
      </c>
      <c r="CE37" s="21">
        <f>[2]底表!DR37</f>
        <v>0</v>
      </c>
      <c r="CF37" s="21">
        <f>[2]底表!DS37</f>
        <v>5</v>
      </c>
      <c r="CG37" s="21">
        <f>[2]底表!DT37</f>
        <v>9</v>
      </c>
      <c r="CH37" s="21">
        <f>[2]底表!DU37</f>
        <v>-0.4444</v>
      </c>
      <c r="CI37" s="21">
        <f>[2]底表!DV37</f>
        <v>5</v>
      </c>
      <c r="CJ37" s="21">
        <f>[2]底表!DW37</f>
        <v>0</v>
      </c>
      <c r="CK37" s="21">
        <f>[2]底表!DX37</f>
        <v>5</v>
      </c>
      <c r="CL37" s="21">
        <f>[2]底表!DY37</f>
        <v>9</v>
      </c>
      <c r="CM37" s="21">
        <f>[2]底表!DZ37</f>
        <v>-0.4444</v>
      </c>
      <c r="CN37" s="21">
        <f>[2]底表!EA37</f>
        <v>10</v>
      </c>
      <c r="CO37" s="21">
        <f>[2]底表!EB37</f>
        <v>-0.5</v>
      </c>
      <c r="CP37" s="21">
        <f>[2]底表!EC37</f>
        <v>7</v>
      </c>
      <c r="CQ37" s="21">
        <f>[2]底表!ED37</f>
        <v>6</v>
      </c>
      <c r="CR37" s="21">
        <f>[2]底表!EE37</f>
        <v>0.1667</v>
      </c>
      <c r="CS37" s="21">
        <f>[2]底表!EF37</f>
        <v>1</v>
      </c>
      <c r="CT37" s="21">
        <f>[2]底表!EG37</f>
        <v>6</v>
      </c>
      <c r="CU37" s="21">
        <f>[2]底表!EH37</f>
        <v>0.4375</v>
      </c>
      <c r="CV37" s="21">
        <f>[2]底表!EI37</f>
        <v>0.1766</v>
      </c>
      <c r="CW37" s="21">
        <f>[2]底表!EJ37</f>
        <v>140</v>
      </c>
      <c r="CX37" s="21">
        <f>[2]底表!EK37</f>
        <v>85</v>
      </c>
      <c r="CY37" s="21">
        <f>[2]底表!EL37</f>
        <v>1.5667</v>
      </c>
      <c r="CZ37" s="21">
        <f>[2]底表!EM37</f>
        <v>7</v>
      </c>
      <c r="DA37" s="21">
        <f>[2]底表!EN37</f>
        <v>6</v>
      </c>
      <c r="DB37" s="21">
        <f>[2]底表!EO37</f>
        <v>0.1667</v>
      </c>
      <c r="DC37" s="21">
        <f>[2]底表!EP37</f>
        <v>1</v>
      </c>
      <c r="DD37" s="21">
        <f>[2]底表!EQ37</f>
        <v>6</v>
      </c>
      <c r="DE37" s="21">
        <f>[2]底表!ER37</f>
        <v>2</v>
      </c>
      <c r="DF37" s="21">
        <f>[2]底表!ES37</f>
        <v>1</v>
      </c>
      <c r="DG37" s="23">
        <f>[2]底表!ET37</f>
        <v>1</v>
      </c>
      <c r="DH37" s="21">
        <f>[2]底表!EU37</f>
        <v>1</v>
      </c>
      <c r="DI37" s="21">
        <f>[2]底表!EV37</f>
        <v>1</v>
      </c>
      <c r="DJ37" s="21">
        <f>[2]底表!EW37</f>
        <v>0.125</v>
      </c>
      <c r="DK37" s="21">
        <f>[2]底表!EX37</f>
        <v>0.0815</v>
      </c>
      <c r="DL37" s="21">
        <f>[2]底表!EY37</f>
        <v>40</v>
      </c>
      <c r="DM37" s="21">
        <f>[2]底表!EZ37</f>
        <v>31</v>
      </c>
      <c r="DN37" s="21">
        <f>[2]底表!FA37</f>
        <v>3.4</v>
      </c>
      <c r="DO37" s="21">
        <f>[2]底表!BQ37</f>
        <v>0</v>
      </c>
      <c r="DP37" s="21">
        <f>[2]底表!BR37</f>
        <v>1</v>
      </c>
      <c r="DQ37" s="24" t="str">
        <f>[2]底表!BS37</f>
        <v>少1起</v>
      </c>
    </row>
    <row r="38" s="2" customFormat="1" ht="32" hidden="1" customHeight="1" spans="1:121">
      <c r="A38" s="27" t="str">
        <f>[2]底表!A38</f>
        <v>诈骗及关联犯罪</v>
      </c>
      <c r="B38" s="28" t="str">
        <f>[2]底表!B38</f>
        <v>罗定市</v>
      </c>
      <c r="C38" s="21">
        <f>[2]底表!AM38</f>
        <v>16</v>
      </c>
      <c r="D38" s="21">
        <f>[2]底表!AN38</f>
        <v>7</v>
      </c>
      <c r="E38" s="23">
        <f>[2]底表!AO38</f>
        <v>1.2857</v>
      </c>
      <c r="F38" s="21">
        <f>[2]底表!AP38</f>
        <v>47</v>
      </c>
      <c r="G38" s="21">
        <f>[2]底表!AQ38</f>
        <v>-0.6596</v>
      </c>
      <c r="H38" s="21">
        <f>[2]底表!AR38</f>
        <v>0.5333</v>
      </c>
      <c r="I38" s="21">
        <f>[2]底表!AS38</f>
        <v>0.3626</v>
      </c>
      <c r="J38" s="21">
        <f>[2]底表!AT38</f>
        <v>14</v>
      </c>
      <c r="K38" s="21">
        <f>[2]底表!AU38</f>
        <v>18</v>
      </c>
      <c r="L38" s="21">
        <f>[2]底表!AV38</f>
        <v>-0.2222</v>
      </c>
      <c r="M38" s="21">
        <f>[2]底表!AW38</f>
        <v>20</v>
      </c>
      <c r="N38" s="21">
        <f>[2]底表!AX38</f>
        <v>-0.3</v>
      </c>
      <c r="O38" s="21">
        <f>[2]底表!AY38</f>
        <v>2</v>
      </c>
      <c r="P38" s="21">
        <f>[2]底表!AZ38</f>
        <v>2</v>
      </c>
      <c r="Q38" s="21">
        <f>[2]底表!BA38</f>
        <v>0</v>
      </c>
      <c r="R38" s="21">
        <f>[2]底表!BB38</f>
        <v>11</v>
      </c>
      <c r="S38" s="21">
        <f>[2]底表!BC38</f>
        <v>-0.8182</v>
      </c>
      <c r="T38" s="21">
        <f>[2]底表!BD38</f>
        <v>0.1429</v>
      </c>
      <c r="U38" s="21">
        <f>[2]底表!BE38</f>
        <v>0.0317</v>
      </c>
      <c r="V38" s="21">
        <f>[2]底表!BF38</f>
        <v>16</v>
      </c>
      <c r="W38" s="21">
        <f>[2]底表!BG38</f>
        <v>23</v>
      </c>
      <c r="X38" s="21">
        <f>[2]底表!BH38</f>
        <v>-0.3043</v>
      </c>
      <c r="Y38" s="21">
        <f>[2]底表!BI38</f>
        <v>0</v>
      </c>
      <c r="Z38" s="21" t="str">
        <f>[2]底表!BJ38</f>
        <v>多16起</v>
      </c>
      <c r="AA38" s="21">
        <f>[2]底表!BK38</f>
        <v>0.5333</v>
      </c>
      <c r="AB38" s="21">
        <f>[2]底表!BL38</f>
        <v>14</v>
      </c>
      <c r="AC38" s="21">
        <f>[2]底表!BM38</f>
        <v>5</v>
      </c>
      <c r="AD38" s="21">
        <f>[2]底表!BN38</f>
        <v>1.8</v>
      </c>
      <c r="AE38" s="21">
        <f>[2]底表!BO38</f>
        <v>36</v>
      </c>
      <c r="AF38" s="21">
        <f>[2]底表!BP38</f>
        <v>-0.6111</v>
      </c>
      <c r="AG38" s="21">
        <f>[2]底表!BT38</f>
        <v>12</v>
      </c>
      <c r="AH38" s="21">
        <f>[2]底表!BU38</f>
        <v>-0.5</v>
      </c>
      <c r="AI38" s="21">
        <f>[2]底表!BV38</f>
        <v>0.2</v>
      </c>
      <c r="AJ38" s="21">
        <f>[2]底表!BW38</f>
        <v>0.1024</v>
      </c>
      <c r="AK38" s="21">
        <f>[2]底表!BX38</f>
        <v>0.4286</v>
      </c>
      <c r="AL38" s="21">
        <f>[2]底表!BY38</f>
        <v>0.2063</v>
      </c>
      <c r="AM38" s="21">
        <f>[2]底表!BZ38</f>
        <v>0</v>
      </c>
      <c r="AN38" s="21">
        <f>[2]底表!CA38</f>
        <v>0</v>
      </c>
      <c r="AO38" s="21" t="str">
        <f>[2]底表!CB38</f>
        <v>持平</v>
      </c>
      <c r="AP38" s="21">
        <f>[2]底表!CC38</f>
        <v>2</v>
      </c>
      <c r="AQ38" s="21" t="str">
        <f>[2]底表!CD38</f>
        <v>少2起</v>
      </c>
      <c r="AR38" s="21" t="str">
        <f>[2]底表!CE38</f>
        <v/>
      </c>
      <c r="AS38" s="21" t="str">
        <f>[2]底表!CF38</f>
        <v/>
      </c>
      <c r="AT38" s="21">
        <f>[2]底表!CG38</f>
        <v>31</v>
      </c>
      <c r="AU38" s="21">
        <f>[2]底表!CH38</f>
        <v>43</v>
      </c>
      <c r="AV38" s="21">
        <f>[2]底表!CI38</f>
        <v>-0.2791</v>
      </c>
      <c r="AW38" s="21">
        <f>[2]底表!CJ38</f>
        <v>70</v>
      </c>
      <c r="AX38" s="21">
        <f>[2]底表!CK38</f>
        <v>-0.5571</v>
      </c>
      <c r="AY38" s="21">
        <f>[2]底表!CL38</f>
        <v>103</v>
      </c>
      <c r="AZ38" s="21">
        <f>[2]底表!CM38</f>
        <v>-2</v>
      </c>
      <c r="BA38" s="21">
        <f>[2]底表!CN38</f>
        <v>-0.0147</v>
      </c>
      <c r="BB38" s="21">
        <f>[2]底表!CO38</f>
        <v>31</v>
      </c>
      <c r="BC38" s="21">
        <f>[2]底表!CP38</f>
        <v>28</v>
      </c>
      <c r="BD38" s="21">
        <f>[2]底表!CQ38</f>
        <v>0.1071</v>
      </c>
      <c r="BE38" s="21">
        <f>[2]底表!CR38</f>
        <v>5</v>
      </c>
      <c r="BF38" s="21">
        <f>[2]底表!CS38</f>
        <v>5.2</v>
      </c>
      <c r="BG38" s="21">
        <f>[2]底表!CT38</f>
        <v>1</v>
      </c>
      <c r="BH38" s="21">
        <f>[2]底表!CU38</f>
        <v>0.3488</v>
      </c>
      <c r="BI38" s="21">
        <f>[2]底表!CV38</f>
        <v>103</v>
      </c>
      <c r="BJ38" s="21">
        <f>[2]底表!CW38</f>
        <v>35</v>
      </c>
      <c r="BK38" s="21">
        <f>[2]底表!CX38</f>
        <v>0.5131</v>
      </c>
      <c r="BL38" s="21">
        <f>[2]底表!CY38</f>
        <v>33</v>
      </c>
      <c r="BM38" s="21">
        <f>[2]底表!CZ38</f>
        <v>45</v>
      </c>
      <c r="BN38" s="23">
        <f>[2]底表!DA38</f>
        <v>-0.2667</v>
      </c>
      <c r="BO38" s="21">
        <f>[2]底表!DB38</f>
        <v>6</v>
      </c>
      <c r="BP38" s="21">
        <f>[2]底表!DC38</f>
        <v>4.5</v>
      </c>
      <c r="BQ38" s="21">
        <f>[2]底表!DD38</f>
        <v>1.0645</v>
      </c>
      <c r="BR38" s="21">
        <f>[2]底表!DE38</f>
        <v>0.018</v>
      </c>
      <c r="BS38" s="21">
        <f>[2]底表!DF38</f>
        <v>110</v>
      </c>
      <c r="BT38" s="21">
        <f>[2]底表!DG38</f>
        <v>0</v>
      </c>
      <c r="BU38" s="21">
        <f>[2]底表!DH38</f>
        <v>0.0022</v>
      </c>
      <c r="BV38" s="21">
        <f>[2]底表!DI38</f>
        <v>18</v>
      </c>
      <c r="BW38" s="21">
        <f>[2]底表!DJ38</f>
        <v>0</v>
      </c>
      <c r="BX38" s="23" t="str">
        <f>[2]底表!DK38</f>
        <v>多18人</v>
      </c>
      <c r="BY38" s="21">
        <f>[2]底表!DL38</f>
        <v>7</v>
      </c>
      <c r="BZ38" s="21">
        <f>[2]底表!DM38</f>
        <v>1.5714</v>
      </c>
      <c r="CA38" s="21">
        <f>[2]底表!DN38</f>
        <v>7</v>
      </c>
      <c r="CB38" s="21">
        <f>[2]底表!DO38</f>
        <v>17</v>
      </c>
      <c r="CC38" s="21">
        <f>[2]底表!DP38</f>
        <v>-0.5882</v>
      </c>
      <c r="CD38" s="21">
        <f>[2]底表!DQ38</f>
        <v>9</v>
      </c>
      <c r="CE38" s="21">
        <f>[2]底表!DR38</f>
        <v>-0.2222</v>
      </c>
      <c r="CF38" s="21">
        <f>[2]底表!DS38</f>
        <v>7</v>
      </c>
      <c r="CG38" s="21">
        <f>[2]底表!DT38</f>
        <v>17</v>
      </c>
      <c r="CH38" s="21">
        <f>[2]底表!DU38</f>
        <v>-0.5882</v>
      </c>
      <c r="CI38" s="21">
        <f>[2]底表!DV38</f>
        <v>9</v>
      </c>
      <c r="CJ38" s="21">
        <f>[2]底表!DW38</f>
        <v>-0.2222</v>
      </c>
      <c r="CK38" s="21">
        <f>[2]底表!DX38</f>
        <v>6</v>
      </c>
      <c r="CL38" s="21">
        <f>[2]底表!DY38</f>
        <v>8</v>
      </c>
      <c r="CM38" s="21">
        <f>[2]底表!DZ38</f>
        <v>-0.25</v>
      </c>
      <c r="CN38" s="21">
        <f>[2]底表!EA38</f>
        <v>14</v>
      </c>
      <c r="CO38" s="21">
        <f>[2]底表!EB38</f>
        <v>-0.5714</v>
      </c>
      <c r="CP38" s="21">
        <f>[2]底表!EC38</f>
        <v>3</v>
      </c>
      <c r="CQ38" s="21">
        <f>[2]底表!ED38</f>
        <v>3</v>
      </c>
      <c r="CR38" s="21">
        <f>[2]底表!EE38</f>
        <v>0</v>
      </c>
      <c r="CS38" s="21">
        <f>[2]底表!EF38</f>
        <v>10</v>
      </c>
      <c r="CT38" s="21">
        <f>[2]底表!EG38</f>
        <v>-0.7</v>
      </c>
      <c r="CU38" s="21">
        <f>[2]底表!EH38</f>
        <v>0.0968</v>
      </c>
      <c r="CV38" s="21">
        <f>[2]底表!EI38</f>
        <v>-0.0104</v>
      </c>
      <c r="CW38" s="21">
        <f>[2]底表!EJ38</f>
        <v>10</v>
      </c>
      <c r="CX38" s="21">
        <f>[2]底表!EK38</f>
        <v>3</v>
      </c>
      <c r="CY38" s="21">
        <f>[2]底表!EL38</f>
        <v>0.3667</v>
      </c>
      <c r="CZ38" s="21">
        <f>[2]底表!EM38</f>
        <v>3</v>
      </c>
      <c r="DA38" s="21">
        <f>[2]底表!EN38</f>
        <v>3</v>
      </c>
      <c r="DB38" s="21">
        <f>[2]底表!EO38</f>
        <v>0</v>
      </c>
      <c r="DC38" s="21">
        <f>[2]底表!EP38</f>
        <v>10</v>
      </c>
      <c r="DD38" s="21">
        <f>[2]底表!EQ38</f>
        <v>-0.7</v>
      </c>
      <c r="DE38" s="21">
        <f>[2]底表!ER38</f>
        <v>22</v>
      </c>
      <c r="DF38" s="21">
        <f>[2]底表!ES38</f>
        <v>8</v>
      </c>
      <c r="DG38" s="23">
        <f>[2]底表!ET38</f>
        <v>1.75</v>
      </c>
      <c r="DH38" s="21">
        <f>[2]底表!EU38</f>
        <v>21</v>
      </c>
      <c r="DI38" s="21">
        <f>[2]底表!EV38</f>
        <v>0.0476</v>
      </c>
      <c r="DJ38" s="21">
        <f>[2]底表!EW38</f>
        <v>0.7097</v>
      </c>
      <c r="DK38" s="21">
        <f>[2]底表!EX38</f>
        <v>0.424</v>
      </c>
      <c r="DL38" s="21">
        <f>[2]底表!EY38</f>
        <v>73</v>
      </c>
      <c r="DM38" s="21">
        <f>[2]底表!EZ38</f>
        <v>54</v>
      </c>
      <c r="DN38" s="21">
        <f>[2]底表!FA38</f>
        <v>2.7583</v>
      </c>
      <c r="DO38" s="21">
        <f>[2]底表!BQ38</f>
        <v>6</v>
      </c>
      <c r="DP38" s="21">
        <f>[2]底表!BR38</f>
        <v>4</v>
      </c>
      <c r="DQ38" s="24">
        <f>[2]底表!BS38</f>
        <v>0.5</v>
      </c>
    </row>
    <row r="39" s="2" customFormat="1" ht="32" hidden="1" customHeight="1" spans="1:121">
      <c r="A39" s="27" t="str">
        <f>[2]底表!A39</f>
        <v>打架斗殴</v>
      </c>
      <c r="B39" s="28" t="str">
        <f>[2]底表!B39</f>
        <v>全省</v>
      </c>
      <c r="C39" s="21">
        <f>[2]底表!AM39</f>
        <v>1136</v>
      </c>
      <c r="D39" s="21">
        <f>[2]底表!AN39</f>
        <v>849</v>
      </c>
      <c r="E39" s="23">
        <f>[2]底表!AO39</f>
        <v>0.338</v>
      </c>
      <c r="F39" s="21">
        <f>[2]底表!AP39</f>
        <v>1488</v>
      </c>
      <c r="G39" s="21">
        <f>[2]底表!AQ39</f>
        <v>-0.2366</v>
      </c>
      <c r="H39" s="21">
        <f>[2]底表!AR39</f>
        <v>0.9676</v>
      </c>
      <c r="I39" s="21">
        <f>[2]底表!AS39</f>
        <v>0.1682</v>
      </c>
      <c r="J39" s="21">
        <f>[2]底表!AT39</f>
        <v>776</v>
      </c>
      <c r="K39" s="21">
        <f>[2]底表!AU39</f>
        <v>685</v>
      </c>
      <c r="L39" s="21">
        <f>[2]底表!AV39</f>
        <v>0.1328</v>
      </c>
      <c r="M39" s="21">
        <f>[2]底表!AW39</f>
        <v>1211</v>
      </c>
      <c r="N39" s="21">
        <f>[2]底表!AX39</f>
        <v>-0.3592</v>
      </c>
      <c r="O39" s="21">
        <f>[2]底表!AY39</f>
        <v>704</v>
      </c>
      <c r="P39" s="21">
        <f>[2]底表!AZ39</f>
        <v>541</v>
      </c>
      <c r="Q39" s="21">
        <f>[2]底表!BA39</f>
        <v>0.3013</v>
      </c>
      <c r="R39" s="21">
        <f>[2]底表!BB39</f>
        <v>1301</v>
      </c>
      <c r="S39" s="21">
        <f>[2]底表!BC39</f>
        <v>-0.4589</v>
      </c>
      <c r="T39" s="21">
        <f>[2]底表!BD39</f>
        <v>0.9072</v>
      </c>
      <c r="U39" s="21">
        <f>[2]底表!BE39</f>
        <v>0.1174</v>
      </c>
      <c r="V39" s="21">
        <f>[2]底表!BF39</f>
        <v>398</v>
      </c>
      <c r="W39" s="21">
        <f>[2]底表!BG39</f>
        <v>377</v>
      </c>
      <c r="X39" s="21">
        <f>[2]底表!BH39</f>
        <v>0.0557</v>
      </c>
      <c r="Y39" s="21">
        <f>[2]底表!BI39</f>
        <v>45</v>
      </c>
      <c r="Z39" s="21">
        <f>[2]底表!BJ39</f>
        <v>7.8444</v>
      </c>
      <c r="AA39" s="21">
        <f>[2]底表!BK39</f>
        <v>0.339</v>
      </c>
      <c r="AB39" s="21">
        <f>[2]底表!BL39</f>
        <v>432</v>
      </c>
      <c r="AC39" s="21">
        <f>[2]底表!BM39</f>
        <v>308</v>
      </c>
      <c r="AD39" s="21">
        <f>[2]底表!BN39</f>
        <v>0.4026</v>
      </c>
      <c r="AE39" s="21">
        <f>[2]底表!BO39</f>
        <v>187</v>
      </c>
      <c r="AF39" s="21">
        <f>[2]底表!BP39</f>
        <v>1.3102</v>
      </c>
      <c r="AG39" s="21">
        <f>[2]底表!BT39</f>
        <v>1300</v>
      </c>
      <c r="AH39" s="21">
        <f>[2]底表!BU39</f>
        <v>-0.4238</v>
      </c>
      <c r="AI39" s="21">
        <f>[2]底表!BV39</f>
        <v>0.638</v>
      </c>
      <c r="AJ39" s="21">
        <f>[2]底表!BW39</f>
        <v>0.0664</v>
      </c>
      <c r="AK39" s="21">
        <f>[2]底表!BX39</f>
        <v>0.9652</v>
      </c>
      <c r="AL39" s="21">
        <f>[2]底表!BY39</f>
        <v>0.0791</v>
      </c>
      <c r="AM39" s="21">
        <f>[2]底表!BZ39</f>
        <v>2</v>
      </c>
      <c r="AN39" s="21">
        <f>[2]底表!CA39</f>
        <v>3</v>
      </c>
      <c r="AO39" s="21">
        <f>[2]底表!CB39</f>
        <v>-0.3333</v>
      </c>
      <c r="AP39" s="21">
        <f>[2]底表!CC39</f>
        <v>13</v>
      </c>
      <c r="AQ39" s="21">
        <f>[2]底表!CD39</f>
        <v>-0.8462</v>
      </c>
      <c r="AR39" s="21" t="str">
        <f>[2]底表!CE39</f>
        <v/>
      </c>
      <c r="AS39" s="21" t="str">
        <f>[2]底表!CF39</f>
        <v/>
      </c>
      <c r="AT39" s="21">
        <f>[2]底表!CG39</f>
        <v>1819</v>
      </c>
      <c r="AU39" s="21">
        <f>[2]底表!CH39</f>
        <v>1771</v>
      </c>
      <c r="AV39" s="21">
        <f>[2]底表!CI39</f>
        <v>0.0271</v>
      </c>
      <c r="AW39" s="21">
        <f>[2]底表!CJ39</f>
        <v>2160</v>
      </c>
      <c r="AX39" s="21">
        <f>[2]底表!CK39</f>
        <v>-0.1579</v>
      </c>
      <c r="AY39" s="21">
        <f>[2]底表!CL39</f>
        <v>155</v>
      </c>
      <c r="AZ39" s="21">
        <f>[2]底表!CM39</f>
        <v>-12</v>
      </c>
      <c r="BA39" s="21">
        <f>[2]底表!CN39</f>
        <v>-0.0709</v>
      </c>
      <c r="BB39" s="21">
        <f>[2]底表!CO39</f>
        <v>1350</v>
      </c>
      <c r="BC39" s="21">
        <f>[2]底表!CP39</f>
        <v>947</v>
      </c>
      <c r="BD39" s="21">
        <f>[2]底表!CQ39</f>
        <v>0.4256</v>
      </c>
      <c r="BE39" s="21">
        <f>[2]底表!CR39</f>
        <v>1643</v>
      </c>
      <c r="BF39" s="21">
        <f>[2]底表!CS39</f>
        <v>-0.1783</v>
      </c>
      <c r="BG39" s="21">
        <f>[2]底表!CT39</f>
        <v>0.7422</v>
      </c>
      <c r="BH39" s="21">
        <f>[2]底表!CU39</f>
        <v>0.2074</v>
      </c>
      <c r="BI39" s="21">
        <f>[2]底表!CV39</f>
        <v>115</v>
      </c>
      <c r="BJ39" s="21">
        <f>[2]底表!CW39</f>
        <v>26</v>
      </c>
      <c r="BK39" s="21">
        <f>[2]底表!CX39</f>
        <v>0.2896</v>
      </c>
      <c r="BL39" s="21">
        <f>[2]底表!CY39</f>
        <v>1655</v>
      </c>
      <c r="BM39" s="21">
        <f>[2]底表!CZ39</f>
        <v>1335</v>
      </c>
      <c r="BN39" s="23">
        <f>[2]底表!DA39</f>
        <v>0.2397</v>
      </c>
      <c r="BO39" s="21">
        <f>[2]底表!DB39</f>
        <v>2066</v>
      </c>
      <c r="BP39" s="21">
        <f>[2]底表!DC39</f>
        <v>-0.1989</v>
      </c>
      <c r="BQ39" s="21">
        <f>[2]底表!DD39</f>
        <v>0.9098</v>
      </c>
      <c r="BR39" s="21">
        <f>[2]底表!DE39</f>
        <v>0.156</v>
      </c>
      <c r="BS39" s="21">
        <f>[2]底表!DF39</f>
        <v>141</v>
      </c>
      <c r="BT39" s="21">
        <f>[2]底表!DG39</f>
        <v>15</v>
      </c>
      <c r="BU39" s="21">
        <f>[2]底表!DH39</f>
        <v>0.1214</v>
      </c>
      <c r="BV39" s="21">
        <f>[2]底表!DI39</f>
        <v>1643</v>
      </c>
      <c r="BW39" s="21">
        <f>[2]底表!DJ39</f>
        <v>1372</v>
      </c>
      <c r="BX39" s="23">
        <f>[2]底表!DK39</f>
        <v>0.1975</v>
      </c>
      <c r="BY39" s="21">
        <f>[2]底表!DL39</f>
        <v>2008</v>
      </c>
      <c r="BZ39" s="21">
        <f>[2]底表!DM39</f>
        <v>-0.1818</v>
      </c>
      <c r="CA39" s="21">
        <f>[2]底表!DN39</f>
        <v>1086</v>
      </c>
      <c r="CB39" s="21">
        <f>[2]底表!DO39</f>
        <v>1019</v>
      </c>
      <c r="CC39" s="21">
        <f>[2]底表!DP39</f>
        <v>0.0658</v>
      </c>
      <c r="CD39" s="21">
        <f>[2]底表!DQ39</f>
        <v>1351</v>
      </c>
      <c r="CE39" s="21">
        <f>[2]底表!DR39</f>
        <v>-0.1962</v>
      </c>
      <c r="CF39" s="21">
        <f>[2]底表!DS39</f>
        <v>1088</v>
      </c>
      <c r="CG39" s="21">
        <f>[2]底表!DT39</f>
        <v>1019</v>
      </c>
      <c r="CH39" s="21">
        <f>[2]底表!DU39</f>
        <v>0.0677</v>
      </c>
      <c r="CI39" s="21">
        <f>[2]底表!DV39</f>
        <v>1352</v>
      </c>
      <c r="CJ39" s="21">
        <f>[2]底表!DW39</f>
        <v>-0.1953</v>
      </c>
      <c r="CK39" s="21">
        <f>[2]底表!DX39</f>
        <v>1348</v>
      </c>
      <c r="CL39" s="21">
        <f>[2]底表!DY39</f>
        <v>1097</v>
      </c>
      <c r="CM39" s="21">
        <f>[2]底表!DZ39</f>
        <v>0.2288</v>
      </c>
      <c r="CN39" s="21">
        <f>[2]底表!EA39</f>
        <v>1498</v>
      </c>
      <c r="CO39" s="21">
        <f>[2]底表!EB39</f>
        <v>-0.1001</v>
      </c>
      <c r="CP39" s="21">
        <f>[2]底表!EC39</f>
        <v>677</v>
      </c>
      <c r="CQ39" s="21">
        <f>[2]底表!ED39</f>
        <v>726</v>
      </c>
      <c r="CR39" s="21">
        <f>[2]底表!EE39</f>
        <v>-0.0675</v>
      </c>
      <c r="CS39" s="21">
        <f>[2]底表!EF39</f>
        <v>800</v>
      </c>
      <c r="CT39" s="21">
        <f>[2]底表!EG39</f>
        <v>-0.1538</v>
      </c>
      <c r="CU39" s="21">
        <f>[2]底表!EH39</f>
        <v>0.5015</v>
      </c>
      <c r="CV39" s="21">
        <f>[2]底表!EI39</f>
        <v>-0.2651</v>
      </c>
      <c r="CW39" s="21">
        <f>[2]底表!EJ39</f>
        <v>58</v>
      </c>
      <c r="CX39" s="21">
        <f>[2]底表!EK39</f>
        <v>-11</v>
      </c>
      <c r="CY39" s="21">
        <f>[2]底表!EL39</f>
        <v>-0.1565</v>
      </c>
      <c r="CZ39" s="21">
        <f>[2]底表!EM39</f>
        <v>701</v>
      </c>
      <c r="DA39" s="21">
        <f>[2]底表!EN39</f>
        <v>726</v>
      </c>
      <c r="DB39" s="21">
        <f>[2]底表!EO39</f>
        <v>-0.0344</v>
      </c>
      <c r="DC39" s="21">
        <f>[2]底表!EP39</f>
        <v>814</v>
      </c>
      <c r="DD39" s="21">
        <f>[2]底表!EQ39</f>
        <v>-0.1388</v>
      </c>
      <c r="DE39" s="21">
        <f>[2]底表!ER39</f>
        <v>1220</v>
      </c>
      <c r="DF39" s="21">
        <f>[2]底表!ES39</f>
        <v>905</v>
      </c>
      <c r="DG39" s="23">
        <f>[2]底表!ET39</f>
        <v>0.3481</v>
      </c>
      <c r="DH39" s="21">
        <f>[2]底表!EU39</f>
        <v>1940</v>
      </c>
      <c r="DI39" s="21">
        <f>[2]底表!EV39</f>
        <v>-0.3711</v>
      </c>
      <c r="DJ39" s="21">
        <f>[2]底表!EW39</f>
        <v>0.9037</v>
      </c>
      <c r="DK39" s="21">
        <f>[2]底表!EX39</f>
        <v>-0.0519</v>
      </c>
      <c r="DL39" s="21">
        <f>[2]底表!EY39</f>
        <v>104</v>
      </c>
      <c r="DM39" s="21">
        <f>[2]底表!EZ39</f>
        <v>19</v>
      </c>
      <c r="DN39" s="21">
        <f>[2]底表!FA39</f>
        <v>0.2195</v>
      </c>
      <c r="DO39" s="21">
        <f>[2]底表!BQ39</f>
        <v>749</v>
      </c>
      <c r="DP39" s="21">
        <f>[2]底表!BR39</f>
        <v>607</v>
      </c>
      <c r="DQ39" s="24">
        <f>[2]底表!BS39</f>
        <v>0.2339</v>
      </c>
    </row>
    <row r="40" s="2" customFormat="1" ht="32" hidden="1" customHeight="1" spans="1:121">
      <c r="A40" s="27" t="str">
        <f>[2]底表!A40</f>
        <v>打架斗殴</v>
      </c>
      <c r="B40" s="28" t="str">
        <f>[2]底表!B40</f>
        <v>云浮</v>
      </c>
      <c r="C40" s="21">
        <f>[2]底表!AM40</f>
        <v>10</v>
      </c>
      <c r="D40" s="21">
        <f>[2]底表!AN40</f>
        <v>5</v>
      </c>
      <c r="E40" s="23">
        <f>[2]底表!AO40</f>
        <v>1</v>
      </c>
      <c r="F40" s="21">
        <f>[2]底表!AP40</f>
        <v>14</v>
      </c>
      <c r="G40" s="21">
        <f>[2]底表!AQ40</f>
        <v>-0.2857</v>
      </c>
      <c r="H40" s="21">
        <f>[2]底表!AR40</f>
        <v>1</v>
      </c>
      <c r="I40" s="21">
        <f>[2]底表!AS40</f>
        <v>0.5</v>
      </c>
      <c r="J40" s="21">
        <f>[2]底表!AT40</f>
        <v>6</v>
      </c>
      <c r="K40" s="21">
        <f>[2]底表!AU40</f>
        <v>5</v>
      </c>
      <c r="L40" s="21">
        <f>[2]底表!AV40</f>
        <v>0.2</v>
      </c>
      <c r="M40" s="21">
        <f>[2]底表!AW40</f>
        <v>9</v>
      </c>
      <c r="N40" s="21">
        <f>[2]底表!AX40</f>
        <v>-0.3333</v>
      </c>
      <c r="O40" s="21">
        <f>[2]底表!AY40</f>
        <v>5</v>
      </c>
      <c r="P40" s="21">
        <f>[2]底表!AZ40</f>
        <v>4</v>
      </c>
      <c r="Q40" s="21">
        <f>[2]底表!BA40</f>
        <v>0.25</v>
      </c>
      <c r="R40" s="21">
        <f>[2]底表!BB40</f>
        <v>12</v>
      </c>
      <c r="S40" s="21">
        <f>[2]底表!BC40</f>
        <v>-0.5833</v>
      </c>
      <c r="T40" s="21">
        <f>[2]底表!BD40</f>
        <v>0.8333</v>
      </c>
      <c r="U40" s="21">
        <f>[2]底表!BE40</f>
        <v>0.0333</v>
      </c>
      <c r="V40" s="21">
        <f>[2]底表!BF40</f>
        <v>4</v>
      </c>
      <c r="W40" s="21">
        <f>[2]底表!BG40</f>
        <v>5</v>
      </c>
      <c r="X40" s="21">
        <f>[2]底表!BH40</f>
        <v>-0.2</v>
      </c>
      <c r="Y40" s="21">
        <f>[2]底表!BI40</f>
        <v>0</v>
      </c>
      <c r="Z40" s="21" t="str">
        <f>[2]底表!BJ40</f>
        <v>多4起</v>
      </c>
      <c r="AA40" s="21">
        <f>[2]底表!BK40</f>
        <v>0.4</v>
      </c>
      <c r="AB40" s="21">
        <f>[2]底表!BL40</f>
        <v>5</v>
      </c>
      <c r="AC40" s="21">
        <f>[2]底表!BM40</f>
        <v>1</v>
      </c>
      <c r="AD40" s="21">
        <f>[2]底表!BN40</f>
        <v>4</v>
      </c>
      <c r="AE40" s="21">
        <f>[2]底表!BO40</f>
        <v>2</v>
      </c>
      <c r="AF40" s="21">
        <f>[2]底表!BP40</f>
        <v>1.5</v>
      </c>
      <c r="AG40" s="21">
        <f>[2]底表!BT40</f>
        <v>10</v>
      </c>
      <c r="AH40" s="21">
        <f>[2]底表!BU40</f>
        <v>-0.2</v>
      </c>
      <c r="AI40" s="21">
        <f>[2]底表!BV40</f>
        <v>0.8</v>
      </c>
      <c r="AJ40" s="21">
        <f>[2]底表!BW40</f>
        <v>0.4</v>
      </c>
      <c r="AK40" s="21">
        <f>[2]底表!BX40</f>
        <v>1.3333</v>
      </c>
      <c r="AL40" s="21">
        <f>[2]底表!BY40</f>
        <v>0.5333</v>
      </c>
      <c r="AM40" s="21">
        <f>[2]底表!BZ40</f>
        <v>0</v>
      </c>
      <c r="AN40" s="21">
        <f>[2]底表!CA40</f>
        <v>0</v>
      </c>
      <c r="AO40" s="21" t="str">
        <f>[2]底表!CB40</f>
        <v>持平</v>
      </c>
      <c r="AP40" s="21">
        <f>[2]底表!CC40</f>
        <v>0</v>
      </c>
      <c r="AQ40" s="21" t="str">
        <f>[2]底表!CD40</f>
        <v>持平</v>
      </c>
      <c r="AR40" s="21" t="str">
        <f>[2]底表!CE40</f>
        <v/>
      </c>
      <c r="AS40" s="21" t="str">
        <f>[2]底表!CF40</f>
        <v/>
      </c>
      <c r="AT40" s="21">
        <f>[2]底表!CG40</f>
        <v>15</v>
      </c>
      <c r="AU40" s="21">
        <f>[2]底表!CH40</f>
        <v>22</v>
      </c>
      <c r="AV40" s="21">
        <f>[2]底表!CI40</f>
        <v>-0.3182</v>
      </c>
      <c r="AW40" s="21">
        <f>[2]底表!CJ40</f>
        <v>5</v>
      </c>
      <c r="AX40" s="21">
        <f>[2]底表!CK40</f>
        <v>2</v>
      </c>
      <c r="AY40" s="21">
        <f>[2]底表!CL40</f>
        <v>150</v>
      </c>
      <c r="AZ40" s="21">
        <f>[2]底表!CM40</f>
        <v>-70</v>
      </c>
      <c r="BA40" s="21">
        <f>[2]底表!CN40</f>
        <v>-0.3182</v>
      </c>
      <c r="BB40" s="21">
        <f>[2]底表!CO40</f>
        <v>5</v>
      </c>
      <c r="BC40" s="21">
        <f>[2]底表!CP40</f>
        <v>15</v>
      </c>
      <c r="BD40" s="21">
        <f>[2]底表!CQ40</f>
        <v>-0.6667</v>
      </c>
      <c r="BE40" s="21">
        <f>[2]底表!CR40</f>
        <v>7</v>
      </c>
      <c r="BF40" s="21">
        <f>[2]底表!CS40</f>
        <v>-0.2857</v>
      </c>
      <c r="BG40" s="21">
        <f>[2]底表!CT40</f>
        <v>0.3333</v>
      </c>
      <c r="BH40" s="21">
        <f>[2]底表!CU40</f>
        <v>-0.3485</v>
      </c>
      <c r="BI40" s="21">
        <f>[2]底表!CV40</f>
        <v>50</v>
      </c>
      <c r="BJ40" s="21">
        <f>[2]底表!CW40</f>
        <v>-100</v>
      </c>
      <c r="BK40" s="21">
        <f>[2]底表!CX40</f>
        <v>-0.6667</v>
      </c>
      <c r="BL40" s="21">
        <f>[2]底表!CY40</f>
        <v>7</v>
      </c>
      <c r="BM40" s="21">
        <f>[2]底表!CZ40</f>
        <v>16</v>
      </c>
      <c r="BN40" s="23">
        <f>[2]底表!DA40</f>
        <v>-0.5625</v>
      </c>
      <c r="BO40" s="21">
        <f>[2]底表!DB40</f>
        <v>10</v>
      </c>
      <c r="BP40" s="21">
        <f>[2]底表!DC40</f>
        <v>-0.3</v>
      </c>
      <c r="BQ40" s="21">
        <f>[2]底表!DD40</f>
        <v>0.4667</v>
      </c>
      <c r="BR40" s="21">
        <f>[2]底表!DE40</f>
        <v>-0.2606</v>
      </c>
      <c r="BS40" s="21">
        <f>[2]底表!DF40</f>
        <v>70</v>
      </c>
      <c r="BT40" s="21">
        <f>[2]底表!DG40</f>
        <v>-90</v>
      </c>
      <c r="BU40" s="21">
        <f>[2]底表!DH40</f>
        <v>-0.5625</v>
      </c>
      <c r="BV40" s="21">
        <f>[2]底表!DI40</f>
        <v>6</v>
      </c>
      <c r="BW40" s="21">
        <f>[2]底表!DJ40</f>
        <v>14</v>
      </c>
      <c r="BX40" s="23">
        <f>[2]底表!DK40</f>
        <v>-0.5714</v>
      </c>
      <c r="BY40" s="21">
        <f>[2]底表!DL40</f>
        <v>9</v>
      </c>
      <c r="BZ40" s="21">
        <f>[2]底表!DM40</f>
        <v>-0.3333</v>
      </c>
      <c r="CA40" s="21">
        <f>[2]底表!DN40</f>
        <v>4</v>
      </c>
      <c r="CB40" s="21">
        <f>[2]底表!DO40</f>
        <v>1</v>
      </c>
      <c r="CC40" s="21">
        <f>[2]底表!DP40</f>
        <v>3</v>
      </c>
      <c r="CD40" s="21">
        <f>[2]底表!DQ40</f>
        <v>7</v>
      </c>
      <c r="CE40" s="21">
        <f>[2]底表!DR40</f>
        <v>-0.4286</v>
      </c>
      <c r="CF40" s="21">
        <f>[2]底表!DS40</f>
        <v>4</v>
      </c>
      <c r="CG40" s="21">
        <f>[2]底表!DT40</f>
        <v>1</v>
      </c>
      <c r="CH40" s="21">
        <f>[2]底表!DU40</f>
        <v>3</v>
      </c>
      <c r="CI40" s="21">
        <f>[2]底表!DV40</f>
        <v>7</v>
      </c>
      <c r="CJ40" s="21">
        <f>[2]底表!DW40</f>
        <v>-0.4286</v>
      </c>
      <c r="CK40" s="21">
        <f>[2]底表!DX40</f>
        <v>8</v>
      </c>
      <c r="CL40" s="21">
        <f>[2]底表!DY40</f>
        <v>6</v>
      </c>
      <c r="CM40" s="21">
        <f>[2]底表!DZ40</f>
        <v>0.3333</v>
      </c>
      <c r="CN40" s="21">
        <f>[2]底表!EA40</f>
        <v>14</v>
      </c>
      <c r="CO40" s="21">
        <f>[2]底表!EB40</f>
        <v>-0.4286</v>
      </c>
      <c r="CP40" s="21">
        <f>[2]底表!EC40</f>
        <v>8</v>
      </c>
      <c r="CQ40" s="21">
        <f>[2]底表!ED40</f>
        <v>6</v>
      </c>
      <c r="CR40" s="21">
        <f>[2]底表!EE40</f>
        <v>0.3333</v>
      </c>
      <c r="CS40" s="21">
        <f>[2]底表!EF40</f>
        <v>8</v>
      </c>
      <c r="CT40" s="21">
        <f>[2]底表!EG40</f>
        <v>0</v>
      </c>
      <c r="CU40" s="21">
        <f>[2]底表!EH40</f>
        <v>1.6</v>
      </c>
      <c r="CV40" s="21">
        <f>[2]底表!EI40</f>
        <v>1.2</v>
      </c>
      <c r="CW40" s="21">
        <f>[2]底表!EJ40</f>
        <v>80</v>
      </c>
      <c r="CX40" s="21">
        <f>[2]底表!EK40</f>
        <v>20</v>
      </c>
      <c r="CY40" s="21">
        <f>[2]底表!EL40</f>
        <v>0.3333</v>
      </c>
      <c r="CZ40" s="21">
        <f>[2]底表!EM40</f>
        <v>8</v>
      </c>
      <c r="DA40" s="21">
        <f>[2]底表!EN40</f>
        <v>6</v>
      </c>
      <c r="DB40" s="21">
        <f>[2]底表!EO40</f>
        <v>0.3333</v>
      </c>
      <c r="DC40" s="21">
        <f>[2]底表!EP40</f>
        <v>8</v>
      </c>
      <c r="DD40" s="21">
        <f>[2]底表!EQ40</f>
        <v>0</v>
      </c>
      <c r="DE40" s="21">
        <f>[2]底表!ER40</f>
        <v>8</v>
      </c>
      <c r="DF40" s="21">
        <f>[2]底表!ES40</f>
        <v>4</v>
      </c>
      <c r="DG40" s="23">
        <f>[2]底表!ET40</f>
        <v>1</v>
      </c>
      <c r="DH40" s="21">
        <f>[2]底表!EU40</f>
        <v>13</v>
      </c>
      <c r="DI40" s="21">
        <f>[2]底表!EV40</f>
        <v>-0.3846</v>
      </c>
      <c r="DJ40" s="21">
        <f>[2]底表!EW40</f>
        <v>1.6</v>
      </c>
      <c r="DK40" s="21">
        <f>[2]底表!EX40</f>
        <v>1.3333</v>
      </c>
      <c r="DL40" s="21">
        <f>[2]底表!EY40</f>
        <v>80</v>
      </c>
      <c r="DM40" s="21">
        <f>[2]底表!EZ40</f>
        <v>40</v>
      </c>
      <c r="DN40" s="21">
        <f>[2]底表!FA40</f>
        <v>1</v>
      </c>
      <c r="DO40" s="21">
        <f>[2]底表!BQ40</f>
        <v>8</v>
      </c>
      <c r="DP40" s="21">
        <f>[2]底表!BR40</f>
        <v>4</v>
      </c>
      <c r="DQ40" s="24">
        <f>[2]底表!BS40</f>
        <v>1</v>
      </c>
    </row>
    <row r="41" s="2" customFormat="1" ht="32" hidden="1" customHeight="1" spans="1:121">
      <c r="A41" s="27" t="str">
        <f>[2]底表!A41</f>
        <v>打架斗殴</v>
      </c>
      <c r="B41" s="28" t="str">
        <f>[2]底表!B41</f>
        <v>云城区</v>
      </c>
      <c r="C41" s="21">
        <f>[2]底表!AM41</f>
        <v>1</v>
      </c>
      <c r="D41" s="21">
        <f>[2]底表!AN41</f>
        <v>3</v>
      </c>
      <c r="E41" s="23">
        <f>[2]底表!AO41</f>
        <v>-0.6667</v>
      </c>
      <c r="F41" s="21">
        <f>[2]底表!AP41</f>
        <v>2</v>
      </c>
      <c r="G41" s="21">
        <f>[2]底表!AQ41</f>
        <v>-0.5</v>
      </c>
      <c r="H41" s="21">
        <f>[2]底表!AR41</f>
        <v>1</v>
      </c>
      <c r="I41" s="21">
        <f>[2]底表!AS41</f>
        <v>0.25</v>
      </c>
      <c r="J41" s="21">
        <f>[2]底表!AT41</f>
        <v>1</v>
      </c>
      <c r="K41" s="21">
        <f>[2]底表!AU41</f>
        <v>3</v>
      </c>
      <c r="L41" s="21">
        <f>[2]底表!AV41</f>
        <v>-0.6667</v>
      </c>
      <c r="M41" s="21">
        <f>[2]底表!AW41</f>
        <v>2</v>
      </c>
      <c r="N41" s="21">
        <f>[2]底表!AX41</f>
        <v>-0.5</v>
      </c>
      <c r="O41" s="21">
        <f>[2]底表!AY41</f>
        <v>1</v>
      </c>
      <c r="P41" s="21">
        <f>[2]底表!AZ41</f>
        <v>2</v>
      </c>
      <c r="Q41" s="21">
        <f>[2]底表!BA41</f>
        <v>-0.5</v>
      </c>
      <c r="R41" s="21">
        <f>[2]底表!BB41</f>
        <v>2</v>
      </c>
      <c r="S41" s="21">
        <f>[2]底表!BC41</f>
        <v>-0.5</v>
      </c>
      <c r="T41" s="21">
        <f>[2]底表!BD41</f>
        <v>1</v>
      </c>
      <c r="U41" s="21">
        <f>[2]底表!BE41</f>
        <v>0.3333</v>
      </c>
      <c r="V41" s="21">
        <f>[2]底表!BF41</f>
        <v>0</v>
      </c>
      <c r="W41" s="21">
        <f>[2]底表!BG41</f>
        <v>1</v>
      </c>
      <c r="X41" s="21" t="str">
        <f>[2]底表!BH41</f>
        <v>少1起</v>
      </c>
      <c r="Y41" s="21">
        <f>[2]底表!BI41</f>
        <v>0</v>
      </c>
      <c r="Z41" s="21" t="str">
        <f>[2]底表!BJ41</f>
        <v>持平</v>
      </c>
      <c r="AA41" s="21">
        <f>[2]底表!BK41</f>
        <v>0</v>
      </c>
      <c r="AB41" s="21">
        <f>[2]底表!BL41</f>
        <v>0</v>
      </c>
      <c r="AC41" s="21">
        <f>[2]底表!BM41</f>
        <v>1</v>
      </c>
      <c r="AD41" s="21" t="str">
        <f>[2]底表!BN41</f>
        <v>少1起</v>
      </c>
      <c r="AE41" s="21">
        <f>[2]底表!BO41</f>
        <v>0</v>
      </c>
      <c r="AF41" s="21" t="str">
        <f>[2]底表!BP41</f>
        <v>持平</v>
      </c>
      <c r="AG41" s="21">
        <f>[2]底表!BT41</f>
        <v>2</v>
      </c>
      <c r="AH41" s="21">
        <f>[2]底表!BU41</f>
        <v>-0.5</v>
      </c>
      <c r="AI41" s="21">
        <f>[2]底表!BV41</f>
        <v>1</v>
      </c>
      <c r="AJ41" s="21">
        <f>[2]底表!BW41</f>
        <v>0.5</v>
      </c>
      <c r="AK41" s="21">
        <f>[2]底表!BX41</f>
        <v>1</v>
      </c>
      <c r="AL41" s="21">
        <f>[2]底表!BY41</f>
        <v>0.3333</v>
      </c>
      <c r="AM41" s="21">
        <f>[2]底表!BZ41</f>
        <v>0</v>
      </c>
      <c r="AN41" s="21">
        <f>[2]底表!CA41</f>
        <v>0</v>
      </c>
      <c r="AO41" s="21" t="str">
        <f>[2]底表!CB41</f>
        <v>持平</v>
      </c>
      <c r="AP41" s="21">
        <f>[2]底表!CC41</f>
        <v>0</v>
      </c>
      <c r="AQ41" s="21" t="str">
        <f>[2]底表!CD41</f>
        <v>持平</v>
      </c>
      <c r="AR41" s="21" t="str">
        <f>[2]底表!CE41</f>
        <v/>
      </c>
      <c r="AS41" s="21" t="str">
        <f>[2]底表!CF41</f>
        <v/>
      </c>
      <c r="AT41" s="21">
        <f>[2]底表!CG41</f>
        <v>1</v>
      </c>
      <c r="AU41" s="21">
        <f>[2]底表!CH41</f>
        <v>8</v>
      </c>
      <c r="AV41" s="21">
        <f>[2]底表!CI41</f>
        <v>-0.875</v>
      </c>
      <c r="AW41" s="21">
        <f>[2]底表!CJ41</f>
        <v>1</v>
      </c>
      <c r="AX41" s="21">
        <f>[2]底表!CK41</f>
        <v>0</v>
      </c>
      <c r="AY41" s="21">
        <f>[2]底表!CL41</f>
        <v>100</v>
      </c>
      <c r="AZ41" s="21">
        <f>[2]底表!CM41</f>
        <v>-100</v>
      </c>
      <c r="BA41" s="21">
        <f>[2]底表!CN41</f>
        <v>-0.5</v>
      </c>
      <c r="BB41" s="21">
        <f>[2]底表!CO41</f>
        <v>1</v>
      </c>
      <c r="BC41" s="21">
        <f>[2]底表!CP41</f>
        <v>9</v>
      </c>
      <c r="BD41" s="21">
        <f>[2]底表!CQ41</f>
        <v>-0.8889</v>
      </c>
      <c r="BE41" s="21">
        <f>[2]底表!CR41</f>
        <v>0</v>
      </c>
      <c r="BF41" s="21" t="str">
        <f>[2]底表!CS41</f>
        <v>多1人</v>
      </c>
      <c r="BG41" s="21">
        <f>[2]底表!CT41</f>
        <v>1</v>
      </c>
      <c r="BH41" s="21">
        <f>[2]底表!CU41</f>
        <v>-0.125</v>
      </c>
      <c r="BI41" s="21">
        <f>[2]底表!CV41</f>
        <v>100</v>
      </c>
      <c r="BJ41" s="21">
        <f>[2]底表!CW41</f>
        <v>-125</v>
      </c>
      <c r="BK41" s="21">
        <f>[2]底表!CX41</f>
        <v>-0.5556</v>
      </c>
      <c r="BL41" s="21">
        <f>[2]底表!CY41</f>
        <v>1</v>
      </c>
      <c r="BM41" s="21">
        <f>[2]底表!CZ41</f>
        <v>9</v>
      </c>
      <c r="BN41" s="23">
        <f>[2]底表!DA41</f>
        <v>-0.8889</v>
      </c>
      <c r="BO41" s="21">
        <f>[2]底表!DB41</f>
        <v>1</v>
      </c>
      <c r="BP41" s="21">
        <f>[2]底表!DC41</f>
        <v>0</v>
      </c>
      <c r="BQ41" s="21">
        <f>[2]底表!DD41</f>
        <v>1</v>
      </c>
      <c r="BR41" s="21">
        <f>[2]底表!DE41</f>
        <v>-0.125</v>
      </c>
      <c r="BS41" s="21">
        <f>[2]底表!DF41</f>
        <v>100</v>
      </c>
      <c r="BT41" s="21">
        <f>[2]底表!DG41</f>
        <v>-125</v>
      </c>
      <c r="BU41" s="21">
        <f>[2]底表!DH41</f>
        <v>-0.5556</v>
      </c>
      <c r="BV41" s="21">
        <f>[2]底表!DI41</f>
        <v>0</v>
      </c>
      <c r="BW41" s="21">
        <f>[2]底表!DJ41</f>
        <v>0</v>
      </c>
      <c r="BX41" s="23" t="str">
        <f>[2]底表!DK41</f>
        <v>持平</v>
      </c>
      <c r="BY41" s="21">
        <f>[2]底表!DL41</f>
        <v>0</v>
      </c>
      <c r="BZ41" s="21" t="str">
        <f>[2]底表!DM41</f>
        <v>持平</v>
      </c>
      <c r="CA41" s="21">
        <f>[2]底表!DN41</f>
        <v>0</v>
      </c>
      <c r="CB41" s="21">
        <f>[2]底表!DO41</f>
        <v>0</v>
      </c>
      <c r="CC41" s="21" t="str">
        <f>[2]底表!DP41</f>
        <v>持平</v>
      </c>
      <c r="CD41" s="21">
        <f>[2]底表!DQ41</f>
        <v>1</v>
      </c>
      <c r="CE41" s="21" t="str">
        <f>[2]底表!DR41</f>
        <v>少1人</v>
      </c>
      <c r="CF41" s="21">
        <f>[2]底表!DS41</f>
        <v>0</v>
      </c>
      <c r="CG41" s="21">
        <f>[2]底表!DT41</f>
        <v>0</v>
      </c>
      <c r="CH41" s="21" t="str">
        <f>[2]底表!DU41</f>
        <v>持平</v>
      </c>
      <c r="CI41" s="21">
        <f>[2]底表!DV41</f>
        <v>1</v>
      </c>
      <c r="CJ41" s="21" t="str">
        <f>[2]底表!DW41</f>
        <v>少1人</v>
      </c>
      <c r="CK41" s="21">
        <f>[2]底表!DX41</f>
        <v>0</v>
      </c>
      <c r="CL41" s="21">
        <f>[2]底表!DY41</f>
        <v>2</v>
      </c>
      <c r="CM41" s="21" t="str">
        <f>[2]底表!DZ41</f>
        <v>少2人</v>
      </c>
      <c r="CN41" s="21">
        <f>[2]底表!EA41</f>
        <v>1</v>
      </c>
      <c r="CO41" s="21" t="str">
        <f>[2]底表!EB41</f>
        <v>少1人</v>
      </c>
      <c r="CP41" s="21">
        <f>[2]底表!EC41</f>
        <v>0</v>
      </c>
      <c r="CQ41" s="21">
        <f>[2]底表!ED41</f>
        <v>2</v>
      </c>
      <c r="CR41" s="21" t="str">
        <f>[2]底表!EE41</f>
        <v>少2人</v>
      </c>
      <c r="CS41" s="21">
        <f>[2]底表!EF41</f>
        <v>0</v>
      </c>
      <c r="CT41" s="21" t="str">
        <f>[2]底表!EG41</f>
        <v>持平</v>
      </c>
      <c r="CU41" s="21">
        <f>[2]底表!EH41</f>
        <v>0</v>
      </c>
      <c r="CV41" s="21">
        <f>[2]底表!EI41</f>
        <v>-0.2222</v>
      </c>
      <c r="CW41" s="21">
        <f>[2]底表!EJ41</f>
        <v>0</v>
      </c>
      <c r="CX41" s="21">
        <f>[2]底表!EK41</f>
        <v>-50</v>
      </c>
      <c r="CY41" s="21">
        <f>[2]底表!EL41</f>
        <v>-1</v>
      </c>
      <c r="CZ41" s="21">
        <f>[2]底表!EM41</f>
        <v>0</v>
      </c>
      <c r="DA41" s="21">
        <f>[2]底表!EN41</f>
        <v>2</v>
      </c>
      <c r="DB41" s="21" t="str">
        <f>[2]底表!EO41</f>
        <v>少2人</v>
      </c>
      <c r="DC41" s="21">
        <f>[2]底表!EP41</f>
        <v>0</v>
      </c>
      <c r="DD41" s="21" t="str">
        <f>[2]底表!EQ41</f>
        <v>持平</v>
      </c>
      <c r="DE41" s="21">
        <f>[2]底表!ER41</f>
        <v>1</v>
      </c>
      <c r="DF41" s="21">
        <f>[2]底表!ES41</f>
        <v>2</v>
      </c>
      <c r="DG41" s="23">
        <f>[2]底表!ET41</f>
        <v>-0.5</v>
      </c>
      <c r="DH41" s="21">
        <f>[2]底表!EU41</f>
        <v>2</v>
      </c>
      <c r="DI41" s="21">
        <f>[2]底表!EV41</f>
        <v>-0.5</v>
      </c>
      <c r="DJ41" s="21">
        <f>[2]底表!EW41</f>
        <v>1</v>
      </c>
      <c r="DK41" s="21">
        <f>[2]底表!EX41</f>
        <v>0.7778</v>
      </c>
      <c r="DL41" s="21">
        <f>[2]底表!EY41</f>
        <v>100</v>
      </c>
      <c r="DM41" s="21">
        <f>[2]底表!EZ41</f>
        <v>50</v>
      </c>
      <c r="DN41" s="21">
        <f>[2]底表!FA41</f>
        <v>1</v>
      </c>
      <c r="DO41" s="21">
        <f>[2]底表!BQ41</f>
        <v>1</v>
      </c>
      <c r="DP41" s="21">
        <f>[2]底表!BR41</f>
        <v>2</v>
      </c>
      <c r="DQ41" s="24">
        <f>[2]底表!BS41</f>
        <v>-0.5</v>
      </c>
    </row>
    <row r="42" s="2" customFormat="1" ht="32" hidden="1" customHeight="1" spans="1:121">
      <c r="A42" s="27" t="str">
        <f>[2]底表!A42</f>
        <v>打架斗殴</v>
      </c>
      <c r="B42" s="28" t="str">
        <f>[2]底表!B42</f>
        <v>云安区</v>
      </c>
      <c r="C42" s="21">
        <f>[2]底表!AM42</f>
        <v>0</v>
      </c>
      <c r="D42" s="21">
        <f>[2]底表!AN42</f>
        <v>0</v>
      </c>
      <c r="E42" s="23" t="str">
        <f>[2]底表!AO42</f>
        <v>持平</v>
      </c>
      <c r="F42" s="21">
        <f>[2]底表!AP42</f>
        <v>0</v>
      </c>
      <c r="G42" s="21" t="str">
        <f>[2]底表!AQ42</f>
        <v>持平</v>
      </c>
      <c r="H42" s="21" t="str">
        <f>[2]底表!AR42</f>
        <v/>
      </c>
      <c r="I42" s="21" t="str">
        <f>[2]底表!AS42</f>
        <v/>
      </c>
      <c r="J42" s="21">
        <f>[2]底表!AT42</f>
        <v>0</v>
      </c>
      <c r="K42" s="21">
        <f>[2]底表!AU42</f>
        <v>0</v>
      </c>
      <c r="L42" s="21" t="str">
        <f>[2]底表!AV42</f>
        <v>持平</v>
      </c>
      <c r="M42" s="21">
        <f>[2]底表!AW42</f>
        <v>0</v>
      </c>
      <c r="N42" s="21" t="str">
        <f>[2]底表!AX42</f>
        <v>持平</v>
      </c>
      <c r="O42" s="21">
        <f>[2]底表!AY42</f>
        <v>0</v>
      </c>
      <c r="P42" s="21">
        <f>[2]底表!AZ42</f>
        <v>0</v>
      </c>
      <c r="Q42" s="21" t="str">
        <f>[2]底表!BA42</f>
        <v>持平</v>
      </c>
      <c r="R42" s="21">
        <f>[2]底表!BB42</f>
        <v>0</v>
      </c>
      <c r="S42" s="21" t="str">
        <f>[2]底表!BC42</f>
        <v>持平</v>
      </c>
      <c r="T42" s="21" t="str">
        <f>[2]底表!BD42</f>
        <v/>
      </c>
      <c r="U42" s="21" t="str">
        <f>[2]底表!BE42</f>
        <v/>
      </c>
      <c r="V42" s="21">
        <f>[2]底表!BF42</f>
        <v>0</v>
      </c>
      <c r="W42" s="21">
        <f>[2]底表!BG42</f>
        <v>0</v>
      </c>
      <c r="X42" s="21" t="str">
        <f>[2]底表!BH42</f>
        <v>持平</v>
      </c>
      <c r="Y42" s="21">
        <f>[2]底表!BI42</f>
        <v>0</v>
      </c>
      <c r="Z42" s="21" t="str">
        <f>[2]底表!BJ42</f>
        <v>持平</v>
      </c>
      <c r="AA42" s="21" t="str">
        <f>[2]底表!BK42</f>
        <v/>
      </c>
      <c r="AB42" s="21">
        <f>[2]底表!BL42</f>
        <v>0</v>
      </c>
      <c r="AC42" s="21">
        <f>[2]底表!BM42</f>
        <v>0</v>
      </c>
      <c r="AD42" s="21" t="str">
        <f>[2]底表!BN42</f>
        <v>持平</v>
      </c>
      <c r="AE42" s="21">
        <f>[2]底表!BO42</f>
        <v>0</v>
      </c>
      <c r="AF42" s="21" t="str">
        <f>[2]底表!BP42</f>
        <v>持平</v>
      </c>
      <c r="AG42" s="21">
        <f>[2]底表!BT42</f>
        <v>1</v>
      </c>
      <c r="AH42" s="21" t="str">
        <f>[2]底表!BU42</f>
        <v>少1起</v>
      </c>
      <c r="AI42" s="21" t="str">
        <f>[2]底表!BV42</f>
        <v/>
      </c>
      <c r="AJ42" s="21" t="str">
        <f>[2]底表!BW42</f>
        <v/>
      </c>
      <c r="AK42" s="21" t="str">
        <f>[2]底表!BX42</f>
        <v/>
      </c>
      <c r="AL42" s="21" t="str">
        <f>[2]底表!BY42</f>
        <v/>
      </c>
      <c r="AM42" s="21">
        <f>[2]底表!BZ42</f>
        <v>0</v>
      </c>
      <c r="AN42" s="21">
        <f>[2]底表!CA42</f>
        <v>0</v>
      </c>
      <c r="AO42" s="21" t="str">
        <f>[2]底表!CB42</f>
        <v>持平</v>
      </c>
      <c r="AP42" s="21">
        <f>[2]底表!CC42</f>
        <v>0</v>
      </c>
      <c r="AQ42" s="21" t="str">
        <f>[2]底表!CD42</f>
        <v>持平</v>
      </c>
      <c r="AR42" s="21" t="str">
        <f>[2]底表!CE42</f>
        <v/>
      </c>
      <c r="AS42" s="21" t="str">
        <f>[2]底表!CF42</f>
        <v/>
      </c>
      <c r="AT42" s="21">
        <f>[2]底表!CG42</f>
        <v>1</v>
      </c>
      <c r="AU42" s="21">
        <f>[2]底表!CH42</f>
        <v>0</v>
      </c>
      <c r="AV42" s="21" t="str">
        <f>[2]底表!CI42</f>
        <v>多1人</v>
      </c>
      <c r="AW42" s="21">
        <f>[2]底表!CJ42</f>
        <v>0</v>
      </c>
      <c r="AX42" s="21" t="str">
        <f>[2]底表!CK42</f>
        <v>多1人</v>
      </c>
      <c r="AY42" s="21" t="str">
        <f>[2]底表!CL42</f>
        <v/>
      </c>
      <c r="AZ42" s="21" t="str">
        <f>[2]底表!CM42</f>
        <v/>
      </c>
      <c r="BA42" s="21" t="str">
        <f>[2]底表!CN42</f>
        <v/>
      </c>
      <c r="BB42" s="21">
        <f>[2]底表!CO42</f>
        <v>0</v>
      </c>
      <c r="BC42" s="21">
        <f>[2]底表!CP42</f>
        <v>0</v>
      </c>
      <c r="BD42" s="21" t="str">
        <f>[2]底表!CQ42</f>
        <v>持平</v>
      </c>
      <c r="BE42" s="21">
        <f>[2]底表!CR42</f>
        <v>0</v>
      </c>
      <c r="BF42" s="21" t="str">
        <f>[2]底表!CS42</f>
        <v>持平</v>
      </c>
      <c r="BG42" s="21">
        <f>[2]底表!CT42</f>
        <v>0</v>
      </c>
      <c r="BH42" s="21" t="str">
        <f>[2]底表!CU42</f>
        <v/>
      </c>
      <c r="BI42" s="21" t="str">
        <f>[2]底表!CV42</f>
        <v/>
      </c>
      <c r="BJ42" s="21" t="str">
        <f>[2]底表!CW42</f>
        <v/>
      </c>
      <c r="BK42" s="21" t="str">
        <f>[2]底表!CX42</f>
        <v/>
      </c>
      <c r="BL42" s="21">
        <f>[2]底表!CY42</f>
        <v>0</v>
      </c>
      <c r="BM42" s="21">
        <f>[2]底表!CZ42</f>
        <v>0</v>
      </c>
      <c r="BN42" s="23" t="str">
        <f>[2]底表!DA42</f>
        <v>持平</v>
      </c>
      <c r="BO42" s="21">
        <f>[2]底表!DB42</f>
        <v>0</v>
      </c>
      <c r="BP42" s="21" t="str">
        <f>[2]底表!DC42</f>
        <v>持平</v>
      </c>
      <c r="BQ42" s="21">
        <f>[2]底表!DD42</f>
        <v>0</v>
      </c>
      <c r="BR42" s="21" t="str">
        <f>[2]底表!DE42</f>
        <v/>
      </c>
      <c r="BS42" s="21" t="str">
        <f>[2]底表!DF42</f>
        <v/>
      </c>
      <c r="BT42" s="21" t="str">
        <f>[2]底表!DG42</f>
        <v/>
      </c>
      <c r="BU42" s="21" t="str">
        <f>[2]底表!DH42</f>
        <v/>
      </c>
      <c r="BV42" s="21">
        <f>[2]底表!DI42</f>
        <v>0</v>
      </c>
      <c r="BW42" s="21">
        <f>[2]底表!DJ42</f>
        <v>0</v>
      </c>
      <c r="BX42" s="23" t="str">
        <f>[2]底表!DK42</f>
        <v>持平</v>
      </c>
      <c r="BY42" s="21">
        <f>[2]底表!DL42</f>
        <v>0</v>
      </c>
      <c r="BZ42" s="21" t="str">
        <f>[2]底表!DM42</f>
        <v>持平</v>
      </c>
      <c r="CA42" s="21">
        <f>[2]底表!DN42</f>
        <v>0</v>
      </c>
      <c r="CB42" s="21">
        <f>[2]底表!DO42</f>
        <v>0</v>
      </c>
      <c r="CC42" s="21" t="str">
        <f>[2]底表!DP42</f>
        <v>持平</v>
      </c>
      <c r="CD42" s="21">
        <f>[2]底表!DQ42</f>
        <v>0</v>
      </c>
      <c r="CE42" s="21" t="str">
        <f>[2]底表!DR42</f>
        <v>持平</v>
      </c>
      <c r="CF42" s="21">
        <f>[2]底表!DS42</f>
        <v>0</v>
      </c>
      <c r="CG42" s="21">
        <f>[2]底表!DT42</f>
        <v>0</v>
      </c>
      <c r="CH42" s="21" t="str">
        <f>[2]底表!DU42</f>
        <v>持平</v>
      </c>
      <c r="CI42" s="21">
        <f>[2]底表!DV42</f>
        <v>0</v>
      </c>
      <c r="CJ42" s="21" t="str">
        <f>[2]底表!DW42</f>
        <v>持平</v>
      </c>
      <c r="CK42" s="21">
        <f>[2]底表!DX42</f>
        <v>0</v>
      </c>
      <c r="CL42" s="21">
        <f>[2]底表!DY42</f>
        <v>0</v>
      </c>
      <c r="CM42" s="21" t="str">
        <f>[2]底表!DZ42</f>
        <v>持平</v>
      </c>
      <c r="CN42" s="21">
        <f>[2]底表!EA42</f>
        <v>0</v>
      </c>
      <c r="CO42" s="21" t="str">
        <f>[2]底表!EB42</f>
        <v>持平</v>
      </c>
      <c r="CP42" s="21">
        <f>[2]底表!EC42</f>
        <v>0</v>
      </c>
      <c r="CQ42" s="21">
        <f>[2]底表!ED42</f>
        <v>0</v>
      </c>
      <c r="CR42" s="21" t="str">
        <f>[2]底表!EE42</f>
        <v>持平</v>
      </c>
      <c r="CS42" s="21">
        <f>[2]底表!EF42</f>
        <v>0</v>
      </c>
      <c r="CT42" s="21" t="str">
        <f>[2]底表!EG42</f>
        <v>持平</v>
      </c>
      <c r="CU42" s="21" t="str">
        <f>[2]底表!EH42</f>
        <v/>
      </c>
      <c r="CV42" s="21" t="str">
        <f>[2]底表!EI42</f>
        <v/>
      </c>
      <c r="CW42" s="21" t="str">
        <f>[2]底表!EJ42</f>
        <v/>
      </c>
      <c r="CX42" s="21" t="str">
        <f>[2]底表!EK42</f>
        <v/>
      </c>
      <c r="CY42" s="21" t="str">
        <f>[2]底表!EL42</f>
        <v/>
      </c>
      <c r="CZ42" s="21">
        <f>[2]底表!EM42</f>
        <v>0</v>
      </c>
      <c r="DA42" s="21">
        <f>[2]底表!EN42</f>
        <v>0</v>
      </c>
      <c r="DB42" s="21" t="str">
        <f>[2]底表!EO42</f>
        <v>持平</v>
      </c>
      <c r="DC42" s="21">
        <f>[2]底表!EP42</f>
        <v>0</v>
      </c>
      <c r="DD42" s="21" t="str">
        <f>[2]底表!EQ42</f>
        <v>持平</v>
      </c>
      <c r="DE42" s="21">
        <f>[2]底表!ER42</f>
        <v>0</v>
      </c>
      <c r="DF42" s="21">
        <f>[2]底表!ES42</f>
        <v>0</v>
      </c>
      <c r="DG42" s="23" t="str">
        <f>[2]底表!ET42</f>
        <v>持平</v>
      </c>
      <c r="DH42" s="21">
        <f>[2]底表!EU42</f>
        <v>1</v>
      </c>
      <c r="DI42" s="21" t="str">
        <f>[2]底表!EV42</f>
        <v>少1人</v>
      </c>
      <c r="DJ42" s="21" t="str">
        <f>[2]底表!EW42</f>
        <v/>
      </c>
      <c r="DK42" s="21" t="str">
        <f>[2]底表!EX42</f>
        <v/>
      </c>
      <c r="DL42" s="21" t="str">
        <f>[2]底表!EY42</f>
        <v/>
      </c>
      <c r="DM42" s="21" t="str">
        <f>[2]底表!EZ42</f>
        <v/>
      </c>
      <c r="DN42" s="21" t="str">
        <f>[2]底表!FA42</f>
        <v/>
      </c>
      <c r="DO42" s="21">
        <f>[2]底表!BQ42</f>
        <v>0</v>
      </c>
      <c r="DP42" s="21">
        <f>[2]底表!BR42</f>
        <v>0</v>
      </c>
      <c r="DQ42" s="24" t="str">
        <f>[2]底表!BS42</f>
        <v>持平</v>
      </c>
    </row>
    <row r="43" s="2" customFormat="1" ht="32" hidden="1" customHeight="1" spans="1:121">
      <c r="A43" s="27" t="str">
        <f>[2]底表!A43</f>
        <v>打架斗殴</v>
      </c>
      <c r="B43" s="28" t="str">
        <f>[2]底表!B43</f>
        <v>新兴县</v>
      </c>
      <c r="C43" s="21">
        <f>[2]底表!AM43</f>
        <v>2</v>
      </c>
      <c r="D43" s="21">
        <f>[2]底表!AN43</f>
        <v>0</v>
      </c>
      <c r="E43" s="23" t="str">
        <f>[2]底表!AO43</f>
        <v>多2起</v>
      </c>
      <c r="F43" s="21">
        <f>[2]底表!AP43</f>
        <v>4</v>
      </c>
      <c r="G43" s="21">
        <f>[2]底表!AQ43</f>
        <v>-0.5</v>
      </c>
      <c r="H43" s="21">
        <f>[2]底表!AR43</f>
        <v>1</v>
      </c>
      <c r="I43" s="21">
        <f>[2]底表!AS43</f>
        <v>1</v>
      </c>
      <c r="J43" s="21">
        <f>[2]底表!AT43</f>
        <v>2</v>
      </c>
      <c r="K43" s="21">
        <f>[2]底表!AU43</f>
        <v>0</v>
      </c>
      <c r="L43" s="21" t="str">
        <f>[2]底表!AV43</f>
        <v>多2起</v>
      </c>
      <c r="M43" s="21">
        <f>[2]底表!AW43</f>
        <v>2</v>
      </c>
      <c r="N43" s="21">
        <f>[2]底表!AX43</f>
        <v>0</v>
      </c>
      <c r="O43" s="21">
        <f>[2]底表!AY43</f>
        <v>2</v>
      </c>
      <c r="P43" s="21">
        <f>[2]底表!AZ43</f>
        <v>0</v>
      </c>
      <c r="Q43" s="21" t="str">
        <f>[2]底表!BA43</f>
        <v>多2起</v>
      </c>
      <c r="R43" s="21">
        <f>[2]底表!BB43</f>
        <v>4</v>
      </c>
      <c r="S43" s="21">
        <f>[2]底表!BC43</f>
        <v>-0.5</v>
      </c>
      <c r="T43" s="21">
        <f>[2]底表!BD43</f>
        <v>1</v>
      </c>
      <c r="U43" s="21" t="str">
        <f>[2]底表!BE43</f>
        <v/>
      </c>
      <c r="V43" s="21">
        <f>[2]底表!BF43</f>
        <v>0</v>
      </c>
      <c r="W43" s="21">
        <f>[2]底表!BG43</f>
        <v>3</v>
      </c>
      <c r="X43" s="21" t="str">
        <f>[2]底表!BH43</f>
        <v>少3起</v>
      </c>
      <c r="Y43" s="21">
        <f>[2]底表!BI43</f>
        <v>0</v>
      </c>
      <c r="Z43" s="21" t="str">
        <f>[2]底表!BJ43</f>
        <v>持平</v>
      </c>
      <c r="AA43" s="21">
        <f>[2]底表!BK43</f>
        <v>0</v>
      </c>
      <c r="AB43" s="21">
        <f>[2]底表!BL43</f>
        <v>0</v>
      </c>
      <c r="AC43" s="21">
        <f>[2]底表!BM43</f>
        <v>0</v>
      </c>
      <c r="AD43" s="21" t="str">
        <f>[2]底表!BN43</f>
        <v>持平</v>
      </c>
      <c r="AE43" s="21">
        <f>[2]底表!BO43</f>
        <v>0</v>
      </c>
      <c r="AF43" s="21" t="str">
        <f>[2]底表!BP43</f>
        <v>持平</v>
      </c>
      <c r="AG43" s="21">
        <f>[2]底表!BT43</f>
        <v>2</v>
      </c>
      <c r="AH43" s="21">
        <f>[2]底表!BU43</f>
        <v>0</v>
      </c>
      <c r="AI43" s="21">
        <f>[2]底表!BV43</f>
        <v>1</v>
      </c>
      <c r="AJ43" s="21">
        <f>[2]底表!BW43</f>
        <v>0.6667</v>
      </c>
      <c r="AK43" s="21">
        <f>[2]底表!BX43</f>
        <v>1</v>
      </c>
      <c r="AL43" s="21" t="str">
        <f>[2]底表!BY43</f>
        <v/>
      </c>
      <c r="AM43" s="21">
        <f>[2]底表!BZ43</f>
        <v>0</v>
      </c>
      <c r="AN43" s="21">
        <f>[2]底表!CA43</f>
        <v>0</v>
      </c>
      <c r="AO43" s="21" t="str">
        <f>[2]底表!CB43</f>
        <v>持平</v>
      </c>
      <c r="AP43" s="21">
        <f>[2]底表!CC43</f>
        <v>0</v>
      </c>
      <c r="AQ43" s="21" t="str">
        <f>[2]底表!CD43</f>
        <v>持平</v>
      </c>
      <c r="AR43" s="21" t="str">
        <f>[2]底表!CE43</f>
        <v/>
      </c>
      <c r="AS43" s="21" t="str">
        <f>[2]底表!CF43</f>
        <v/>
      </c>
      <c r="AT43" s="21">
        <f>[2]底表!CG43</f>
        <v>4</v>
      </c>
      <c r="AU43" s="21">
        <f>[2]底表!CH43</f>
        <v>1</v>
      </c>
      <c r="AV43" s="21">
        <f>[2]底表!CI43</f>
        <v>3</v>
      </c>
      <c r="AW43" s="21">
        <f>[2]底表!CJ43</f>
        <v>1</v>
      </c>
      <c r="AX43" s="21">
        <f>[2]底表!CK43</f>
        <v>3</v>
      </c>
      <c r="AY43" s="21">
        <f>[2]底表!CL43</f>
        <v>200</v>
      </c>
      <c r="AZ43" s="21">
        <f>[2]底表!CM43</f>
        <v>167</v>
      </c>
      <c r="BA43" s="21">
        <f>[2]底表!CN43</f>
        <v>5</v>
      </c>
      <c r="BB43" s="21">
        <f>[2]底表!CO43</f>
        <v>0</v>
      </c>
      <c r="BC43" s="21">
        <f>[2]底表!CP43</f>
        <v>4</v>
      </c>
      <c r="BD43" s="21" t="str">
        <f>[2]底表!CQ43</f>
        <v>少4人</v>
      </c>
      <c r="BE43" s="21">
        <f>[2]底表!CR43</f>
        <v>1</v>
      </c>
      <c r="BF43" s="21" t="str">
        <f>[2]底表!CS43</f>
        <v>少1人</v>
      </c>
      <c r="BG43" s="21">
        <f>[2]底表!CT43</f>
        <v>0</v>
      </c>
      <c r="BH43" s="21">
        <f>[2]底表!CU43</f>
        <v>-4</v>
      </c>
      <c r="BI43" s="21">
        <f>[2]底表!CV43</f>
        <v>0</v>
      </c>
      <c r="BJ43" s="21">
        <f>[2]底表!CW43</f>
        <v>-133</v>
      </c>
      <c r="BK43" s="21">
        <f>[2]底表!CX43</f>
        <v>-1</v>
      </c>
      <c r="BL43" s="21">
        <f>[2]底表!CY43</f>
        <v>1</v>
      </c>
      <c r="BM43" s="21">
        <f>[2]底表!CZ43</f>
        <v>4</v>
      </c>
      <c r="BN43" s="23">
        <f>[2]底表!DA43</f>
        <v>-0.75</v>
      </c>
      <c r="BO43" s="21">
        <f>[2]底表!DB43</f>
        <v>3</v>
      </c>
      <c r="BP43" s="21">
        <f>[2]底表!DC43</f>
        <v>-0.6667</v>
      </c>
      <c r="BQ43" s="21">
        <f>[2]底表!DD43</f>
        <v>0.25</v>
      </c>
      <c r="BR43" s="21">
        <f>[2]底表!DE43</f>
        <v>-3.75</v>
      </c>
      <c r="BS43" s="21">
        <f>[2]底表!DF43</f>
        <v>50</v>
      </c>
      <c r="BT43" s="21">
        <f>[2]底表!DG43</f>
        <v>-83</v>
      </c>
      <c r="BU43" s="21">
        <f>[2]底表!DH43</f>
        <v>-0.625</v>
      </c>
      <c r="BV43" s="21">
        <f>[2]底表!DI43</f>
        <v>1</v>
      </c>
      <c r="BW43" s="21">
        <f>[2]底表!DJ43</f>
        <v>3</v>
      </c>
      <c r="BX43" s="23">
        <f>[2]底表!DK43</f>
        <v>-0.6667</v>
      </c>
      <c r="BY43" s="21">
        <f>[2]底表!DL43</f>
        <v>2</v>
      </c>
      <c r="BZ43" s="21">
        <f>[2]底表!DM43</f>
        <v>-0.5</v>
      </c>
      <c r="CA43" s="21">
        <f>[2]底表!DN43</f>
        <v>2</v>
      </c>
      <c r="CB43" s="21">
        <f>[2]底表!DO43</f>
        <v>0</v>
      </c>
      <c r="CC43" s="21" t="str">
        <f>[2]底表!DP43</f>
        <v>多2人</v>
      </c>
      <c r="CD43" s="21">
        <f>[2]底表!DQ43</f>
        <v>2</v>
      </c>
      <c r="CE43" s="21">
        <f>[2]底表!DR43</f>
        <v>0</v>
      </c>
      <c r="CF43" s="21">
        <f>[2]底表!DS43</f>
        <v>2</v>
      </c>
      <c r="CG43" s="21">
        <f>[2]底表!DT43</f>
        <v>0</v>
      </c>
      <c r="CH43" s="21" t="str">
        <f>[2]底表!DU43</f>
        <v>多2人</v>
      </c>
      <c r="CI43" s="21">
        <f>[2]底表!DV43</f>
        <v>2</v>
      </c>
      <c r="CJ43" s="21">
        <f>[2]底表!DW43</f>
        <v>0</v>
      </c>
      <c r="CK43" s="21">
        <f>[2]底表!DX43</f>
        <v>1</v>
      </c>
      <c r="CL43" s="21">
        <f>[2]底表!DY43</f>
        <v>0</v>
      </c>
      <c r="CM43" s="21" t="str">
        <f>[2]底表!DZ43</f>
        <v>多1人</v>
      </c>
      <c r="CN43" s="21">
        <f>[2]底表!EA43</f>
        <v>2</v>
      </c>
      <c r="CO43" s="21">
        <f>[2]底表!EB43</f>
        <v>-0.5</v>
      </c>
      <c r="CP43" s="21">
        <f>[2]底表!EC43</f>
        <v>1</v>
      </c>
      <c r="CQ43" s="21">
        <f>[2]底表!ED43</f>
        <v>0</v>
      </c>
      <c r="CR43" s="21" t="str">
        <f>[2]底表!EE43</f>
        <v>多1人</v>
      </c>
      <c r="CS43" s="21">
        <f>[2]底表!EF43</f>
        <v>1</v>
      </c>
      <c r="CT43" s="21">
        <f>[2]底表!EG43</f>
        <v>0</v>
      </c>
      <c r="CU43" s="21" t="str">
        <f>[2]底表!EH43</f>
        <v/>
      </c>
      <c r="CV43" s="21" t="str">
        <f>[2]底表!EI43</f>
        <v/>
      </c>
      <c r="CW43" s="21">
        <f>[2]底表!EJ43</f>
        <v>50</v>
      </c>
      <c r="CX43" s="21">
        <f>[2]底表!EK43</f>
        <v>50</v>
      </c>
      <c r="CY43" s="21" t="str">
        <f>[2]底表!EL43</f>
        <v/>
      </c>
      <c r="CZ43" s="21">
        <f>[2]底表!EM43</f>
        <v>1</v>
      </c>
      <c r="DA43" s="21">
        <f>[2]底表!EN43</f>
        <v>0</v>
      </c>
      <c r="DB43" s="21" t="str">
        <f>[2]底表!EO43</f>
        <v>多1人</v>
      </c>
      <c r="DC43" s="21">
        <f>[2]底表!EP43</f>
        <v>1</v>
      </c>
      <c r="DD43" s="21">
        <f>[2]底表!EQ43</f>
        <v>0</v>
      </c>
      <c r="DE43" s="21">
        <f>[2]底表!ER43</f>
        <v>2</v>
      </c>
      <c r="DF43" s="21">
        <f>[2]底表!ES43</f>
        <v>1</v>
      </c>
      <c r="DG43" s="23">
        <f>[2]底表!ET43</f>
        <v>1</v>
      </c>
      <c r="DH43" s="21">
        <f>[2]底表!EU43</f>
        <v>3</v>
      </c>
      <c r="DI43" s="21">
        <f>[2]底表!EV43</f>
        <v>-0.3333</v>
      </c>
      <c r="DJ43" s="21" t="str">
        <f>[2]底表!EW43</f>
        <v/>
      </c>
      <c r="DK43" s="21" t="str">
        <f>[2]底表!EX43</f>
        <v/>
      </c>
      <c r="DL43" s="21">
        <f>[2]底表!EY43</f>
        <v>100</v>
      </c>
      <c r="DM43" s="21">
        <f>[2]底表!EZ43</f>
        <v>67</v>
      </c>
      <c r="DN43" s="21">
        <f>[2]底表!FA43</f>
        <v>2</v>
      </c>
      <c r="DO43" s="21">
        <f>[2]底表!BQ43</f>
        <v>2</v>
      </c>
      <c r="DP43" s="21">
        <f>[2]底表!BR43</f>
        <v>1</v>
      </c>
      <c r="DQ43" s="24">
        <f>[2]底表!BS43</f>
        <v>1</v>
      </c>
    </row>
    <row r="44" s="2" customFormat="1" ht="32" hidden="1" customHeight="1" spans="1:121">
      <c r="A44" s="27" t="str">
        <f>[2]底表!A44</f>
        <v>打架斗殴</v>
      </c>
      <c r="B44" s="28" t="str">
        <f>[2]底表!B44</f>
        <v>郁南县</v>
      </c>
      <c r="C44" s="21">
        <f>[2]底表!AM44</f>
        <v>2</v>
      </c>
      <c r="D44" s="21">
        <f>[2]底表!AN44</f>
        <v>0</v>
      </c>
      <c r="E44" s="23" t="str">
        <f>[2]底表!AO44</f>
        <v>多2起</v>
      </c>
      <c r="F44" s="21">
        <f>[2]底表!AP44</f>
        <v>0</v>
      </c>
      <c r="G44" s="21" t="str">
        <f>[2]底表!AQ44</f>
        <v>多2起</v>
      </c>
      <c r="H44" s="21">
        <f>[2]底表!AR44</f>
        <v>1</v>
      </c>
      <c r="I44" s="21" t="str">
        <f>[2]底表!AS44</f>
        <v/>
      </c>
      <c r="J44" s="21">
        <f>[2]底表!AT44</f>
        <v>1</v>
      </c>
      <c r="K44" s="21">
        <f>[2]底表!AU44</f>
        <v>0</v>
      </c>
      <c r="L44" s="21" t="str">
        <f>[2]底表!AV44</f>
        <v>多1起</v>
      </c>
      <c r="M44" s="21">
        <f>[2]底表!AW44</f>
        <v>0</v>
      </c>
      <c r="N44" s="21" t="str">
        <f>[2]底表!AX44</f>
        <v>多1起</v>
      </c>
      <c r="O44" s="21">
        <f>[2]底表!AY44</f>
        <v>1</v>
      </c>
      <c r="P44" s="21">
        <f>[2]底表!AZ44</f>
        <v>0</v>
      </c>
      <c r="Q44" s="21" t="str">
        <f>[2]底表!BA44</f>
        <v>多1起</v>
      </c>
      <c r="R44" s="21">
        <f>[2]底表!BB44</f>
        <v>0</v>
      </c>
      <c r="S44" s="21" t="str">
        <f>[2]底表!BC44</f>
        <v>多1起</v>
      </c>
      <c r="T44" s="21">
        <f>[2]底表!BD44</f>
        <v>1</v>
      </c>
      <c r="U44" s="21" t="str">
        <f>[2]底表!BE44</f>
        <v/>
      </c>
      <c r="V44" s="21">
        <f>[2]底表!BF44</f>
        <v>1</v>
      </c>
      <c r="W44" s="21">
        <f>[2]底表!BG44</f>
        <v>0</v>
      </c>
      <c r="X44" s="21" t="str">
        <f>[2]底表!BH44</f>
        <v>多1起</v>
      </c>
      <c r="Y44" s="21">
        <f>[2]底表!BI44</f>
        <v>0</v>
      </c>
      <c r="Z44" s="21" t="str">
        <f>[2]底表!BJ44</f>
        <v>多1起</v>
      </c>
      <c r="AA44" s="21">
        <f>[2]底表!BK44</f>
        <v>0.5</v>
      </c>
      <c r="AB44" s="21">
        <f>[2]底表!BL44</f>
        <v>1</v>
      </c>
      <c r="AC44" s="21">
        <f>[2]底表!BM44</f>
        <v>0</v>
      </c>
      <c r="AD44" s="21" t="str">
        <f>[2]底表!BN44</f>
        <v>多1起</v>
      </c>
      <c r="AE44" s="21">
        <f>[2]底表!BO44</f>
        <v>0</v>
      </c>
      <c r="AF44" s="21" t="str">
        <f>[2]底表!BP44</f>
        <v>多1起</v>
      </c>
      <c r="AG44" s="21">
        <f>[2]底表!BT44</f>
        <v>0</v>
      </c>
      <c r="AH44" s="21" t="str">
        <f>[2]底表!BU44</f>
        <v>持平</v>
      </c>
      <c r="AI44" s="21">
        <f>[2]底表!BV44</f>
        <v>0</v>
      </c>
      <c r="AJ44" s="21" t="str">
        <f>[2]底表!BW44</f>
        <v/>
      </c>
      <c r="AK44" s="21">
        <f>[2]底表!BX44</f>
        <v>0</v>
      </c>
      <c r="AL44" s="21" t="str">
        <f>[2]底表!BY44</f>
        <v/>
      </c>
      <c r="AM44" s="21">
        <f>[2]底表!BZ44</f>
        <v>0</v>
      </c>
      <c r="AN44" s="21">
        <f>[2]底表!CA44</f>
        <v>0</v>
      </c>
      <c r="AO44" s="21" t="str">
        <f>[2]底表!CB44</f>
        <v>持平</v>
      </c>
      <c r="AP44" s="21">
        <f>[2]底表!CC44</f>
        <v>0</v>
      </c>
      <c r="AQ44" s="21" t="str">
        <f>[2]底表!CD44</f>
        <v>持平</v>
      </c>
      <c r="AR44" s="21" t="str">
        <f>[2]底表!CE44</f>
        <v/>
      </c>
      <c r="AS44" s="21" t="str">
        <f>[2]底表!CF44</f>
        <v/>
      </c>
      <c r="AT44" s="21">
        <f>[2]底表!CG44</f>
        <v>2</v>
      </c>
      <c r="AU44" s="21">
        <f>[2]底表!CH44</f>
        <v>0</v>
      </c>
      <c r="AV44" s="21" t="str">
        <f>[2]底表!CI44</f>
        <v>多2人</v>
      </c>
      <c r="AW44" s="21">
        <f>[2]底表!CJ44</f>
        <v>0</v>
      </c>
      <c r="AX44" s="21" t="str">
        <f>[2]底表!CK44</f>
        <v>多2人</v>
      </c>
      <c r="AY44" s="21">
        <f>[2]底表!CL44</f>
        <v>100</v>
      </c>
      <c r="AZ44" s="21" t="str">
        <f>[2]底表!CM44</f>
        <v/>
      </c>
      <c r="BA44" s="21" t="str">
        <f>[2]底表!CN44</f>
        <v/>
      </c>
      <c r="BB44" s="21">
        <f>[2]底表!CO44</f>
        <v>1</v>
      </c>
      <c r="BC44" s="21">
        <f>[2]底表!CP44</f>
        <v>0</v>
      </c>
      <c r="BD44" s="21" t="str">
        <f>[2]底表!CQ44</f>
        <v>多1人</v>
      </c>
      <c r="BE44" s="21">
        <f>[2]底表!CR44</f>
        <v>0</v>
      </c>
      <c r="BF44" s="21" t="str">
        <f>[2]底表!CS44</f>
        <v>多1人</v>
      </c>
      <c r="BG44" s="21">
        <f>[2]底表!CT44</f>
        <v>0.5</v>
      </c>
      <c r="BH44" s="21" t="str">
        <f>[2]底表!CU44</f>
        <v/>
      </c>
      <c r="BI44" s="21">
        <f>[2]底表!CV44</f>
        <v>50</v>
      </c>
      <c r="BJ44" s="21" t="str">
        <f>[2]底表!CW44</f>
        <v/>
      </c>
      <c r="BK44" s="21" t="str">
        <f>[2]底表!CX44</f>
        <v/>
      </c>
      <c r="BL44" s="21">
        <f>[2]底表!CY44</f>
        <v>2</v>
      </c>
      <c r="BM44" s="21">
        <f>[2]底表!CZ44</f>
        <v>0</v>
      </c>
      <c r="BN44" s="23" t="str">
        <f>[2]底表!DA44</f>
        <v>多2人</v>
      </c>
      <c r="BO44" s="21">
        <f>[2]底表!DB44</f>
        <v>0</v>
      </c>
      <c r="BP44" s="21" t="str">
        <f>[2]底表!DC44</f>
        <v>多2人</v>
      </c>
      <c r="BQ44" s="21">
        <f>[2]底表!DD44</f>
        <v>1</v>
      </c>
      <c r="BR44" s="21" t="str">
        <f>[2]底表!DE44</f>
        <v/>
      </c>
      <c r="BS44" s="21">
        <f>[2]底表!DF44</f>
        <v>100</v>
      </c>
      <c r="BT44" s="21" t="str">
        <f>[2]底表!DG44</f>
        <v/>
      </c>
      <c r="BU44" s="21" t="str">
        <f>[2]底表!DH44</f>
        <v/>
      </c>
      <c r="BV44" s="21">
        <f>[2]底表!DI44</f>
        <v>2</v>
      </c>
      <c r="BW44" s="21">
        <f>[2]底表!DJ44</f>
        <v>0</v>
      </c>
      <c r="BX44" s="23" t="str">
        <f>[2]底表!DK44</f>
        <v>多2人</v>
      </c>
      <c r="BY44" s="21">
        <f>[2]底表!DL44</f>
        <v>0</v>
      </c>
      <c r="BZ44" s="21" t="str">
        <f>[2]底表!DM44</f>
        <v>多2人</v>
      </c>
      <c r="CA44" s="21">
        <f>[2]底表!DN44</f>
        <v>1</v>
      </c>
      <c r="CB44" s="21">
        <f>[2]底表!DO44</f>
        <v>0</v>
      </c>
      <c r="CC44" s="21" t="str">
        <f>[2]底表!DP44</f>
        <v>多1人</v>
      </c>
      <c r="CD44" s="21">
        <f>[2]底表!DQ44</f>
        <v>0</v>
      </c>
      <c r="CE44" s="21" t="str">
        <f>[2]底表!DR44</f>
        <v>多1人</v>
      </c>
      <c r="CF44" s="21">
        <f>[2]底表!DS44</f>
        <v>1</v>
      </c>
      <c r="CG44" s="21">
        <f>[2]底表!DT44</f>
        <v>0</v>
      </c>
      <c r="CH44" s="21" t="str">
        <f>[2]底表!DU44</f>
        <v>多1人</v>
      </c>
      <c r="CI44" s="21">
        <f>[2]底表!DV44</f>
        <v>0</v>
      </c>
      <c r="CJ44" s="21" t="str">
        <f>[2]底表!DW44</f>
        <v>多1人</v>
      </c>
      <c r="CK44" s="21">
        <f>[2]底表!DX44</f>
        <v>3</v>
      </c>
      <c r="CL44" s="21">
        <f>[2]底表!DY44</f>
        <v>0</v>
      </c>
      <c r="CM44" s="21" t="str">
        <f>[2]底表!DZ44</f>
        <v>多3人</v>
      </c>
      <c r="CN44" s="21">
        <f>[2]底表!EA44</f>
        <v>0</v>
      </c>
      <c r="CO44" s="21" t="str">
        <f>[2]底表!EB44</f>
        <v>多3人</v>
      </c>
      <c r="CP44" s="21">
        <f>[2]底表!EC44</f>
        <v>1</v>
      </c>
      <c r="CQ44" s="21">
        <f>[2]底表!ED44</f>
        <v>0</v>
      </c>
      <c r="CR44" s="21" t="str">
        <f>[2]底表!EE44</f>
        <v>多1人</v>
      </c>
      <c r="CS44" s="21">
        <f>[2]底表!EF44</f>
        <v>0</v>
      </c>
      <c r="CT44" s="21" t="str">
        <f>[2]底表!EG44</f>
        <v>多1人</v>
      </c>
      <c r="CU44" s="21">
        <f>[2]底表!EH44</f>
        <v>1</v>
      </c>
      <c r="CV44" s="21" t="str">
        <f>[2]底表!EI44</f>
        <v/>
      </c>
      <c r="CW44" s="21">
        <f>[2]底表!EJ44</f>
        <v>50</v>
      </c>
      <c r="CX44" s="21" t="str">
        <f>[2]底表!EK44</f>
        <v/>
      </c>
      <c r="CY44" s="21" t="str">
        <f>[2]底表!EL44</f>
        <v/>
      </c>
      <c r="CZ44" s="21">
        <f>[2]底表!EM44</f>
        <v>1</v>
      </c>
      <c r="DA44" s="21">
        <f>[2]底表!EN44</f>
        <v>0</v>
      </c>
      <c r="DB44" s="21" t="str">
        <f>[2]底表!EO44</f>
        <v>多1人</v>
      </c>
      <c r="DC44" s="21">
        <f>[2]底表!EP44</f>
        <v>0</v>
      </c>
      <c r="DD44" s="21" t="str">
        <f>[2]底表!EQ44</f>
        <v>多1人</v>
      </c>
      <c r="DE44" s="21">
        <f>[2]底表!ER44</f>
        <v>0</v>
      </c>
      <c r="DF44" s="21">
        <f>[2]底表!ES44</f>
        <v>0</v>
      </c>
      <c r="DG44" s="23" t="str">
        <f>[2]底表!ET44</f>
        <v>持平</v>
      </c>
      <c r="DH44" s="21">
        <f>[2]底表!EU44</f>
        <v>0</v>
      </c>
      <c r="DI44" s="21" t="str">
        <f>[2]底表!EV44</f>
        <v>持平</v>
      </c>
      <c r="DJ44" s="21">
        <f>[2]底表!EW44</f>
        <v>0</v>
      </c>
      <c r="DK44" s="21" t="str">
        <f>[2]底表!EX44</f>
        <v/>
      </c>
      <c r="DL44" s="21">
        <f>[2]底表!EY44</f>
        <v>0</v>
      </c>
      <c r="DM44" s="21" t="str">
        <f>[2]底表!EZ44</f>
        <v/>
      </c>
      <c r="DN44" s="21" t="str">
        <f>[2]底表!FA44</f>
        <v/>
      </c>
      <c r="DO44" s="21">
        <f>[2]底表!BQ44</f>
        <v>0</v>
      </c>
      <c r="DP44" s="21">
        <f>[2]底表!BR44</f>
        <v>0</v>
      </c>
      <c r="DQ44" s="24" t="str">
        <f>[2]底表!BS44</f>
        <v>持平</v>
      </c>
    </row>
    <row r="45" s="2" customFormat="1" ht="32" hidden="1" customHeight="1" spans="1:121">
      <c r="A45" s="27" t="str">
        <f>[2]底表!A45</f>
        <v>打架斗殴</v>
      </c>
      <c r="B45" s="28" t="str">
        <f>[2]底表!B45</f>
        <v>罗定市</v>
      </c>
      <c r="C45" s="21">
        <f>[2]底表!AM45</f>
        <v>5</v>
      </c>
      <c r="D45" s="21">
        <f>[2]底表!AN45</f>
        <v>2</v>
      </c>
      <c r="E45" s="23">
        <f>[2]底表!AO45</f>
        <v>1.5</v>
      </c>
      <c r="F45" s="21">
        <f>[2]底表!AP45</f>
        <v>8</v>
      </c>
      <c r="G45" s="21">
        <f>[2]底表!AQ45</f>
        <v>-0.375</v>
      </c>
      <c r="H45" s="21">
        <f>[2]底表!AR45</f>
        <v>1</v>
      </c>
      <c r="I45" s="21">
        <f>[2]底表!AS45</f>
        <v>0.3333</v>
      </c>
      <c r="J45" s="21">
        <f>[2]底表!AT45</f>
        <v>2</v>
      </c>
      <c r="K45" s="21">
        <f>[2]底表!AU45</f>
        <v>2</v>
      </c>
      <c r="L45" s="21">
        <f>[2]底表!AV45</f>
        <v>0</v>
      </c>
      <c r="M45" s="21">
        <f>[2]底表!AW45</f>
        <v>5</v>
      </c>
      <c r="N45" s="21">
        <f>[2]底表!AX45</f>
        <v>-0.6</v>
      </c>
      <c r="O45" s="21">
        <f>[2]底表!AY45</f>
        <v>1</v>
      </c>
      <c r="P45" s="21">
        <f>[2]底表!AZ45</f>
        <v>2</v>
      </c>
      <c r="Q45" s="21">
        <f>[2]底表!BA45</f>
        <v>-0.5</v>
      </c>
      <c r="R45" s="21">
        <f>[2]底表!BB45</f>
        <v>6</v>
      </c>
      <c r="S45" s="21">
        <f>[2]底表!BC45</f>
        <v>-0.8333</v>
      </c>
      <c r="T45" s="21">
        <f>[2]底表!BD45</f>
        <v>0.5</v>
      </c>
      <c r="U45" s="21">
        <f>[2]底表!BE45</f>
        <v>-0.5</v>
      </c>
      <c r="V45" s="21">
        <f>[2]底表!BF45</f>
        <v>3</v>
      </c>
      <c r="W45" s="21">
        <f>[2]底表!BG45</f>
        <v>1</v>
      </c>
      <c r="X45" s="21">
        <f>[2]底表!BH45</f>
        <v>2</v>
      </c>
      <c r="Y45" s="21">
        <f>[2]底表!BI45</f>
        <v>0</v>
      </c>
      <c r="Z45" s="21" t="str">
        <f>[2]底表!BJ45</f>
        <v>多3起</v>
      </c>
      <c r="AA45" s="21">
        <f>[2]底表!BK45</f>
        <v>0.6</v>
      </c>
      <c r="AB45" s="21">
        <f>[2]底表!BL45</f>
        <v>4</v>
      </c>
      <c r="AC45" s="21">
        <f>[2]底表!BM45</f>
        <v>0</v>
      </c>
      <c r="AD45" s="21" t="str">
        <f>[2]底表!BN45</f>
        <v>多4起</v>
      </c>
      <c r="AE45" s="21">
        <f>[2]底表!BO45</f>
        <v>2</v>
      </c>
      <c r="AF45" s="21">
        <f>[2]底表!BP45</f>
        <v>1</v>
      </c>
      <c r="AG45" s="21">
        <f>[2]底表!BT45</f>
        <v>5</v>
      </c>
      <c r="AH45" s="21">
        <f>[2]底表!BU45</f>
        <v>0</v>
      </c>
      <c r="AI45" s="21">
        <f>[2]底表!BV45</f>
        <v>1</v>
      </c>
      <c r="AJ45" s="21">
        <f>[2]底表!BW45</f>
        <v>0.6667</v>
      </c>
      <c r="AK45" s="21">
        <f>[2]底表!BX45</f>
        <v>2.5</v>
      </c>
      <c r="AL45" s="21">
        <f>[2]底表!BY45</f>
        <v>2</v>
      </c>
      <c r="AM45" s="21">
        <f>[2]底表!BZ45</f>
        <v>0</v>
      </c>
      <c r="AN45" s="21">
        <f>[2]底表!CA45</f>
        <v>0</v>
      </c>
      <c r="AO45" s="21" t="str">
        <f>[2]底表!CB45</f>
        <v>持平</v>
      </c>
      <c r="AP45" s="21">
        <f>[2]底表!CC45</f>
        <v>0</v>
      </c>
      <c r="AQ45" s="21" t="str">
        <f>[2]底表!CD45</f>
        <v>持平</v>
      </c>
      <c r="AR45" s="21" t="str">
        <f>[2]底表!CE45</f>
        <v/>
      </c>
      <c r="AS45" s="21" t="str">
        <f>[2]底表!CF45</f>
        <v/>
      </c>
      <c r="AT45" s="21">
        <f>[2]底表!CG45</f>
        <v>7</v>
      </c>
      <c r="AU45" s="21">
        <f>[2]底表!CH45</f>
        <v>13</v>
      </c>
      <c r="AV45" s="21">
        <f>[2]底表!CI45</f>
        <v>-0.4615</v>
      </c>
      <c r="AW45" s="21">
        <f>[2]底表!CJ45</f>
        <v>3</v>
      </c>
      <c r="AX45" s="21">
        <f>[2]底表!CK45</f>
        <v>1.3333</v>
      </c>
      <c r="AY45" s="21">
        <f>[2]底表!CL45</f>
        <v>140</v>
      </c>
      <c r="AZ45" s="21">
        <f>[2]底表!CM45</f>
        <v>-293</v>
      </c>
      <c r="BA45" s="21">
        <f>[2]底表!CN45</f>
        <v>-0.6769</v>
      </c>
      <c r="BB45" s="21">
        <f>[2]底表!CO45</f>
        <v>3</v>
      </c>
      <c r="BC45" s="21">
        <f>[2]底表!CP45</f>
        <v>2</v>
      </c>
      <c r="BD45" s="21">
        <f>[2]底表!CQ45</f>
        <v>0.5</v>
      </c>
      <c r="BE45" s="21">
        <f>[2]底表!CR45</f>
        <v>6</v>
      </c>
      <c r="BF45" s="21">
        <f>[2]底表!CS45</f>
        <v>-0.5</v>
      </c>
      <c r="BG45" s="21">
        <f>[2]底表!CT45</f>
        <v>0.4286</v>
      </c>
      <c r="BH45" s="21">
        <f>[2]底表!CU45</f>
        <v>0.2747</v>
      </c>
      <c r="BI45" s="21">
        <f>[2]底表!CV45</f>
        <v>60</v>
      </c>
      <c r="BJ45" s="21">
        <f>[2]底表!CW45</f>
        <v>-7</v>
      </c>
      <c r="BK45" s="21">
        <f>[2]底表!CX45</f>
        <v>-0.1</v>
      </c>
      <c r="BL45" s="21">
        <f>[2]底表!CY45</f>
        <v>3</v>
      </c>
      <c r="BM45" s="21">
        <f>[2]底表!CZ45</f>
        <v>3</v>
      </c>
      <c r="BN45" s="23">
        <f>[2]底表!DA45</f>
        <v>0</v>
      </c>
      <c r="BO45" s="21">
        <f>[2]底表!DB45</f>
        <v>6</v>
      </c>
      <c r="BP45" s="21">
        <f>[2]底表!DC45</f>
        <v>-0.5</v>
      </c>
      <c r="BQ45" s="21">
        <f>[2]底表!DD45</f>
        <v>0.4286</v>
      </c>
      <c r="BR45" s="21">
        <f>[2]底表!DE45</f>
        <v>0.1978</v>
      </c>
      <c r="BS45" s="21">
        <f>[2]底表!DF45</f>
        <v>60</v>
      </c>
      <c r="BT45" s="21">
        <f>[2]底表!DG45</f>
        <v>-40</v>
      </c>
      <c r="BU45" s="21">
        <f>[2]底表!DH45</f>
        <v>-0.4</v>
      </c>
      <c r="BV45" s="21">
        <f>[2]底表!DI45</f>
        <v>2</v>
      </c>
      <c r="BW45" s="21">
        <f>[2]底表!DJ45</f>
        <v>0</v>
      </c>
      <c r="BX45" s="23" t="str">
        <f>[2]底表!DK45</f>
        <v>多2人</v>
      </c>
      <c r="BY45" s="21">
        <f>[2]底表!DL45</f>
        <v>6</v>
      </c>
      <c r="BZ45" s="21">
        <f>[2]底表!DM45</f>
        <v>-0.6667</v>
      </c>
      <c r="CA45" s="21">
        <f>[2]底表!DN45</f>
        <v>1</v>
      </c>
      <c r="CB45" s="21">
        <f>[2]底表!DO45</f>
        <v>1</v>
      </c>
      <c r="CC45" s="21">
        <f>[2]底表!DP45</f>
        <v>0</v>
      </c>
      <c r="CD45" s="21">
        <f>[2]底表!DQ45</f>
        <v>4</v>
      </c>
      <c r="CE45" s="21">
        <f>[2]底表!DR45</f>
        <v>-0.75</v>
      </c>
      <c r="CF45" s="21">
        <f>[2]底表!DS45</f>
        <v>1</v>
      </c>
      <c r="CG45" s="21">
        <f>[2]底表!DT45</f>
        <v>1</v>
      </c>
      <c r="CH45" s="21">
        <f>[2]底表!DU45</f>
        <v>0</v>
      </c>
      <c r="CI45" s="21">
        <f>[2]底表!DV45</f>
        <v>4</v>
      </c>
      <c r="CJ45" s="21">
        <f>[2]底表!DW45</f>
        <v>-0.75</v>
      </c>
      <c r="CK45" s="21">
        <f>[2]底表!DX45</f>
        <v>4</v>
      </c>
      <c r="CL45" s="21">
        <f>[2]底表!DY45</f>
        <v>4</v>
      </c>
      <c r="CM45" s="21">
        <f>[2]底表!DZ45</f>
        <v>0</v>
      </c>
      <c r="CN45" s="21">
        <f>[2]底表!EA45</f>
        <v>11</v>
      </c>
      <c r="CO45" s="21">
        <f>[2]底表!EB45</f>
        <v>-0.6364</v>
      </c>
      <c r="CP45" s="21">
        <f>[2]底表!EC45</f>
        <v>6</v>
      </c>
      <c r="CQ45" s="21">
        <f>[2]底表!ED45</f>
        <v>4</v>
      </c>
      <c r="CR45" s="21">
        <f>[2]底表!EE45</f>
        <v>0.5</v>
      </c>
      <c r="CS45" s="21">
        <f>[2]底表!EF45</f>
        <v>7</v>
      </c>
      <c r="CT45" s="21">
        <f>[2]底表!EG45</f>
        <v>-0.1429</v>
      </c>
      <c r="CU45" s="21">
        <f>[2]底表!EH45</f>
        <v>2</v>
      </c>
      <c r="CV45" s="21">
        <f>[2]底表!EI45</f>
        <v>0</v>
      </c>
      <c r="CW45" s="21">
        <f>[2]底表!EJ45</f>
        <v>120</v>
      </c>
      <c r="CX45" s="21">
        <f>[2]底表!EK45</f>
        <v>-13</v>
      </c>
      <c r="CY45" s="21">
        <f>[2]底表!EL45</f>
        <v>-0.1</v>
      </c>
      <c r="CZ45" s="21">
        <f>[2]底表!EM45</f>
        <v>6</v>
      </c>
      <c r="DA45" s="21">
        <f>[2]底表!EN45</f>
        <v>4</v>
      </c>
      <c r="DB45" s="21">
        <f>[2]底表!EO45</f>
        <v>0.5</v>
      </c>
      <c r="DC45" s="21">
        <f>[2]底表!EP45</f>
        <v>7</v>
      </c>
      <c r="DD45" s="21">
        <f>[2]底表!EQ45</f>
        <v>-0.1429</v>
      </c>
      <c r="DE45" s="21">
        <f>[2]底表!ER45</f>
        <v>5</v>
      </c>
      <c r="DF45" s="21">
        <f>[2]底表!ES45</f>
        <v>1</v>
      </c>
      <c r="DG45" s="23">
        <f>[2]底表!ET45</f>
        <v>4</v>
      </c>
      <c r="DH45" s="21">
        <f>[2]底表!EU45</f>
        <v>7</v>
      </c>
      <c r="DI45" s="21">
        <f>[2]底表!EV45</f>
        <v>-0.2857</v>
      </c>
      <c r="DJ45" s="21">
        <f>[2]底表!EW45</f>
        <v>1.6667</v>
      </c>
      <c r="DK45" s="21">
        <f>[2]底表!EX45</f>
        <v>1.1667</v>
      </c>
      <c r="DL45" s="21">
        <f>[2]底表!EY45</f>
        <v>100</v>
      </c>
      <c r="DM45" s="21">
        <f>[2]底表!EZ45</f>
        <v>67</v>
      </c>
      <c r="DN45" s="21">
        <f>[2]底表!FA45</f>
        <v>2</v>
      </c>
      <c r="DO45" s="21">
        <f>[2]底表!BQ45</f>
        <v>5</v>
      </c>
      <c r="DP45" s="21">
        <f>[2]底表!BR45</f>
        <v>1</v>
      </c>
      <c r="DQ45" s="24">
        <f>[2]底表!BS45</f>
        <v>4</v>
      </c>
    </row>
    <row r="46" s="2" customFormat="1" ht="32" hidden="1" customHeight="1" spans="1:121">
      <c r="A46" s="27" t="str">
        <f>[2]底表!A46</f>
        <v>涉黄</v>
      </c>
      <c r="B46" s="28" t="str">
        <f>[2]底表!B46</f>
        <v>全省</v>
      </c>
      <c r="C46" s="21">
        <f>[2]底表!AM46</f>
        <v>412</v>
      </c>
      <c r="D46" s="21">
        <f>[2]底表!AN46</f>
        <v>155</v>
      </c>
      <c r="E46" s="23">
        <f>[2]底表!AO46</f>
        <v>1.6581</v>
      </c>
      <c r="F46" s="21">
        <f>[2]底表!AP46</f>
        <v>444</v>
      </c>
      <c r="G46" s="21">
        <f>[2]底表!AQ46</f>
        <v>-0.0721</v>
      </c>
      <c r="H46" s="21">
        <f>[2]底表!AR46</f>
        <v>0.886</v>
      </c>
      <c r="I46" s="21">
        <f>[2]底表!AS46</f>
        <v>-0.0311</v>
      </c>
      <c r="J46" s="21">
        <f>[2]底表!AT46</f>
        <v>306</v>
      </c>
      <c r="K46" s="21">
        <f>[2]底表!AU46</f>
        <v>108</v>
      </c>
      <c r="L46" s="21">
        <f>[2]底表!AV46</f>
        <v>1.8333</v>
      </c>
      <c r="M46" s="21">
        <f>[2]底表!AW46</f>
        <v>360</v>
      </c>
      <c r="N46" s="21">
        <f>[2]底表!AX46</f>
        <v>-0.15</v>
      </c>
      <c r="O46" s="21">
        <f>[2]底表!AY46</f>
        <v>231</v>
      </c>
      <c r="P46" s="21">
        <f>[2]底表!AZ46</f>
        <v>78</v>
      </c>
      <c r="Q46" s="21">
        <f>[2]底表!BA46</f>
        <v>1.9615</v>
      </c>
      <c r="R46" s="21">
        <f>[2]底表!BB46</f>
        <v>346</v>
      </c>
      <c r="S46" s="21">
        <f>[2]底表!BC46</f>
        <v>-0.3324</v>
      </c>
      <c r="T46" s="21">
        <f>[2]底表!BD46</f>
        <v>0.7549</v>
      </c>
      <c r="U46" s="21">
        <f>[2]底表!BE46</f>
        <v>0.0327</v>
      </c>
      <c r="V46" s="21">
        <f>[2]底表!BF46</f>
        <v>159</v>
      </c>
      <c r="W46" s="21">
        <f>[2]底表!BG46</f>
        <v>61</v>
      </c>
      <c r="X46" s="21">
        <f>[2]底表!BH46</f>
        <v>1.6066</v>
      </c>
      <c r="Y46" s="21">
        <f>[2]底表!BI46</f>
        <v>10</v>
      </c>
      <c r="Z46" s="21">
        <f>[2]底表!BJ46</f>
        <v>14.9</v>
      </c>
      <c r="AA46" s="21">
        <f>[2]底表!BK46</f>
        <v>0.3419</v>
      </c>
      <c r="AB46" s="21">
        <f>[2]底表!BL46</f>
        <v>181</v>
      </c>
      <c r="AC46" s="21">
        <f>[2]底表!BM46</f>
        <v>77</v>
      </c>
      <c r="AD46" s="21">
        <f>[2]底表!BN46</f>
        <v>1.3506</v>
      </c>
      <c r="AE46" s="21">
        <f>[2]底表!BO46</f>
        <v>98</v>
      </c>
      <c r="AF46" s="21">
        <f>[2]底表!BP46</f>
        <v>0.8469</v>
      </c>
      <c r="AG46" s="21">
        <f>[2]底表!BT46</f>
        <v>324</v>
      </c>
      <c r="AH46" s="21">
        <f>[2]底表!BU46</f>
        <v>-0.5031</v>
      </c>
      <c r="AI46" s="21">
        <f>[2]底表!BV46</f>
        <v>0.3462</v>
      </c>
      <c r="AJ46" s="21">
        <f>[2]底表!BW46</f>
        <v>-0.3638</v>
      </c>
      <c r="AK46" s="21">
        <f>[2]底表!BX46</f>
        <v>0.5261</v>
      </c>
      <c r="AL46" s="21">
        <f>[2]底表!BY46</f>
        <v>-0.585</v>
      </c>
      <c r="AM46" s="21">
        <f>[2]底表!BZ46</f>
        <v>0</v>
      </c>
      <c r="AN46" s="21">
        <f>[2]底表!CA46</f>
        <v>0</v>
      </c>
      <c r="AO46" s="21" t="str">
        <f>[2]底表!CB46</f>
        <v>持平</v>
      </c>
      <c r="AP46" s="21">
        <f>[2]底表!CC46</f>
        <v>5</v>
      </c>
      <c r="AQ46" s="21" t="str">
        <f>[2]底表!CD46</f>
        <v>少5起</v>
      </c>
      <c r="AR46" s="21" t="str">
        <f>[2]底表!CE46</f>
        <v/>
      </c>
      <c r="AS46" s="21" t="str">
        <f>[2]底表!CF46</f>
        <v/>
      </c>
      <c r="AT46" s="21">
        <f>[2]底表!CG46</f>
        <v>1946</v>
      </c>
      <c r="AU46" s="21">
        <f>[2]底表!CH46</f>
        <v>738</v>
      </c>
      <c r="AV46" s="21">
        <f>[2]底表!CI46</f>
        <v>1.6369</v>
      </c>
      <c r="AW46" s="21">
        <f>[2]底表!CJ46</f>
        <v>1542</v>
      </c>
      <c r="AX46" s="21">
        <f>[2]底表!CK46</f>
        <v>0.262</v>
      </c>
      <c r="AY46" s="21">
        <f>[2]底表!CL46</f>
        <v>418</v>
      </c>
      <c r="AZ46" s="21">
        <f>[2]底表!CM46</f>
        <v>-18</v>
      </c>
      <c r="BA46" s="21">
        <f>[2]底表!CN46</f>
        <v>-0.0417</v>
      </c>
      <c r="BB46" s="21">
        <f>[2]底表!CO46</f>
        <v>1674</v>
      </c>
      <c r="BC46" s="21">
        <f>[2]底表!CP46</f>
        <v>470</v>
      </c>
      <c r="BD46" s="21">
        <f>[2]底表!CQ46</f>
        <v>2.5617</v>
      </c>
      <c r="BE46" s="21">
        <f>[2]底表!CR46</f>
        <v>1221</v>
      </c>
      <c r="BF46" s="21">
        <f>[2]底表!CS46</f>
        <v>0.371</v>
      </c>
      <c r="BG46" s="21">
        <f>[2]底表!CT46</f>
        <v>0.8602</v>
      </c>
      <c r="BH46" s="21">
        <f>[2]底表!CU46</f>
        <v>0.2234</v>
      </c>
      <c r="BI46" s="21">
        <f>[2]底表!CV46</f>
        <v>360</v>
      </c>
      <c r="BJ46" s="21">
        <f>[2]底表!CW46</f>
        <v>82</v>
      </c>
      <c r="BK46" s="21">
        <f>[2]底表!CX46</f>
        <v>0.2945</v>
      </c>
      <c r="BL46" s="21">
        <f>[2]底表!CY46</f>
        <v>1801</v>
      </c>
      <c r="BM46" s="21">
        <f>[2]底表!CZ46</f>
        <v>514</v>
      </c>
      <c r="BN46" s="23">
        <f>[2]底表!DA46</f>
        <v>2.5039</v>
      </c>
      <c r="BO46" s="21">
        <f>[2]底表!DB46</f>
        <v>1292</v>
      </c>
      <c r="BP46" s="21">
        <f>[2]底表!DC46</f>
        <v>0.394</v>
      </c>
      <c r="BQ46" s="21">
        <f>[2]底表!DD46</f>
        <v>0.9255</v>
      </c>
      <c r="BR46" s="21">
        <f>[2]底表!DE46</f>
        <v>0.229</v>
      </c>
      <c r="BS46" s="21">
        <f>[2]底表!DF46</f>
        <v>387</v>
      </c>
      <c r="BT46" s="21">
        <f>[2]底表!DG46</f>
        <v>83</v>
      </c>
      <c r="BU46" s="21">
        <f>[2]底表!DH46</f>
        <v>0.2735</v>
      </c>
      <c r="BV46" s="21">
        <f>[2]底表!DI46</f>
        <v>1683</v>
      </c>
      <c r="BW46" s="21">
        <f>[2]底表!DJ46</f>
        <v>530</v>
      </c>
      <c r="BX46" s="23">
        <f>[2]底表!DK46</f>
        <v>2.1755</v>
      </c>
      <c r="BY46" s="21">
        <f>[2]底表!DL46</f>
        <v>1284</v>
      </c>
      <c r="BZ46" s="21">
        <f>[2]底表!DM46</f>
        <v>0.3107</v>
      </c>
      <c r="CA46" s="21">
        <f>[2]底表!DN46</f>
        <v>738</v>
      </c>
      <c r="CB46" s="21">
        <f>[2]底表!DO46</f>
        <v>252</v>
      </c>
      <c r="CC46" s="21">
        <f>[2]底表!DP46</f>
        <v>1.9286</v>
      </c>
      <c r="CD46" s="21">
        <f>[2]底表!DQ46</f>
        <v>543</v>
      </c>
      <c r="CE46" s="21">
        <f>[2]底表!DR46</f>
        <v>0.3591</v>
      </c>
      <c r="CF46" s="21">
        <f>[2]底表!DS46</f>
        <v>738</v>
      </c>
      <c r="CG46" s="21">
        <f>[2]底表!DT46</f>
        <v>252</v>
      </c>
      <c r="CH46" s="21">
        <f>[2]底表!DU46</f>
        <v>1.9286</v>
      </c>
      <c r="CI46" s="21">
        <f>[2]底表!DV46</f>
        <v>543</v>
      </c>
      <c r="CJ46" s="21">
        <f>[2]底表!DW46</f>
        <v>0.3591</v>
      </c>
      <c r="CK46" s="21">
        <f>[2]底表!DX46</f>
        <v>908</v>
      </c>
      <c r="CL46" s="21">
        <f>[2]底表!DY46</f>
        <v>414</v>
      </c>
      <c r="CM46" s="21">
        <f>[2]底表!DZ46</f>
        <v>1.1932</v>
      </c>
      <c r="CN46" s="21">
        <f>[2]底表!EA46</f>
        <v>689</v>
      </c>
      <c r="CO46" s="21">
        <f>[2]底表!EB46</f>
        <v>0.3179</v>
      </c>
      <c r="CP46" s="21">
        <f>[2]底表!EC46</f>
        <v>433</v>
      </c>
      <c r="CQ46" s="21">
        <f>[2]底表!ED46</f>
        <v>346</v>
      </c>
      <c r="CR46" s="21">
        <f>[2]底表!EE46</f>
        <v>0.2514</v>
      </c>
      <c r="CS46" s="21">
        <f>[2]底表!EF46</f>
        <v>484</v>
      </c>
      <c r="CT46" s="21">
        <f>[2]底表!EG46</f>
        <v>-0.1054</v>
      </c>
      <c r="CU46" s="21">
        <f>[2]底表!EH46</f>
        <v>0.2587</v>
      </c>
      <c r="CV46" s="21">
        <f>[2]底表!EI46</f>
        <v>-0.4775</v>
      </c>
      <c r="CW46" s="21">
        <f>[2]底表!EJ46</f>
        <v>93</v>
      </c>
      <c r="CX46" s="21">
        <f>[2]底表!EK46</f>
        <v>-112</v>
      </c>
      <c r="CY46" s="21">
        <f>[2]底表!EL46</f>
        <v>-0.5452</v>
      </c>
      <c r="CZ46" s="21">
        <f>[2]底表!EM46</f>
        <v>465</v>
      </c>
      <c r="DA46" s="21">
        <f>[2]底表!EN46</f>
        <v>353</v>
      </c>
      <c r="DB46" s="21">
        <f>[2]底表!EO46</f>
        <v>0.3173</v>
      </c>
      <c r="DC46" s="21">
        <f>[2]底表!EP46</f>
        <v>511</v>
      </c>
      <c r="DD46" s="21">
        <f>[2]底表!EQ46</f>
        <v>-0.09</v>
      </c>
      <c r="DE46" s="21">
        <f>[2]底表!ER46</f>
        <v>413</v>
      </c>
      <c r="DF46" s="21">
        <f>[2]底表!ES46</f>
        <v>278</v>
      </c>
      <c r="DG46" s="23">
        <f>[2]底表!ET46</f>
        <v>0.4856</v>
      </c>
      <c r="DH46" s="21">
        <f>[2]底表!EU46</f>
        <v>699</v>
      </c>
      <c r="DI46" s="21">
        <f>[2]底表!EV46</f>
        <v>-0.4092</v>
      </c>
      <c r="DJ46" s="21">
        <f>[2]底表!EW46</f>
        <v>0.2467</v>
      </c>
      <c r="DK46" s="21">
        <f>[2]底表!EX46</f>
        <v>-0.3448</v>
      </c>
      <c r="DL46" s="21">
        <f>[2]底表!EY46</f>
        <v>89</v>
      </c>
      <c r="DM46" s="21">
        <f>[2]底表!EZ46</f>
        <v>-76</v>
      </c>
      <c r="DN46" s="21">
        <f>[2]底表!FA46</f>
        <v>-0.4601</v>
      </c>
      <c r="DO46" s="21">
        <f>[2]底表!BQ46</f>
        <v>161</v>
      </c>
      <c r="DP46" s="21">
        <f>[2]底表!BR46</f>
        <v>120</v>
      </c>
      <c r="DQ46" s="24">
        <f>[2]底表!BS46</f>
        <v>0.3417</v>
      </c>
    </row>
    <row r="47" s="2" customFormat="1" ht="32" hidden="1" customHeight="1" spans="1:121">
      <c r="A47" s="27" t="str">
        <f>[2]底表!A47</f>
        <v>涉黄</v>
      </c>
      <c r="B47" s="28" t="str">
        <f>[2]底表!B47</f>
        <v>云浮</v>
      </c>
      <c r="C47" s="21">
        <f>[2]底表!AM47</f>
        <v>2</v>
      </c>
      <c r="D47" s="21">
        <f>[2]底表!AN47</f>
        <v>1</v>
      </c>
      <c r="E47" s="23">
        <f>[2]底表!AO47</f>
        <v>1</v>
      </c>
      <c r="F47" s="21">
        <f>[2]底表!AP47</f>
        <v>3</v>
      </c>
      <c r="G47" s="21">
        <f>[2]底表!AQ47</f>
        <v>-0.3333</v>
      </c>
      <c r="H47" s="21">
        <f>[2]底表!AR47</f>
        <v>1</v>
      </c>
      <c r="I47" s="21">
        <f>[2]底表!AS47</f>
        <v>0.75</v>
      </c>
      <c r="J47" s="21">
        <f>[2]底表!AT47</f>
        <v>1</v>
      </c>
      <c r="K47" s="21">
        <f>[2]底表!AU47</f>
        <v>3</v>
      </c>
      <c r="L47" s="21">
        <f>[2]底表!AV47</f>
        <v>-0.6667</v>
      </c>
      <c r="M47" s="21">
        <f>[2]底表!AW47</f>
        <v>3</v>
      </c>
      <c r="N47" s="21">
        <f>[2]底表!AX47</f>
        <v>-0.6667</v>
      </c>
      <c r="O47" s="21">
        <f>[2]底表!AY47</f>
        <v>1</v>
      </c>
      <c r="P47" s="21">
        <f>[2]底表!AZ47</f>
        <v>1</v>
      </c>
      <c r="Q47" s="21">
        <f>[2]底表!BA47</f>
        <v>0</v>
      </c>
      <c r="R47" s="21">
        <f>[2]底表!BB47</f>
        <v>3</v>
      </c>
      <c r="S47" s="21">
        <f>[2]底表!BC47</f>
        <v>-0.6667</v>
      </c>
      <c r="T47" s="21">
        <f>[2]底表!BD47</f>
        <v>1</v>
      </c>
      <c r="U47" s="21">
        <f>[2]底表!BE47</f>
        <v>0.6667</v>
      </c>
      <c r="V47" s="21">
        <f>[2]底表!BF47</f>
        <v>1</v>
      </c>
      <c r="W47" s="21">
        <f>[2]底表!BG47</f>
        <v>1</v>
      </c>
      <c r="X47" s="21">
        <f>[2]底表!BH47</f>
        <v>0</v>
      </c>
      <c r="Y47" s="21">
        <f>[2]底表!BI47</f>
        <v>0</v>
      </c>
      <c r="Z47" s="21" t="str">
        <f>[2]底表!BJ47</f>
        <v>多1起</v>
      </c>
      <c r="AA47" s="21">
        <f>[2]底表!BK47</f>
        <v>0.5</v>
      </c>
      <c r="AB47" s="21">
        <f>[2]底表!BL47</f>
        <v>1</v>
      </c>
      <c r="AC47" s="21">
        <f>[2]底表!BM47</f>
        <v>0</v>
      </c>
      <c r="AD47" s="21" t="str">
        <f>[2]底表!BN47</f>
        <v>多1起</v>
      </c>
      <c r="AE47" s="21">
        <f>[2]底表!BO47</f>
        <v>0</v>
      </c>
      <c r="AF47" s="21" t="str">
        <f>[2]底表!BP47</f>
        <v>多1起</v>
      </c>
      <c r="AG47" s="21">
        <f>[2]底表!BT47</f>
        <v>4</v>
      </c>
      <c r="AH47" s="21" t="str">
        <f>[2]底表!BU47</f>
        <v>少4起</v>
      </c>
      <c r="AI47" s="21">
        <f>[2]底表!BV47</f>
        <v>0</v>
      </c>
      <c r="AJ47" s="21">
        <f>[2]底表!BW47</f>
        <v>-0.75</v>
      </c>
      <c r="AK47" s="21">
        <f>[2]底表!BX47</f>
        <v>0</v>
      </c>
      <c r="AL47" s="21">
        <f>[2]底表!BY47</f>
        <v>-1</v>
      </c>
      <c r="AM47" s="21">
        <f>[2]底表!BZ47</f>
        <v>0</v>
      </c>
      <c r="AN47" s="21">
        <f>[2]底表!CA47</f>
        <v>0</v>
      </c>
      <c r="AO47" s="21" t="str">
        <f>[2]底表!CB47</f>
        <v>持平</v>
      </c>
      <c r="AP47" s="21">
        <f>[2]底表!CC47</f>
        <v>0</v>
      </c>
      <c r="AQ47" s="21" t="str">
        <f>[2]底表!CD47</f>
        <v>持平</v>
      </c>
      <c r="AR47" s="21" t="str">
        <f>[2]底表!CE47</f>
        <v/>
      </c>
      <c r="AS47" s="21" t="str">
        <f>[2]底表!CF47</f>
        <v/>
      </c>
      <c r="AT47" s="21">
        <f>[2]底表!CG47</f>
        <v>8</v>
      </c>
      <c r="AU47" s="21">
        <f>[2]底表!CH47</f>
        <v>5</v>
      </c>
      <c r="AV47" s="21">
        <f>[2]底表!CI47</f>
        <v>0.6</v>
      </c>
      <c r="AW47" s="21">
        <f>[2]底表!CJ47</f>
        <v>34</v>
      </c>
      <c r="AX47" s="21">
        <f>[2]底表!CK47</f>
        <v>-0.7647</v>
      </c>
      <c r="AY47" s="21">
        <f>[2]底表!CL47</f>
        <v>400</v>
      </c>
      <c r="AZ47" s="21">
        <f>[2]底表!CM47</f>
        <v>275</v>
      </c>
      <c r="BA47" s="21">
        <f>[2]底表!CN47</f>
        <v>2.2</v>
      </c>
      <c r="BB47" s="21">
        <f>[2]底表!CO47</f>
        <v>20</v>
      </c>
      <c r="BC47" s="21">
        <f>[2]底表!CP47</f>
        <v>4</v>
      </c>
      <c r="BD47" s="21">
        <f>[2]底表!CQ47</f>
        <v>4</v>
      </c>
      <c r="BE47" s="21">
        <f>[2]底表!CR47</f>
        <v>31</v>
      </c>
      <c r="BF47" s="21">
        <f>[2]底表!CS47</f>
        <v>-0.3548</v>
      </c>
      <c r="BG47" s="21">
        <f>[2]底表!CT47</f>
        <v>2.5</v>
      </c>
      <c r="BH47" s="21">
        <f>[2]底表!CU47</f>
        <v>1.7</v>
      </c>
      <c r="BI47" s="21">
        <f>[2]底表!CV47</f>
        <v>1000</v>
      </c>
      <c r="BJ47" s="21">
        <f>[2]底表!CW47</f>
        <v>900</v>
      </c>
      <c r="BK47" s="21">
        <f>[2]底表!CX47</f>
        <v>9</v>
      </c>
      <c r="BL47" s="21">
        <f>[2]底表!CY47</f>
        <v>21</v>
      </c>
      <c r="BM47" s="21">
        <f>[2]底表!CZ47</f>
        <v>4</v>
      </c>
      <c r="BN47" s="23">
        <f>[2]底表!DA47</f>
        <v>4.25</v>
      </c>
      <c r="BO47" s="21">
        <f>[2]底表!DB47</f>
        <v>31</v>
      </c>
      <c r="BP47" s="21">
        <f>[2]底表!DC47</f>
        <v>-0.3226</v>
      </c>
      <c r="BQ47" s="21">
        <f>[2]底表!DD47</f>
        <v>2.625</v>
      </c>
      <c r="BR47" s="21">
        <f>[2]底表!DE47</f>
        <v>1.825</v>
      </c>
      <c r="BS47" s="21">
        <f>[2]底表!DF47</f>
        <v>1050</v>
      </c>
      <c r="BT47" s="21">
        <f>[2]底表!DG47</f>
        <v>950</v>
      </c>
      <c r="BU47" s="21">
        <f>[2]底表!DH47</f>
        <v>9.5</v>
      </c>
      <c r="BV47" s="21">
        <f>[2]底表!DI47</f>
        <v>13</v>
      </c>
      <c r="BW47" s="21">
        <f>[2]底表!DJ47</f>
        <v>4</v>
      </c>
      <c r="BX47" s="23">
        <f>[2]底表!DK47</f>
        <v>2.25</v>
      </c>
      <c r="BY47" s="21">
        <f>[2]底表!DL47</f>
        <v>31</v>
      </c>
      <c r="BZ47" s="21">
        <f>[2]底表!DM47</f>
        <v>-0.5806</v>
      </c>
      <c r="CA47" s="21">
        <f>[2]底表!DN47</f>
        <v>18</v>
      </c>
      <c r="CB47" s="21">
        <f>[2]底表!DO47</f>
        <v>1</v>
      </c>
      <c r="CC47" s="21">
        <f>[2]底表!DP47</f>
        <v>17</v>
      </c>
      <c r="CD47" s="21">
        <f>[2]底表!DQ47</f>
        <v>1</v>
      </c>
      <c r="CE47" s="21">
        <f>[2]底表!DR47</f>
        <v>17</v>
      </c>
      <c r="CF47" s="21">
        <f>[2]底表!DS47</f>
        <v>18</v>
      </c>
      <c r="CG47" s="21">
        <f>[2]底表!DT47</f>
        <v>1</v>
      </c>
      <c r="CH47" s="21">
        <f>[2]底表!DU47</f>
        <v>17</v>
      </c>
      <c r="CI47" s="21">
        <f>[2]底表!DV47</f>
        <v>1</v>
      </c>
      <c r="CJ47" s="21">
        <f>[2]底表!DW47</f>
        <v>17</v>
      </c>
      <c r="CK47" s="21">
        <f>[2]底表!DX47</f>
        <v>13</v>
      </c>
      <c r="CL47" s="21">
        <f>[2]底表!DY47</f>
        <v>4</v>
      </c>
      <c r="CM47" s="21">
        <f>[2]底表!DZ47</f>
        <v>2.25</v>
      </c>
      <c r="CN47" s="21">
        <f>[2]底表!EA47</f>
        <v>6</v>
      </c>
      <c r="CO47" s="21">
        <f>[2]底表!EB47</f>
        <v>1.1667</v>
      </c>
      <c r="CP47" s="21">
        <f>[2]底表!EC47</f>
        <v>8</v>
      </c>
      <c r="CQ47" s="21">
        <f>[2]底表!ED47</f>
        <v>1</v>
      </c>
      <c r="CR47" s="21">
        <f>[2]底表!EE47</f>
        <v>7</v>
      </c>
      <c r="CS47" s="21">
        <f>[2]底表!EF47</f>
        <v>5</v>
      </c>
      <c r="CT47" s="21">
        <f>[2]底表!EG47</f>
        <v>0.6</v>
      </c>
      <c r="CU47" s="21">
        <f>[2]底表!EH47</f>
        <v>0.4</v>
      </c>
      <c r="CV47" s="21">
        <f>[2]底表!EI47</f>
        <v>0.15</v>
      </c>
      <c r="CW47" s="21">
        <f>[2]底表!EJ47</f>
        <v>400</v>
      </c>
      <c r="CX47" s="21">
        <f>[2]底表!EK47</f>
        <v>375</v>
      </c>
      <c r="CY47" s="21">
        <f>[2]底表!EL47</f>
        <v>15</v>
      </c>
      <c r="CZ47" s="21">
        <f>[2]底表!EM47</f>
        <v>8</v>
      </c>
      <c r="DA47" s="21">
        <f>[2]底表!EN47</f>
        <v>1</v>
      </c>
      <c r="DB47" s="21">
        <f>[2]底表!EO47</f>
        <v>7</v>
      </c>
      <c r="DC47" s="21">
        <f>[2]底表!EP47</f>
        <v>5</v>
      </c>
      <c r="DD47" s="21">
        <f>[2]底表!EQ47</f>
        <v>0.6</v>
      </c>
      <c r="DE47" s="21">
        <f>[2]底表!ER47</f>
        <v>0</v>
      </c>
      <c r="DF47" s="21">
        <f>[2]底表!ES47</f>
        <v>5</v>
      </c>
      <c r="DG47" s="23" t="str">
        <f>[2]底表!ET47</f>
        <v>少5人</v>
      </c>
      <c r="DH47" s="21">
        <f>[2]底表!EU47</f>
        <v>10</v>
      </c>
      <c r="DI47" s="21" t="str">
        <f>[2]底表!EV47</f>
        <v>少10人</v>
      </c>
      <c r="DJ47" s="21">
        <f>[2]底表!EW47</f>
        <v>0</v>
      </c>
      <c r="DK47" s="21">
        <f>[2]底表!EX47</f>
        <v>-1.25</v>
      </c>
      <c r="DL47" s="21">
        <f>[2]底表!EY47</f>
        <v>0</v>
      </c>
      <c r="DM47" s="21">
        <f>[2]底表!EZ47</f>
        <v>-125</v>
      </c>
      <c r="DN47" s="21">
        <f>[2]底表!FA47</f>
        <v>-1</v>
      </c>
      <c r="DO47" s="21">
        <f>[2]底表!BQ47</f>
        <v>0</v>
      </c>
      <c r="DP47" s="21">
        <f>[2]底表!BR47</f>
        <v>3</v>
      </c>
      <c r="DQ47" s="24" t="str">
        <f>[2]底表!BS47</f>
        <v>少3起</v>
      </c>
    </row>
    <row r="48" s="2" customFormat="1" ht="32" hidden="1" customHeight="1" spans="1:121">
      <c r="A48" s="27" t="str">
        <f>[2]底表!A48</f>
        <v>涉黄</v>
      </c>
      <c r="B48" s="28" t="str">
        <f>[2]底表!B48</f>
        <v>云城区</v>
      </c>
      <c r="C48" s="21">
        <f>[2]底表!AM48</f>
        <v>0</v>
      </c>
      <c r="D48" s="21">
        <f>[2]底表!AN48</f>
        <v>0</v>
      </c>
      <c r="E48" s="23" t="str">
        <f>[2]底表!AO48</f>
        <v>持平</v>
      </c>
      <c r="F48" s="21">
        <f>[2]底表!AP48</f>
        <v>2</v>
      </c>
      <c r="G48" s="21" t="str">
        <f>[2]底表!AQ48</f>
        <v>少2起</v>
      </c>
      <c r="H48" s="21" t="str">
        <f>[2]底表!AR48</f>
        <v/>
      </c>
      <c r="I48" s="21" t="str">
        <f>[2]底表!AS48</f>
        <v/>
      </c>
      <c r="J48" s="21">
        <f>[2]底表!AT48</f>
        <v>0</v>
      </c>
      <c r="K48" s="21">
        <f>[2]底表!AU48</f>
        <v>0</v>
      </c>
      <c r="L48" s="21" t="str">
        <f>[2]底表!AV48</f>
        <v>持平</v>
      </c>
      <c r="M48" s="21">
        <f>[2]底表!AW48</f>
        <v>1</v>
      </c>
      <c r="N48" s="21" t="str">
        <f>[2]底表!AX48</f>
        <v>少1起</v>
      </c>
      <c r="O48" s="21">
        <f>[2]底表!AY48</f>
        <v>0</v>
      </c>
      <c r="P48" s="21">
        <f>[2]底表!AZ48</f>
        <v>0</v>
      </c>
      <c r="Q48" s="21" t="str">
        <f>[2]底表!BA48</f>
        <v>持平</v>
      </c>
      <c r="R48" s="21">
        <f>[2]底表!BB48</f>
        <v>2</v>
      </c>
      <c r="S48" s="21" t="str">
        <f>[2]底表!BC48</f>
        <v>少2起</v>
      </c>
      <c r="T48" s="21" t="str">
        <f>[2]底表!BD48</f>
        <v/>
      </c>
      <c r="U48" s="21" t="str">
        <f>[2]底表!BE48</f>
        <v/>
      </c>
      <c r="V48" s="21">
        <f>[2]底表!BF48</f>
        <v>0</v>
      </c>
      <c r="W48" s="21">
        <f>[2]底表!BG48</f>
        <v>1</v>
      </c>
      <c r="X48" s="21" t="str">
        <f>[2]底表!BH48</f>
        <v>少1起</v>
      </c>
      <c r="Y48" s="21">
        <f>[2]底表!BI48</f>
        <v>0</v>
      </c>
      <c r="Z48" s="21" t="str">
        <f>[2]底表!BJ48</f>
        <v>持平</v>
      </c>
      <c r="AA48" s="21" t="str">
        <f>[2]底表!BK48</f>
        <v/>
      </c>
      <c r="AB48" s="21">
        <f>[2]底表!BL48</f>
        <v>0</v>
      </c>
      <c r="AC48" s="21">
        <f>[2]底表!BM48</f>
        <v>0</v>
      </c>
      <c r="AD48" s="21" t="str">
        <f>[2]底表!BN48</f>
        <v>持平</v>
      </c>
      <c r="AE48" s="21">
        <f>[2]底表!BO48</f>
        <v>0</v>
      </c>
      <c r="AF48" s="21" t="str">
        <f>[2]底表!BP48</f>
        <v>持平</v>
      </c>
      <c r="AG48" s="21">
        <f>[2]底表!BT48</f>
        <v>3</v>
      </c>
      <c r="AH48" s="21" t="str">
        <f>[2]底表!BU48</f>
        <v>少3起</v>
      </c>
      <c r="AI48" s="21" t="str">
        <f>[2]底表!BV48</f>
        <v/>
      </c>
      <c r="AJ48" s="21" t="str">
        <f>[2]底表!BW48</f>
        <v/>
      </c>
      <c r="AK48" s="21" t="str">
        <f>[2]底表!BX48</f>
        <v/>
      </c>
      <c r="AL48" s="21" t="str">
        <f>[2]底表!BY48</f>
        <v/>
      </c>
      <c r="AM48" s="21">
        <f>[2]底表!BZ48</f>
        <v>0</v>
      </c>
      <c r="AN48" s="21">
        <f>[2]底表!CA48</f>
        <v>0</v>
      </c>
      <c r="AO48" s="21" t="str">
        <f>[2]底表!CB48</f>
        <v>持平</v>
      </c>
      <c r="AP48" s="21">
        <f>[2]底表!CC48</f>
        <v>0</v>
      </c>
      <c r="AQ48" s="21" t="str">
        <f>[2]底表!CD48</f>
        <v>持平</v>
      </c>
      <c r="AR48" s="21" t="str">
        <f>[2]底表!CE48</f>
        <v/>
      </c>
      <c r="AS48" s="21" t="str">
        <f>[2]底表!CF48</f>
        <v/>
      </c>
      <c r="AT48" s="21">
        <f>[2]底表!CG48</f>
        <v>2</v>
      </c>
      <c r="AU48" s="21">
        <f>[2]底表!CH48</f>
        <v>3</v>
      </c>
      <c r="AV48" s="21">
        <f>[2]底表!CI48</f>
        <v>-0.3333</v>
      </c>
      <c r="AW48" s="21">
        <f>[2]底表!CJ48</f>
        <v>34</v>
      </c>
      <c r="AX48" s="21">
        <f>[2]底表!CK48</f>
        <v>-0.9412</v>
      </c>
      <c r="AY48" s="21" t="str">
        <f>[2]底表!CL48</f>
        <v/>
      </c>
      <c r="AZ48" s="21" t="str">
        <f>[2]底表!CM48</f>
        <v/>
      </c>
      <c r="BA48" s="21" t="str">
        <f>[2]底表!CN48</f>
        <v/>
      </c>
      <c r="BB48" s="21">
        <f>[2]底表!CO48</f>
        <v>12</v>
      </c>
      <c r="BC48" s="21">
        <f>[2]底表!CP48</f>
        <v>0</v>
      </c>
      <c r="BD48" s="21" t="str">
        <f>[2]底表!CQ48</f>
        <v>多12人</v>
      </c>
      <c r="BE48" s="21">
        <f>[2]底表!CR48</f>
        <v>5</v>
      </c>
      <c r="BF48" s="21">
        <f>[2]底表!CS48</f>
        <v>1.4</v>
      </c>
      <c r="BG48" s="21">
        <f>[2]底表!CT48</f>
        <v>6</v>
      </c>
      <c r="BH48" s="21">
        <f>[2]底表!CU48</f>
        <v>6</v>
      </c>
      <c r="BI48" s="21" t="str">
        <f>[2]底表!CV48</f>
        <v/>
      </c>
      <c r="BJ48" s="21" t="str">
        <f>[2]底表!CW48</f>
        <v/>
      </c>
      <c r="BK48" s="21" t="str">
        <f>[2]底表!CX48</f>
        <v/>
      </c>
      <c r="BL48" s="21">
        <f>[2]底表!CY48</f>
        <v>12</v>
      </c>
      <c r="BM48" s="21">
        <f>[2]底表!CZ48</f>
        <v>0</v>
      </c>
      <c r="BN48" s="23" t="str">
        <f>[2]底表!DA48</f>
        <v>多12人</v>
      </c>
      <c r="BO48" s="21">
        <f>[2]底表!DB48</f>
        <v>5</v>
      </c>
      <c r="BP48" s="21">
        <f>[2]底表!DC48</f>
        <v>1.4</v>
      </c>
      <c r="BQ48" s="21">
        <f>[2]底表!DD48</f>
        <v>6</v>
      </c>
      <c r="BR48" s="21">
        <f>[2]底表!DE48</f>
        <v>6</v>
      </c>
      <c r="BS48" s="21" t="str">
        <f>[2]底表!DF48</f>
        <v/>
      </c>
      <c r="BT48" s="21" t="str">
        <f>[2]底表!DG48</f>
        <v/>
      </c>
      <c r="BU48" s="21" t="str">
        <f>[2]底表!DH48</f>
        <v/>
      </c>
      <c r="BV48" s="21">
        <f>[2]底表!DI48</f>
        <v>0</v>
      </c>
      <c r="BW48" s="21">
        <f>[2]底表!DJ48</f>
        <v>0</v>
      </c>
      <c r="BX48" s="23" t="str">
        <f>[2]底表!DK48</f>
        <v>持平</v>
      </c>
      <c r="BY48" s="21">
        <f>[2]底表!DL48</f>
        <v>0</v>
      </c>
      <c r="BZ48" s="21" t="str">
        <f>[2]底表!DM48</f>
        <v>持平</v>
      </c>
      <c r="CA48" s="21">
        <f>[2]底表!DN48</f>
        <v>5</v>
      </c>
      <c r="CB48" s="21">
        <f>[2]底表!DO48</f>
        <v>0</v>
      </c>
      <c r="CC48" s="21" t="str">
        <f>[2]底表!DP48</f>
        <v>多5人</v>
      </c>
      <c r="CD48" s="21">
        <f>[2]底表!DQ48</f>
        <v>0</v>
      </c>
      <c r="CE48" s="21" t="str">
        <f>[2]底表!DR48</f>
        <v>多5人</v>
      </c>
      <c r="CF48" s="21">
        <f>[2]底表!DS48</f>
        <v>5</v>
      </c>
      <c r="CG48" s="21">
        <f>[2]底表!DT48</f>
        <v>0</v>
      </c>
      <c r="CH48" s="21" t="str">
        <f>[2]底表!DU48</f>
        <v>多5人</v>
      </c>
      <c r="CI48" s="21">
        <f>[2]底表!DV48</f>
        <v>0</v>
      </c>
      <c r="CJ48" s="21" t="str">
        <f>[2]底表!DW48</f>
        <v>多5人</v>
      </c>
      <c r="CK48" s="21">
        <f>[2]底表!DX48</f>
        <v>10</v>
      </c>
      <c r="CL48" s="21">
        <f>[2]底表!DY48</f>
        <v>1</v>
      </c>
      <c r="CM48" s="21">
        <f>[2]底表!DZ48</f>
        <v>9</v>
      </c>
      <c r="CN48" s="21">
        <f>[2]底表!EA48</f>
        <v>3</v>
      </c>
      <c r="CO48" s="21">
        <f>[2]底表!EB48</f>
        <v>2.3333</v>
      </c>
      <c r="CP48" s="21">
        <f>[2]底表!EC48</f>
        <v>8</v>
      </c>
      <c r="CQ48" s="21">
        <f>[2]底表!ED48</f>
        <v>0</v>
      </c>
      <c r="CR48" s="21" t="str">
        <f>[2]底表!EE48</f>
        <v>多8人</v>
      </c>
      <c r="CS48" s="21">
        <f>[2]底表!EF48</f>
        <v>3</v>
      </c>
      <c r="CT48" s="21">
        <f>[2]底表!EG48</f>
        <v>1.6667</v>
      </c>
      <c r="CU48" s="21">
        <f>[2]底表!EH48</f>
        <v>0.6667</v>
      </c>
      <c r="CV48" s="21" t="str">
        <f>[2]底表!EI48</f>
        <v/>
      </c>
      <c r="CW48" s="21" t="str">
        <f>[2]底表!EJ48</f>
        <v/>
      </c>
      <c r="CX48" s="21" t="str">
        <f>[2]底表!EK48</f>
        <v/>
      </c>
      <c r="CY48" s="21" t="str">
        <f>[2]底表!EL48</f>
        <v/>
      </c>
      <c r="CZ48" s="21">
        <f>[2]底表!EM48</f>
        <v>8</v>
      </c>
      <c r="DA48" s="21">
        <f>[2]底表!EN48</f>
        <v>0</v>
      </c>
      <c r="DB48" s="21" t="str">
        <f>[2]底表!EO48</f>
        <v>多8人</v>
      </c>
      <c r="DC48" s="21">
        <f>[2]底表!EP48</f>
        <v>3</v>
      </c>
      <c r="DD48" s="21">
        <f>[2]底表!EQ48</f>
        <v>1.6667</v>
      </c>
      <c r="DE48" s="21">
        <f>[2]底表!ER48</f>
        <v>0</v>
      </c>
      <c r="DF48" s="21">
        <f>[2]底表!ES48</f>
        <v>2</v>
      </c>
      <c r="DG48" s="23" t="str">
        <f>[2]底表!ET48</f>
        <v>少2人</v>
      </c>
      <c r="DH48" s="21">
        <f>[2]底表!EU48</f>
        <v>7</v>
      </c>
      <c r="DI48" s="21" t="str">
        <f>[2]底表!EV48</f>
        <v>少7人</v>
      </c>
      <c r="DJ48" s="21">
        <f>[2]底表!EW48</f>
        <v>0</v>
      </c>
      <c r="DK48" s="21" t="str">
        <f>[2]底表!EX48</f>
        <v/>
      </c>
      <c r="DL48" s="21" t="str">
        <f>[2]底表!EY48</f>
        <v/>
      </c>
      <c r="DM48" s="21" t="str">
        <f>[2]底表!EZ48</f>
        <v/>
      </c>
      <c r="DN48" s="21" t="str">
        <f>[2]底表!FA48</f>
        <v/>
      </c>
      <c r="DO48" s="21">
        <f>[2]底表!BQ48</f>
        <v>0</v>
      </c>
      <c r="DP48" s="21">
        <f>[2]底表!BR48</f>
        <v>1</v>
      </c>
      <c r="DQ48" s="24" t="str">
        <f>[2]底表!BS48</f>
        <v>少1起</v>
      </c>
    </row>
    <row r="49" s="2" customFormat="1" ht="32" hidden="1" customHeight="1" spans="1:121">
      <c r="A49" s="27" t="str">
        <f>[2]底表!A49</f>
        <v>涉黄</v>
      </c>
      <c r="B49" s="28" t="str">
        <f>[2]底表!B49</f>
        <v>云安区</v>
      </c>
      <c r="C49" s="21">
        <f>[2]底表!AM49</f>
        <v>0</v>
      </c>
      <c r="D49" s="21">
        <f>[2]底表!AN49</f>
        <v>0</v>
      </c>
      <c r="E49" s="23" t="str">
        <f>[2]底表!AO49</f>
        <v>持平</v>
      </c>
      <c r="F49" s="21">
        <f>[2]底表!AP49</f>
        <v>0</v>
      </c>
      <c r="G49" s="21" t="str">
        <f>[2]底表!AQ49</f>
        <v>持平</v>
      </c>
      <c r="H49" s="21" t="str">
        <f>[2]底表!AR49</f>
        <v/>
      </c>
      <c r="I49" s="21" t="str">
        <f>[2]底表!AS49</f>
        <v/>
      </c>
      <c r="J49" s="21">
        <f>[2]底表!AT49</f>
        <v>0</v>
      </c>
      <c r="K49" s="21">
        <f>[2]底表!AU49</f>
        <v>0</v>
      </c>
      <c r="L49" s="21" t="str">
        <f>[2]底表!AV49</f>
        <v>持平</v>
      </c>
      <c r="M49" s="21">
        <f>[2]底表!AW49</f>
        <v>0</v>
      </c>
      <c r="N49" s="21" t="str">
        <f>[2]底表!AX49</f>
        <v>持平</v>
      </c>
      <c r="O49" s="21">
        <f>[2]底表!AY49</f>
        <v>0</v>
      </c>
      <c r="P49" s="21">
        <f>[2]底表!AZ49</f>
        <v>0</v>
      </c>
      <c r="Q49" s="21" t="str">
        <f>[2]底表!BA49</f>
        <v>持平</v>
      </c>
      <c r="R49" s="21">
        <f>[2]底表!BB49</f>
        <v>0</v>
      </c>
      <c r="S49" s="21" t="str">
        <f>[2]底表!BC49</f>
        <v>持平</v>
      </c>
      <c r="T49" s="21" t="str">
        <f>[2]底表!BD49</f>
        <v/>
      </c>
      <c r="U49" s="21" t="str">
        <f>[2]底表!BE49</f>
        <v/>
      </c>
      <c r="V49" s="21">
        <f>[2]底表!BF49</f>
        <v>0</v>
      </c>
      <c r="W49" s="21">
        <f>[2]底表!BG49</f>
        <v>0</v>
      </c>
      <c r="X49" s="21" t="str">
        <f>[2]底表!BH49</f>
        <v>持平</v>
      </c>
      <c r="Y49" s="21">
        <f>[2]底表!BI49</f>
        <v>0</v>
      </c>
      <c r="Z49" s="21" t="str">
        <f>[2]底表!BJ49</f>
        <v>持平</v>
      </c>
      <c r="AA49" s="21" t="str">
        <f>[2]底表!BK49</f>
        <v/>
      </c>
      <c r="AB49" s="21">
        <f>[2]底表!BL49</f>
        <v>0</v>
      </c>
      <c r="AC49" s="21">
        <f>[2]底表!BM49</f>
        <v>0</v>
      </c>
      <c r="AD49" s="21" t="str">
        <f>[2]底表!BN49</f>
        <v>持平</v>
      </c>
      <c r="AE49" s="21">
        <f>[2]底表!BO49</f>
        <v>0</v>
      </c>
      <c r="AF49" s="21" t="str">
        <f>[2]底表!BP49</f>
        <v>持平</v>
      </c>
      <c r="AG49" s="21">
        <f>[2]底表!BT49</f>
        <v>0</v>
      </c>
      <c r="AH49" s="21" t="str">
        <f>[2]底表!BU49</f>
        <v>持平</v>
      </c>
      <c r="AI49" s="21" t="str">
        <f>[2]底表!BV49</f>
        <v/>
      </c>
      <c r="AJ49" s="21" t="str">
        <f>[2]底表!BW49</f>
        <v/>
      </c>
      <c r="AK49" s="21" t="str">
        <f>[2]底表!BX49</f>
        <v/>
      </c>
      <c r="AL49" s="21" t="str">
        <f>[2]底表!BY49</f>
        <v/>
      </c>
      <c r="AM49" s="21">
        <f>[2]底表!BZ49</f>
        <v>0</v>
      </c>
      <c r="AN49" s="21">
        <f>[2]底表!CA49</f>
        <v>0</v>
      </c>
      <c r="AO49" s="21" t="str">
        <f>[2]底表!CB49</f>
        <v>持平</v>
      </c>
      <c r="AP49" s="21">
        <f>[2]底表!CC49</f>
        <v>0</v>
      </c>
      <c r="AQ49" s="21" t="str">
        <f>[2]底表!CD49</f>
        <v>持平</v>
      </c>
      <c r="AR49" s="21" t="str">
        <f>[2]底表!CE49</f>
        <v/>
      </c>
      <c r="AS49" s="21" t="str">
        <f>[2]底表!CF49</f>
        <v/>
      </c>
      <c r="AT49" s="21">
        <f>[2]底表!CG49</f>
        <v>0</v>
      </c>
      <c r="AU49" s="21">
        <f>[2]底表!CH49</f>
        <v>0</v>
      </c>
      <c r="AV49" s="21" t="str">
        <f>[2]底表!CI49</f>
        <v>持平</v>
      </c>
      <c r="AW49" s="21">
        <f>[2]底表!CJ49</f>
        <v>0</v>
      </c>
      <c r="AX49" s="21" t="str">
        <f>[2]底表!CK49</f>
        <v>持平</v>
      </c>
      <c r="AY49" s="21" t="str">
        <f>[2]底表!CL49</f>
        <v/>
      </c>
      <c r="AZ49" s="21" t="str">
        <f>[2]底表!CM49</f>
        <v/>
      </c>
      <c r="BA49" s="21" t="str">
        <f>[2]底表!CN49</f>
        <v/>
      </c>
      <c r="BB49" s="21">
        <f>[2]底表!CO49</f>
        <v>0</v>
      </c>
      <c r="BC49" s="21">
        <f>[2]底表!CP49</f>
        <v>0</v>
      </c>
      <c r="BD49" s="21" t="str">
        <f>[2]底表!CQ49</f>
        <v>持平</v>
      </c>
      <c r="BE49" s="21">
        <f>[2]底表!CR49</f>
        <v>0</v>
      </c>
      <c r="BF49" s="21" t="str">
        <f>[2]底表!CS49</f>
        <v>持平</v>
      </c>
      <c r="BG49" s="21" t="str">
        <f>[2]底表!CT49</f>
        <v/>
      </c>
      <c r="BH49" s="21" t="str">
        <f>[2]底表!CU49</f>
        <v/>
      </c>
      <c r="BI49" s="21" t="str">
        <f>[2]底表!CV49</f>
        <v/>
      </c>
      <c r="BJ49" s="21" t="str">
        <f>[2]底表!CW49</f>
        <v/>
      </c>
      <c r="BK49" s="21" t="str">
        <f>[2]底表!CX49</f>
        <v/>
      </c>
      <c r="BL49" s="21">
        <f>[2]底表!CY49</f>
        <v>0</v>
      </c>
      <c r="BM49" s="21">
        <f>[2]底表!CZ49</f>
        <v>0</v>
      </c>
      <c r="BN49" s="23" t="str">
        <f>[2]底表!DA49</f>
        <v>持平</v>
      </c>
      <c r="BO49" s="21">
        <f>[2]底表!DB49</f>
        <v>0</v>
      </c>
      <c r="BP49" s="21" t="str">
        <f>[2]底表!DC49</f>
        <v>持平</v>
      </c>
      <c r="BQ49" s="21" t="str">
        <f>[2]底表!DD49</f>
        <v/>
      </c>
      <c r="BR49" s="21" t="str">
        <f>[2]底表!DE49</f>
        <v/>
      </c>
      <c r="BS49" s="21" t="str">
        <f>[2]底表!DF49</f>
        <v/>
      </c>
      <c r="BT49" s="21" t="str">
        <f>[2]底表!DG49</f>
        <v/>
      </c>
      <c r="BU49" s="21" t="str">
        <f>[2]底表!DH49</f>
        <v/>
      </c>
      <c r="BV49" s="21">
        <f>[2]底表!DI49</f>
        <v>0</v>
      </c>
      <c r="BW49" s="21">
        <f>[2]底表!DJ49</f>
        <v>0</v>
      </c>
      <c r="BX49" s="23" t="str">
        <f>[2]底表!DK49</f>
        <v>持平</v>
      </c>
      <c r="BY49" s="21">
        <f>[2]底表!DL49</f>
        <v>0</v>
      </c>
      <c r="BZ49" s="21" t="str">
        <f>[2]底表!DM49</f>
        <v>持平</v>
      </c>
      <c r="CA49" s="21">
        <f>[2]底表!DN49</f>
        <v>0</v>
      </c>
      <c r="CB49" s="21">
        <f>[2]底表!DO49</f>
        <v>0</v>
      </c>
      <c r="CC49" s="21" t="str">
        <f>[2]底表!DP49</f>
        <v>持平</v>
      </c>
      <c r="CD49" s="21">
        <f>[2]底表!DQ49</f>
        <v>0</v>
      </c>
      <c r="CE49" s="21" t="str">
        <f>[2]底表!DR49</f>
        <v>持平</v>
      </c>
      <c r="CF49" s="21">
        <f>[2]底表!DS49</f>
        <v>0</v>
      </c>
      <c r="CG49" s="21">
        <f>[2]底表!DT49</f>
        <v>0</v>
      </c>
      <c r="CH49" s="21" t="str">
        <f>[2]底表!DU49</f>
        <v>持平</v>
      </c>
      <c r="CI49" s="21">
        <f>[2]底表!DV49</f>
        <v>0</v>
      </c>
      <c r="CJ49" s="21" t="str">
        <f>[2]底表!DW49</f>
        <v>持平</v>
      </c>
      <c r="CK49" s="21">
        <f>[2]底表!DX49</f>
        <v>0</v>
      </c>
      <c r="CL49" s="21">
        <f>[2]底表!DY49</f>
        <v>0</v>
      </c>
      <c r="CM49" s="21" t="str">
        <f>[2]底表!DZ49</f>
        <v>持平</v>
      </c>
      <c r="CN49" s="21">
        <f>[2]底表!EA49</f>
        <v>0</v>
      </c>
      <c r="CO49" s="21" t="str">
        <f>[2]底表!EB49</f>
        <v>持平</v>
      </c>
      <c r="CP49" s="21">
        <f>[2]底表!EC49</f>
        <v>0</v>
      </c>
      <c r="CQ49" s="21">
        <f>[2]底表!ED49</f>
        <v>0</v>
      </c>
      <c r="CR49" s="21" t="str">
        <f>[2]底表!EE49</f>
        <v>持平</v>
      </c>
      <c r="CS49" s="21">
        <f>[2]底表!EF49</f>
        <v>0</v>
      </c>
      <c r="CT49" s="21" t="str">
        <f>[2]底表!EG49</f>
        <v>持平</v>
      </c>
      <c r="CU49" s="21" t="str">
        <f>[2]底表!EH49</f>
        <v/>
      </c>
      <c r="CV49" s="21" t="str">
        <f>[2]底表!EI49</f>
        <v/>
      </c>
      <c r="CW49" s="21" t="str">
        <f>[2]底表!EJ49</f>
        <v/>
      </c>
      <c r="CX49" s="21" t="str">
        <f>[2]底表!EK49</f>
        <v/>
      </c>
      <c r="CY49" s="21" t="str">
        <f>[2]底表!EL49</f>
        <v/>
      </c>
      <c r="CZ49" s="21">
        <f>[2]底表!EM49</f>
        <v>0</v>
      </c>
      <c r="DA49" s="21">
        <f>[2]底表!EN49</f>
        <v>0</v>
      </c>
      <c r="DB49" s="21" t="str">
        <f>[2]底表!EO49</f>
        <v>持平</v>
      </c>
      <c r="DC49" s="21">
        <f>[2]底表!EP49</f>
        <v>0</v>
      </c>
      <c r="DD49" s="21" t="str">
        <f>[2]底表!EQ49</f>
        <v>持平</v>
      </c>
      <c r="DE49" s="21">
        <f>[2]底表!ER49</f>
        <v>0</v>
      </c>
      <c r="DF49" s="21">
        <f>[2]底表!ES49</f>
        <v>0</v>
      </c>
      <c r="DG49" s="23" t="str">
        <f>[2]底表!ET49</f>
        <v>持平</v>
      </c>
      <c r="DH49" s="21">
        <f>[2]底表!EU49</f>
        <v>0</v>
      </c>
      <c r="DI49" s="21" t="str">
        <f>[2]底表!EV49</f>
        <v>持平</v>
      </c>
      <c r="DJ49" s="21" t="str">
        <f>[2]底表!EW49</f>
        <v/>
      </c>
      <c r="DK49" s="21" t="str">
        <f>[2]底表!EX49</f>
        <v/>
      </c>
      <c r="DL49" s="21" t="str">
        <f>[2]底表!EY49</f>
        <v/>
      </c>
      <c r="DM49" s="21" t="str">
        <f>[2]底表!EZ49</f>
        <v/>
      </c>
      <c r="DN49" s="21" t="str">
        <f>[2]底表!FA49</f>
        <v/>
      </c>
      <c r="DO49" s="21">
        <f>[2]底表!BQ49</f>
        <v>0</v>
      </c>
      <c r="DP49" s="21">
        <f>[2]底表!BR49</f>
        <v>0</v>
      </c>
      <c r="DQ49" s="24" t="str">
        <f>[2]底表!BS49</f>
        <v>持平</v>
      </c>
    </row>
    <row r="50" s="2" customFormat="1" ht="32" hidden="1" customHeight="1" spans="1:121">
      <c r="A50" s="27" t="str">
        <f>[2]底表!A50</f>
        <v>涉黄</v>
      </c>
      <c r="B50" s="28" t="str">
        <f>[2]底表!B50</f>
        <v>新兴县</v>
      </c>
      <c r="C50" s="21">
        <f>[2]底表!AM50</f>
        <v>0</v>
      </c>
      <c r="D50" s="21">
        <f>[2]底表!AN50</f>
        <v>1</v>
      </c>
      <c r="E50" s="23" t="str">
        <f>[2]底表!AO50</f>
        <v>少1起</v>
      </c>
      <c r="F50" s="21">
        <f>[2]底表!AP50</f>
        <v>0</v>
      </c>
      <c r="G50" s="21" t="str">
        <f>[2]底表!AQ50</f>
        <v>持平</v>
      </c>
      <c r="H50" s="21" t="str">
        <f>[2]底表!AR50</f>
        <v/>
      </c>
      <c r="I50" s="21" t="str">
        <f>[2]底表!AS50</f>
        <v/>
      </c>
      <c r="J50" s="21">
        <f>[2]底表!AT50</f>
        <v>0</v>
      </c>
      <c r="K50" s="21">
        <f>[2]底表!AU50</f>
        <v>2</v>
      </c>
      <c r="L50" s="21" t="str">
        <f>[2]底表!AV50</f>
        <v>少2起</v>
      </c>
      <c r="M50" s="21">
        <f>[2]底表!AW50</f>
        <v>0</v>
      </c>
      <c r="N50" s="21" t="str">
        <f>[2]底表!AX50</f>
        <v>持平</v>
      </c>
      <c r="O50" s="21">
        <f>[2]底表!AY50</f>
        <v>0</v>
      </c>
      <c r="P50" s="21">
        <f>[2]底表!AZ50</f>
        <v>1</v>
      </c>
      <c r="Q50" s="21" t="str">
        <f>[2]底表!BA50</f>
        <v>少1起</v>
      </c>
      <c r="R50" s="21">
        <f>[2]底表!BB50</f>
        <v>0</v>
      </c>
      <c r="S50" s="21" t="str">
        <f>[2]底表!BC50</f>
        <v>持平</v>
      </c>
      <c r="T50" s="21" t="str">
        <f>[2]底表!BD50</f>
        <v/>
      </c>
      <c r="U50" s="21" t="str">
        <f>[2]底表!BE50</f>
        <v/>
      </c>
      <c r="V50" s="21">
        <f>[2]底表!BF50</f>
        <v>0</v>
      </c>
      <c r="W50" s="21">
        <f>[2]底表!BG50</f>
        <v>0</v>
      </c>
      <c r="X50" s="21" t="str">
        <f>[2]底表!BH50</f>
        <v>持平</v>
      </c>
      <c r="Y50" s="21">
        <f>[2]底表!BI50</f>
        <v>0</v>
      </c>
      <c r="Z50" s="21" t="str">
        <f>[2]底表!BJ50</f>
        <v>持平</v>
      </c>
      <c r="AA50" s="21" t="str">
        <f>[2]底表!BK50</f>
        <v/>
      </c>
      <c r="AB50" s="21">
        <f>[2]底表!BL50</f>
        <v>0</v>
      </c>
      <c r="AC50" s="21">
        <f>[2]底表!BM50</f>
        <v>0</v>
      </c>
      <c r="AD50" s="21" t="str">
        <f>[2]底表!BN50</f>
        <v>持平</v>
      </c>
      <c r="AE50" s="21">
        <f>[2]底表!BO50</f>
        <v>0</v>
      </c>
      <c r="AF50" s="21" t="str">
        <f>[2]底表!BP50</f>
        <v>持平</v>
      </c>
      <c r="AG50" s="21">
        <f>[2]底表!BT50</f>
        <v>0</v>
      </c>
      <c r="AH50" s="21" t="str">
        <f>[2]底表!BU50</f>
        <v>持平</v>
      </c>
      <c r="AI50" s="21" t="str">
        <f>[2]底表!BV50</f>
        <v/>
      </c>
      <c r="AJ50" s="21" t="str">
        <f>[2]底表!BW50</f>
        <v/>
      </c>
      <c r="AK50" s="21" t="str">
        <f>[2]底表!BX50</f>
        <v/>
      </c>
      <c r="AL50" s="21" t="str">
        <f>[2]底表!BY50</f>
        <v/>
      </c>
      <c r="AM50" s="21">
        <f>[2]底表!BZ50</f>
        <v>0</v>
      </c>
      <c r="AN50" s="21">
        <f>[2]底表!CA50</f>
        <v>0</v>
      </c>
      <c r="AO50" s="21" t="str">
        <f>[2]底表!CB50</f>
        <v>持平</v>
      </c>
      <c r="AP50" s="21">
        <f>[2]底表!CC50</f>
        <v>0</v>
      </c>
      <c r="AQ50" s="21" t="str">
        <f>[2]底表!CD50</f>
        <v>持平</v>
      </c>
      <c r="AR50" s="21" t="str">
        <f>[2]底表!CE50</f>
        <v/>
      </c>
      <c r="AS50" s="21" t="str">
        <f>[2]底表!CF50</f>
        <v/>
      </c>
      <c r="AT50" s="21">
        <f>[2]底表!CG50</f>
        <v>0</v>
      </c>
      <c r="AU50" s="21">
        <f>[2]底表!CH50</f>
        <v>1</v>
      </c>
      <c r="AV50" s="21" t="str">
        <f>[2]底表!CI50</f>
        <v>少1人</v>
      </c>
      <c r="AW50" s="21">
        <f>[2]底表!CJ50</f>
        <v>0</v>
      </c>
      <c r="AX50" s="21" t="str">
        <f>[2]底表!CK50</f>
        <v>持平</v>
      </c>
      <c r="AY50" s="21" t="str">
        <f>[2]底表!CL50</f>
        <v/>
      </c>
      <c r="AZ50" s="21" t="str">
        <f>[2]底表!CM50</f>
        <v/>
      </c>
      <c r="BA50" s="21" t="str">
        <f>[2]底表!CN50</f>
        <v/>
      </c>
      <c r="BB50" s="21">
        <f>[2]底表!CO50</f>
        <v>0</v>
      </c>
      <c r="BC50" s="21">
        <f>[2]底表!CP50</f>
        <v>3</v>
      </c>
      <c r="BD50" s="21" t="str">
        <f>[2]底表!CQ50</f>
        <v>少3人</v>
      </c>
      <c r="BE50" s="21">
        <f>[2]底表!CR50</f>
        <v>0</v>
      </c>
      <c r="BF50" s="21" t="str">
        <f>[2]底表!CS50</f>
        <v>持平</v>
      </c>
      <c r="BG50" s="21" t="str">
        <f>[2]底表!CT50</f>
        <v/>
      </c>
      <c r="BH50" s="21" t="str">
        <f>[2]底表!CU50</f>
        <v/>
      </c>
      <c r="BI50" s="21" t="str">
        <f>[2]底表!CV50</f>
        <v/>
      </c>
      <c r="BJ50" s="21" t="str">
        <f>[2]底表!CW50</f>
        <v/>
      </c>
      <c r="BK50" s="21" t="str">
        <f>[2]底表!CX50</f>
        <v/>
      </c>
      <c r="BL50" s="21">
        <f>[2]底表!CY50</f>
        <v>0</v>
      </c>
      <c r="BM50" s="21">
        <f>[2]底表!CZ50</f>
        <v>3</v>
      </c>
      <c r="BN50" s="23" t="str">
        <f>[2]底表!DA50</f>
        <v>少3人</v>
      </c>
      <c r="BO50" s="21">
        <f>[2]底表!DB50</f>
        <v>0</v>
      </c>
      <c r="BP50" s="21" t="str">
        <f>[2]底表!DC50</f>
        <v>持平</v>
      </c>
      <c r="BQ50" s="21" t="str">
        <f>[2]底表!DD50</f>
        <v/>
      </c>
      <c r="BR50" s="21" t="str">
        <f>[2]底表!DE50</f>
        <v/>
      </c>
      <c r="BS50" s="21" t="str">
        <f>[2]底表!DF50</f>
        <v/>
      </c>
      <c r="BT50" s="21" t="str">
        <f>[2]底表!DG50</f>
        <v/>
      </c>
      <c r="BU50" s="21" t="str">
        <f>[2]底表!DH50</f>
        <v/>
      </c>
      <c r="BV50" s="21">
        <f>[2]底表!DI50</f>
        <v>0</v>
      </c>
      <c r="BW50" s="21">
        <f>[2]底表!DJ50</f>
        <v>3</v>
      </c>
      <c r="BX50" s="23" t="str">
        <f>[2]底表!DK50</f>
        <v>少3人</v>
      </c>
      <c r="BY50" s="21">
        <f>[2]底表!DL50</f>
        <v>0</v>
      </c>
      <c r="BZ50" s="21" t="str">
        <f>[2]底表!DM50</f>
        <v>持平</v>
      </c>
      <c r="CA50" s="21">
        <f>[2]底表!DN50</f>
        <v>0</v>
      </c>
      <c r="CB50" s="21">
        <f>[2]底表!DO50</f>
        <v>1</v>
      </c>
      <c r="CC50" s="21" t="str">
        <f>[2]底表!DP50</f>
        <v>少1人</v>
      </c>
      <c r="CD50" s="21">
        <f>[2]底表!DQ50</f>
        <v>0</v>
      </c>
      <c r="CE50" s="21" t="str">
        <f>[2]底表!DR50</f>
        <v>持平</v>
      </c>
      <c r="CF50" s="21">
        <f>[2]底表!DS50</f>
        <v>0</v>
      </c>
      <c r="CG50" s="21">
        <f>[2]底表!DT50</f>
        <v>1</v>
      </c>
      <c r="CH50" s="21" t="str">
        <f>[2]底表!DU50</f>
        <v>少1人</v>
      </c>
      <c r="CI50" s="21">
        <f>[2]底表!DV50</f>
        <v>0</v>
      </c>
      <c r="CJ50" s="21" t="str">
        <f>[2]底表!DW50</f>
        <v>持平</v>
      </c>
      <c r="CK50" s="21">
        <f>[2]底表!DX50</f>
        <v>0</v>
      </c>
      <c r="CL50" s="21">
        <f>[2]底表!DY50</f>
        <v>3</v>
      </c>
      <c r="CM50" s="21" t="str">
        <f>[2]底表!DZ50</f>
        <v>少3人</v>
      </c>
      <c r="CN50" s="21">
        <f>[2]底表!EA50</f>
        <v>0</v>
      </c>
      <c r="CO50" s="21" t="str">
        <f>[2]底表!EB50</f>
        <v>持平</v>
      </c>
      <c r="CP50" s="21">
        <f>[2]底表!EC50</f>
        <v>0</v>
      </c>
      <c r="CQ50" s="21">
        <f>[2]底表!ED50</f>
        <v>1</v>
      </c>
      <c r="CR50" s="21" t="str">
        <f>[2]底表!EE50</f>
        <v>少1人</v>
      </c>
      <c r="CS50" s="21">
        <f>[2]底表!EF50</f>
        <v>0</v>
      </c>
      <c r="CT50" s="21" t="str">
        <f>[2]底表!EG50</f>
        <v>持平</v>
      </c>
      <c r="CU50" s="21" t="str">
        <f>[2]底表!EH50</f>
        <v/>
      </c>
      <c r="CV50" s="21" t="str">
        <f>[2]底表!EI50</f>
        <v/>
      </c>
      <c r="CW50" s="21" t="str">
        <f>[2]底表!EJ50</f>
        <v/>
      </c>
      <c r="CX50" s="21" t="str">
        <f>[2]底表!EK50</f>
        <v/>
      </c>
      <c r="CY50" s="21" t="str">
        <f>[2]底表!EL50</f>
        <v/>
      </c>
      <c r="CZ50" s="21">
        <f>[2]底表!EM50</f>
        <v>0</v>
      </c>
      <c r="DA50" s="21">
        <f>[2]底表!EN50</f>
        <v>1</v>
      </c>
      <c r="DB50" s="21" t="str">
        <f>[2]底表!EO50</f>
        <v>少1人</v>
      </c>
      <c r="DC50" s="21">
        <f>[2]底表!EP50</f>
        <v>0</v>
      </c>
      <c r="DD50" s="21" t="str">
        <f>[2]底表!EQ50</f>
        <v>持平</v>
      </c>
      <c r="DE50" s="21">
        <f>[2]底表!ER50</f>
        <v>0</v>
      </c>
      <c r="DF50" s="21">
        <f>[2]底表!ES50</f>
        <v>0</v>
      </c>
      <c r="DG50" s="23" t="str">
        <f>[2]底表!ET50</f>
        <v>持平</v>
      </c>
      <c r="DH50" s="21">
        <f>[2]底表!EU50</f>
        <v>0</v>
      </c>
      <c r="DI50" s="21" t="str">
        <f>[2]底表!EV50</f>
        <v>持平</v>
      </c>
      <c r="DJ50" s="21" t="str">
        <f>[2]底表!EW50</f>
        <v/>
      </c>
      <c r="DK50" s="21" t="str">
        <f>[2]底表!EX50</f>
        <v/>
      </c>
      <c r="DL50" s="21" t="str">
        <f>[2]底表!EY50</f>
        <v/>
      </c>
      <c r="DM50" s="21" t="str">
        <f>[2]底表!EZ50</f>
        <v/>
      </c>
      <c r="DN50" s="21" t="str">
        <f>[2]底表!FA50</f>
        <v/>
      </c>
      <c r="DO50" s="21">
        <f>[2]底表!BQ50</f>
        <v>0</v>
      </c>
      <c r="DP50" s="21">
        <f>[2]底表!BR50</f>
        <v>0</v>
      </c>
      <c r="DQ50" s="24" t="str">
        <f>[2]底表!BS50</f>
        <v>持平</v>
      </c>
    </row>
    <row r="51" s="2" customFormat="1" ht="32" hidden="1" customHeight="1" spans="1:121">
      <c r="A51" s="27" t="str">
        <f>[2]底表!A51</f>
        <v>涉黄</v>
      </c>
      <c r="B51" s="28" t="str">
        <f>[2]底表!B51</f>
        <v>郁南县</v>
      </c>
      <c r="C51" s="21">
        <f>[2]底表!AM51</f>
        <v>2</v>
      </c>
      <c r="D51" s="21">
        <f>[2]底表!AN51</f>
        <v>0</v>
      </c>
      <c r="E51" s="23" t="str">
        <f>[2]底表!AO51</f>
        <v>多2起</v>
      </c>
      <c r="F51" s="21">
        <f>[2]底表!AP51</f>
        <v>0</v>
      </c>
      <c r="G51" s="21" t="str">
        <f>[2]底表!AQ51</f>
        <v>多2起</v>
      </c>
      <c r="H51" s="21">
        <f>[2]底表!AR51</f>
        <v>2</v>
      </c>
      <c r="I51" s="21" t="str">
        <f>[2]底表!AS51</f>
        <v/>
      </c>
      <c r="J51" s="21">
        <f>[2]底表!AT51</f>
        <v>1</v>
      </c>
      <c r="K51" s="21">
        <f>[2]底表!AU51</f>
        <v>0</v>
      </c>
      <c r="L51" s="21" t="str">
        <f>[2]底表!AV51</f>
        <v>多1起</v>
      </c>
      <c r="M51" s="21">
        <f>[2]底表!AW51</f>
        <v>1</v>
      </c>
      <c r="N51" s="21">
        <f>[2]底表!AX51</f>
        <v>0</v>
      </c>
      <c r="O51" s="21">
        <f>[2]底表!AY51</f>
        <v>1</v>
      </c>
      <c r="P51" s="21">
        <f>[2]底表!AZ51</f>
        <v>0</v>
      </c>
      <c r="Q51" s="21" t="str">
        <f>[2]底表!BA51</f>
        <v>多1起</v>
      </c>
      <c r="R51" s="21">
        <f>[2]底表!BB51</f>
        <v>0</v>
      </c>
      <c r="S51" s="21" t="str">
        <f>[2]底表!BC51</f>
        <v>多1起</v>
      </c>
      <c r="T51" s="21">
        <f>[2]底表!BD51</f>
        <v>1</v>
      </c>
      <c r="U51" s="21" t="str">
        <f>[2]底表!BE51</f>
        <v/>
      </c>
      <c r="V51" s="21">
        <f>[2]底表!BF51</f>
        <v>0</v>
      </c>
      <c r="W51" s="21">
        <f>[2]底表!BG51</f>
        <v>0</v>
      </c>
      <c r="X51" s="21" t="str">
        <f>[2]底表!BH51</f>
        <v>持平</v>
      </c>
      <c r="Y51" s="21">
        <f>[2]底表!BI51</f>
        <v>0</v>
      </c>
      <c r="Z51" s="21" t="str">
        <f>[2]底表!BJ51</f>
        <v>持平</v>
      </c>
      <c r="AA51" s="21">
        <f>[2]底表!BK51</f>
        <v>0</v>
      </c>
      <c r="AB51" s="21">
        <f>[2]底表!BL51</f>
        <v>1</v>
      </c>
      <c r="AC51" s="21">
        <f>[2]底表!BM51</f>
        <v>0</v>
      </c>
      <c r="AD51" s="21" t="str">
        <f>[2]底表!BN51</f>
        <v>多1起</v>
      </c>
      <c r="AE51" s="21">
        <f>[2]底表!BO51</f>
        <v>0</v>
      </c>
      <c r="AF51" s="21" t="str">
        <f>[2]底表!BP51</f>
        <v>多1起</v>
      </c>
      <c r="AG51" s="21">
        <f>[2]底表!BT51</f>
        <v>0</v>
      </c>
      <c r="AH51" s="21" t="str">
        <f>[2]底表!BU51</f>
        <v>持平</v>
      </c>
      <c r="AI51" s="21">
        <f>[2]底表!BV51</f>
        <v>0</v>
      </c>
      <c r="AJ51" s="21" t="str">
        <f>[2]底表!BW51</f>
        <v/>
      </c>
      <c r="AK51" s="21">
        <f>[2]底表!BX51</f>
        <v>0</v>
      </c>
      <c r="AL51" s="21" t="str">
        <f>[2]底表!BY51</f>
        <v/>
      </c>
      <c r="AM51" s="21">
        <f>[2]底表!BZ51</f>
        <v>0</v>
      </c>
      <c r="AN51" s="21">
        <f>[2]底表!CA51</f>
        <v>0</v>
      </c>
      <c r="AO51" s="21" t="str">
        <f>[2]底表!CB51</f>
        <v>持平</v>
      </c>
      <c r="AP51" s="21">
        <f>[2]底表!CC51</f>
        <v>0</v>
      </c>
      <c r="AQ51" s="21" t="str">
        <f>[2]底表!CD51</f>
        <v>持平</v>
      </c>
      <c r="AR51" s="21" t="str">
        <f>[2]底表!CE51</f>
        <v/>
      </c>
      <c r="AS51" s="21" t="str">
        <f>[2]底表!CF51</f>
        <v/>
      </c>
      <c r="AT51" s="21">
        <f>[2]底表!CG51</f>
        <v>6</v>
      </c>
      <c r="AU51" s="21">
        <f>[2]底表!CH51</f>
        <v>0</v>
      </c>
      <c r="AV51" s="21" t="str">
        <f>[2]底表!CI51</f>
        <v>多6人</v>
      </c>
      <c r="AW51" s="21">
        <f>[2]底表!CJ51</f>
        <v>0</v>
      </c>
      <c r="AX51" s="21" t="str">
        <f>[2]底表!CK51</f>
        <v>多6人</v>
      </c>
      <c r="AY51" s="21">
        <f>[2]底表!CL51</f>
        <v>600</v>
      </c>
      <c r="AZ51" s="21" t="str">
        <f>[2]底表!CM51</f>
        <v/>
      </c>
      <c r="BA51" s="21" t="str">
        <f>[2]底表!CN51</f>
        <v/>
      </c>
      <c r="BB51" s="21">
        <f>[2]底表!CO51</f>
        <v>8</v>
      </c>
      <c r="BC51" s="21">
        <f>[2]底表!CP51</f>
        <v>0</v>
      </c>
      <c r="BD51" s="21" t="str">
        <f>[2]底表!CQ51</f>
        <v>多8人</v>
      </c>
      <c r="BE51" s="21">
        <f>[2]底表!CR51</f>
        <v>0</v>
      </c>
      <c r="BF51" s="21" t="str">
        <f>[2]底表!CS51</f>
        <v>多8人</v>
      </c>
      <c r="BG51" s="21">
        <f>[2]底表!CT51</f>
        <v>1.3333</v>
      </c>
      <c r="BH51" s="21" t="str">
        <f>[2]底表!CU51</f>
        <v/>
      </c>
      <c r="BI51" s="21">
        <f>[2]底表!CV51</f>
        <v>800</v>
      </c>
      <c r="BJ51" s="21" t="str">
        <f>[2]底表!CW51</f>
        <v/>
      </c>
      <c r="BK51" s="21" t="str">
        <f>[2]底表!CX51</f>
        <v/>
      </c>
      <c r="BL51" s="21">
        <f>[2]底表!CY51</f>
        <v>9</v>
      </c>
      <c r="BM51" s="21">
        <f>[2]底表!CZ51</f>
        <v>0</v>
      </c>
      <c r="BN51" s="23" t="str">
        <f>[2]底表!DA51</f>
        <v>多9人</v>
      </c>
      <c r="BO51" s="21">
        <f>[2]底表!DB51</f>
        <v>0</v>
      </c>
      <c r="BP51" s="21" t="str">
        <f>[2]底表!DC51</f>
        <v>多9人</v>
      </c>
      <c r="BQ51" s="21">
        <f>[2]底表!DD51</f>
        <v>1.5</v>
      </c>
      <c r="BR51" s="21" t="str">
        <f>[2]底表!DE51</f>
        <v/>
      </c>
      <c r="BS51" s="21">
        <f>[2]底表!DF51</f>
        <v>900</v>
      </c>
      <c r="BT51" s="21" t="str">
        <f>[2]底表!DG51</f>
        <v/>
      </c>
      <c r="BU51" s="21" t="str">
        <f>[2]底表!DH51</f>
        <v/>
      </c>
      <c r="BV51" s="21">
        <f>[2]底表!DI51</f>
        <v>2</v>
      </c>
      <c r="BW51" s="21">
        <f>[2]底表!DJ51</f>
        <v>0</v>
      </c>
      <c r="BX51" s="23" t="str">
        <f>[2]底表!DK51</f>
        <v>多2人</v>
      </c>
      <c r="BY51" s="21">
        <f>[2]底表!DL51</f>
        <v>0</v>
      </c>
      <c r="BZ51" s="21" t="str">
        <f>[2]底表!DM51</f>
        <v>多2人</v>
      </c>
      <c r="CA51" s="21">
        <f>[2]底表!DN51</f>
        <v>1</v>
      </c>
      <c r="CB51" s="21">
        <f>[2]底表!DO51</f>
        <v>0</v>
      </c>
      <c r="CC51" s="21" t="str">
        <f>[2]底表!DP51</f>
        <v>多1人</v>
      </c>
      <c r="CD51" s="21">
        <f>[2]底表!DQ51</f>
        <v>0</v>
      </c>
      <c r="CE51" s="21" t="str">
        <f>[2]底表!DR51</f>
        <v>多1人</v>
      </c>
      <c r="CF51" s="21">
        <f>[2]底表!DS51</f>
        <v>1</v>
      </c>
      <c r="CG51" s="21">
        <f>[2]底表!DT51</f>
        <v>0</v>
      </c>
      <c r="CH51" s="21" t="str">
        <f>[2]底表!DU51</f>
        <v>多1人</v>
      </c>
      <c r="CI51" s="21">
        <f>[2]底表!DV51</f>
        <v>0</v>
      </c>
      <c r="CJ51" s="21" t="str">
        <f>[2]底表!DW51</f>
        <v>多1人</v>
      </c>
      <c r="CK51" s="21">
        <f>[2]底表!DX51</f>
        <v>3</v>
      </c>
      <c r="CL51" s="21">
        <f>[2]底表!DY51</f>
        <v>0</v>
      </c>
      <c r="CM51" s="21" t="str">
        <f>[2]底表!DZ51</f>
        <v>多3人</v>
      </c>
      <c r="CN51" s="21">
        <f>[2]底表!EA51</f>
        <v>0</v>
      </c>
      <c r="CO51" s="21" t="str">
        <f>[2]底表!EB51</f>
        <v>多3人</v>
      </c>
      <c r="CP51" s="21">
        <f>[2]底表!EC51</f>
        <v>0</v>
      </c>
      <c r="CQ51" s="21">
        <f>[2]底表!ED51</f>
        <v>0</v>
      </c>
      <c r="CR51" s="21" t="str">
        <f>[2]底表!EE51</f>
        <v>持平</v>
      </c>
      <c r="CS51" s="21">
        <f>[2]底表!EF51</f>
        <v>0</v>
      </c>
      <c r="CT51" s="21" t="str">
        <f>[2]底表!EG51</f>
        <v>持平</v>
      </c>
      <c r="CU51" s="21">
        <f>[2]底表!EH51</f>
        <v>0</v>
      </c>
      <c r="CV51" s="21" t="str">
        <f>[2]底表!EI51</f>
        <v/>
      </c>
      <c r="CW51" s="21">
        <f>[2]底表!EJ51</f>
        <v>0</v>
      </c>
      <c r="CX51" s="21" t="str">
        <f>[2]底表!EK51</f>
        <v/>
      </c>
      <c r="CY51" s="21" t="str">
        <f>[2]底表!EL51</f>
        <v/>
      </c>
      <c r="CZ51" s="21">
        <f>[2]底表!EM51</f>
        <v>0</v>
      </c>
      <c r="DA51" s="21">
        <f>[2]底表!EN51</f>
        <v>0</v>
      </c>
      <c r="DB51" s="21" t="str">
        <f>[2]底表!EO51</f>
        <v>持平</v>
      </c>
      <c r="DC51" s="21">
        <f>[2]底表!EP51</f>
        <v>0</v>
      </c>
      <c r="DD51" s="21" t="str">
        <f>[2]底表!EQ51</f>
        <v>持平</v>
      </c>
      <c r="DE51" s="21">
        <f>[2]底表!ER51</f>
        <v>0</v>
      </c>
      <c r="DF51" s="21">
        <f>[2]底表!ES51</f>
        <v>0</v>
      </c>
      <c r="DG51" s="23" t="str">
        <f>[2]底表!ET51</f>
        <v>持平</v>
      </c>
      <c r="DH51" s="21">
        <f>[2]底表!EU51</f>
        <v>0</v>
      </c>
      <c r="DI51" s="21" t="str">
        <f>[2]底表!EV51</f>
        <v>持平</v>
      </c>
      <c r="DJ51" s="21">
        <f>[2]底表!EW51</f>
        <v>0</v>
      </c>
      <c r="DK51" s="21" t="str">
        <f>[2]底表!EX51</f>
        <v/>
      </c>
      <c r="DL51" s="21">
        <f>[2]底表!EY51</f>
        <v>0</v>
      </c>
      <c r="DM51" s="21" t="str">
        <f>[2]底表!EZ51</f>
        <v/>
      </c>
      <c r="DN51" s="21" t="str">
        <f>[2]底表!FA51</f>
        <v/>
      </c>
      <c r="DO51" s="21">
        <f>[2]底表!BQ51</f>
        <v>0</v>
      </c>
      <c r="DP51" s="21">
        <f>[2]底表!BR51</f>
        <v>0</v>
      </c>
      <c r="DQ51" s="24" t="str">
        <f>[2]底表!BS51</f>
        <v>持平</v>
      </c>
    </row>
    <row r="52" s="2" customFormat="1" ht="32" hidden="1" customHeight="1" spans="1:121">
      <c r="A52" s="27" t="str">
        <f>[2]底表!A52</f>
        <v>涉黄</v>
      </c>
      <c r="B52" s="28" t="str">
        <f>[2]底表!B52</f>
        <v>罗定市</v>
      </c>
      <c r="C52" s="21">
        <f>[2]底表!AM52</f>
        <v>0</v>
      </c>
      <c r="D52" s="21">
        <f>[2]底表!AN52</f>
        <v>0</v>
      </c>
      <c r="E52" s="23" t="str">
        <f>[2]底表!AO52</f>
        <v>持平</v>
      </c>
      <c r="F52" s="21">
        <f>[2]底表!AP52</f>
        <v>0</v>
      </c>
      <c r="G52" s="21" t="str">
        <f>[2]底表!AQ52</f>
        <v>持平</v>
      </c>
      <c r="H52" s="21" t="str">
        <f>[2]底表!AR52</f>
        <v/>
      </c>
      <c r="I52" s="21" t="str">
        <f>[2]底表!AS52</f>
        <v/>
      </c>
      <c r="J52" s="21">
        <f>[2]底表!AT52</f>
        <v>0</v>
      </c>
      <c r="K52" s="21">
        <f>[2]底表!AU52</f>
        <v>0</v>
      </c>
      <c r="L52" s="21" t="str">
        <f>[2]底表!AV52</f>
        <v>持平</v>
      </c>
      <c r="M52" s="21">
        <f>[2]底表!AW52</f>
        <v>0</v>
      </c>
      <c r="N52" s="21" t="str">
        <f>[2]底表!AX52</f>
        <v>持平</v>
      </c>
      <c r="O52" s="21">
        <f>[2]底表!AY52</f>
        <v>0</v>
      </c>
      <c r="P52" s="21">
        <f>[2]底表!AZ52</f>
        <v>0</v>
      </c>
      <c r="Q52" s="21" t="str">
        <f>[2]底表!BA52</f>
        <v>持平</v>
      </c>
      <c r="R52" s="21">
        <f>[2]底表!BB52</f>
        <v>0</v>
      </c>
      <c r="S52" s="21" t="str">
        <f>[2]底表!BC52</f>
        <v>持平</v>
      </c>
      <c r="T52" s="21" t="str">
        <f>[2]底表!BD52</f>
        <v/>
      </c>
      <c r="U52" s="21" t="str">
        <f>[2]底表!BE52</f>
        <v/>
      </c>
      <c r="V52" s="21">
        <f>[2]底表!BF52</f>
        <v>0</v>
      </c>
      <c r="W52" s="21">
        <f>[2]底表!BG52</f>
        <v>0</v>
      </c>
      <c r="X52" s="21" t="str">
        <f>[2]底表!BH52</f>
        <v>持平</v>
      </c>
      <c r="Y52" s="21">
        <f>[2]底表!BI52</f>
        <v>0</v>
      </c>
      <c r="Z52" s="21" t="str">
        <f>[2]底表!BJ52</f>
        <v>持平</v>
      </c>
      <c r="AA52" s="21" t="str">
        <f>[2]底表!BK52</f>
        <v/>
      </c>
      <c r="AB52" s="21">
        <f>[2]底表!BL52</f>
        <v>0</v>
      </c>
      <c r="AC52" s="21">
        <f>[2]底表!BM52</f>
        <v>0</v>
      </c>
      <c r="AD52" s="21" t="str">
        <f>[2]底表!BN52</f>
        <v>持平</v>
      </c>
      <c r="AE52" s="21">
        <f>[2]底表!BO52</f>
        <v>0</v>
      </c>
      <c r="AF52" s="21" t="str">
        <f>[2]底表!BP52</f>
        <v>持平</v>
      </c>
      <c r="AG52" s="21">
        <f>[2]底表!BT52</f>
        <v>0</v>
      </c>
      <c r="AH52" s="21" t="str">
        <f>[2]底表!BU52</f>
        <v>持平</v>
      </c>
      <c r="AI52" s="21" t="str">
        <f>[2]底表!BV52</f>
        <v/>
      </c>
      <c r="AJ52" s="21" t="str">
        <f>[2]底表!BW52</f>
        <v/>
      </c>
      <c r="AK52" s="21" t="str">
        <f>[2]底表!BX52</f>
        <v/>
      </c>
      <c r="AL52" s="21" t="str">
        <f>[2]底表!BY52</f>
        <v/>
      </c>
      <c r="AM52" s="21">
        <f>[2]底表!BZ52</f>
        <v>0</v>
      </c>
      <c r="AN52" s="21">
        <f>[2]底表!CA52</f>
        <v>0</v>
      </c>
      <c r="AO52" s="21" t="str">
        <f>[2]底表!CB52</f>
        <v>持平</v>
      </c>
      <c r="AP52" s="21">
        <f>[2]底表!CC52</f>
        <v>0</v>
      </c>
      <c r="AQ52" s="21" t="str">
        <f>[2]底表!CD52</f>
        <v>持平</v>
      </c>
      <c r="AR52" s="21" t="str">
        <f>[2]底表!CE52</f>
        <v/>
      </c>
      <c r="AS52" s="21" t="str">
        <f>[2]底表!CF52</f>
        <v/>
      </c>
      <c r="AT52" s="21">
        <f>[2]底表!CG52</f>
        <v>0</v>
      </c>
      <c r="AU52" s="21">
        <f>[2]底表!CH52</f>
        <v>1</v>
      </c>
      <c r="AV52" s="21" t="str">
        <f>[2]底表!CI52</f>
        <v>少1人</v>
      </c>
      <c r="AW52" s="21">
        <f>[2]底表!CJ52</f>
        <v>0</v>
      </c>
      <c r="AX52" s="21" t="str">
        <f>[2]底表!CK52</f>
        <v>持平</v>
      </c>
      <c r="AY52" s="21" t="str">
        <f>[2]底表!CL52</f>
        <v/>
      </c>
      <c r="AZ52" s="21" t="str">
        <f>[2]底表!CM52</f>
        <v/>
      </c>
      <c r="BA52" s="21" t="str">
        <f>[2]底表!CN52</f>
        <v/>
      </c>
      <c r="BB52" s="21">
        <f>[2]底表!CO52</f>
        <v>0</v>
      </c>
      <c r="BC52" s="21">
        <f>[2]底表!CP52</f>
        <v>0</v>
      </c>
      <c r="BD52" s="21" t="str">
        <f>[2]底表!CQ52</f>
        <v>持平</v>
      </c>
      <c r="BE52" s="21">
        <f>[2]底表!CR52</f>
        <v>0</v>
      </c>
      <c r="BF52" s="21" t="str">
        <f>[2]底表!CS52</f>
        <v>持平</v>
      </c>
      <c r="BG52" s="21" t="str">
        <f>[2]底表!CT52</f>
        <v/>
      </c>
      <c r="BH52" s="21" t="str">
        <f>[2]底表!CU52</f>
        <v/>
      </c>
      <c r="BI52" s="21" t="str">
        <f>[2]底表!CV52</f>
        <v/>
      </c>
      <c r="BJ52" s="21" t="str">
        <f>[2]底表!CW52</f>
        <v/>
      </c>
      <c r="BK52" s="21" t="str">
        <f>[2]底表!CX52</f>
        <v/>
      </c>
      <c r="BL52" s="21">
        <f>[2]底表!CY52</f>
        <v>0</v>
      </c>
      <c r="BM52" s="21">
        <f>[2]底表!CZ52</f>
        <v>0</v>
      </c>
      <c r="BN52" s="23" t="str">
        <f>[2]底表!DA52</f>
        <v>持平</v>
      </c>
      <c r="BO52" s="21">
        <f>[2]底表!DB52</f>
        <v>0</v>
      </c>
      <c r="BP52" s="21" t="str">
        <f>[2]底表!DC52</f>
        <v>持平</v>
      </c>
      <c r="BQ52" s="21" t="str">
        <f>[2]底表!DD52</f>
        <v/>
      </c>
      <c r="BR52" s="21" t="str">
        <f>[2]底表!DE52</f>
        <v/>
      </c>
      <c r="BS52" s="21" t="str">
        <f>[2]底表!DF52</f>
        <v/>
      </c>
      <c r="BT52" s="21" t="str">
        <f>[2]底表!DG52</f>
        <v/>
      </c>
      <c r="BU52" s="21" t="str">
        <f>[2]底表!DH52</f>
        <v/>
      </c>
      <c r="BV52" s="21">
        <f>[2]底表!DI52</f>
        <v>0</v>
      </c>
      <c r="BW52" s="21">
        <f>[2]底表!DJ52</f>
        <v>0</v>
      </c>
      <c r="BX52" s="23" t="str">
        <f>[2]底表!DK52</f>
        <v>持平</v>
      </c>
      <c r="BY52" s="21">
        <f>[2]底表!DL52</f>
        <v>0</v>
      </c>
      <c r="BZ52" s="21" t="str">
        <f>[2]底表!DM52</f>
        <v>持平</v>
      </c>
      <c r="CA52" s="21">
        <f>[2]底表!DN52</f>
        <v>0</v>
      </c>
      <c r="CB52" s="21">
        <f>[2]底表!DO52</f>
        <v>0</v>
      </c>
      <c r="CC52" s="21" t="str">
        <f>[2]底表!DP52</f>
        <v>持平</v>
      </c>
      <c r="CD52" s="21">
        <f>[2]底表!DQ52</f>
        <v>1</v>
      </c>
      <c r="CE52" s="21" t="str">
        <f>[2]底表!DR52</f>
        <v>少1人</v>
      </c>
      <c r="CF52" s="21">
        <f>[2]底表!DS52</f>
        <v>0</v>
      </c>
      <c r="CG52" s="21">
        <f>[2]底表!DT52</f>
        <v>0</v>
      </c>
      <c r="CH52" s="21" t="str">
        <f>[2]底表!DU52</f>
        <v>持平</v>
      </c>
      <c r="CI52" s="21">
        <f>[2]底表!DV52</f>
        <v>1</v>
      </c>
      <c r="CJ52" s="21" t="str">
        <f>[2]底表!DW52</f>
        <v>少1人</v>
      </c>
      <c r="CK52" s="21">
        <f>[2]底表!DX52</f>
        <v>0</v>
      </c>
      <c r="CL52" s="21">
        <f>[2]底表!DY52</f>
        <v>0</v>
      </c>
      <c r="CM52" s="21" t="str">
        <f>[2]底表!DZ52</f>
        <v>持平</v>
      </c>
      <c r="CN52" s="21">
        <f>[2]底表!EA52</f>
        <v>3</v>
      </c>
      <c r="CO52" s="21" t="str">
        <f>[2]底表!EB52</f>
        <v>少3人</v>
      </c>
      <c r="CP52" s="21">
        <f>[2]底表!EC52</f>
        <v>0</v>
      </c>
      <c r="CQ52" s="21">
        <f>[2]底表!ED52</f>
        <v>0</v>
      </c>
      <c r="CR52" s="21" t="str">
        <f>[2]底表!EE52</f>
        <v>持平</v>
      </c>
      <c r="CS52" s="21">
        <f>[2]底表!EF52</f>
        <v>2</v>
      </c>
      <c r="CT52" s="21" t="str">
        <f>[2]底表!EG52</f>
        <v>少2人</v>
      </c>
      <c r="CU52" s="21" t="str">
        <f>[2]底表!EH52</f>
        <v/>
      </c>
      <c r="CV52" s="21" t="str">
        <f>[2]底表!EI52</f>
        <v/>
      </c>
      <c r="CW52" s="21" t="str">
        <f>[2]底表!EJ52</f>
        <v/>
      </c>
      <c r="CX52" s="21" t="str">
        <f>[2]底表!EK52</f>
        <v/>
      </c>
      <c r="CY52" s="21" t="str">
        <f>[2]底表!EL52</f>
        <v/>
      </c>
      <c r="CZ52" s="21">
        <f>[2]底表!EM52</f>
        <v>0</v>
      </c>
      <c r="DA52" s="21">
        <f>[2]底表!EN52</f>
        <v>0</v>
      </c>
      <c r="DB52" s="21" t="str">
        <f>[2]底表!EO52</f>
        <v>持平</v>
      </c>
      <c r="DC52" s="21">
        <f>[2]底表!EP52</f>
        <v>2</v>
      </c>
      <c r="DD52" s="21" t="str">
        <f>[2]底表!EQ52</f>
        <v>少2人</v>
      </c>
      <c r="DE52" s="21">
        <f>[2]底表!ER52</f>
        <v>0</v>
      </c>
      <c r="DF52" s="21">
        <f>[2]底表!ES52</f>
        <v>1</v>
      </c>
      <c r="DG52" s="23" t="str">
        <f>[2]底表!ET52</f>
        <v>少1人</v>
      </c>
      <c r="DH52" s="21">
        <f>[2]底表!EU52</f>
        <v>0</v>
      </c>
      <c r="DI52" s="21" t="str">
        <f>[2]底表!EV52</f>
        <v>持平</v>
      </c>
      <c r="DJ52" s="21" t="str">
        <f>[2]底表!EW52</f>
        <v/>
      </c>
      <c r="DK52" s="21" t="str">
        <f>[2]底表!EX52</f>
        <v/>
      </c>
      <c r="DL52" s="21" t="str">
        <f>[2]底表!EY52</f>
        <v/>
      </c>
      <c r="DM52" s="21" t="str">
        <f>[2]底表!EZ52</f>
        <v/>
      </c>
      <c r="DN52" s="21" t="str">
        <f>[2]底表!FA52</f>
        <v/>
      </c>
      <c r="DO52" s="21">
        <f>[2]底表!BQ52</f>
        <v>0</v>
      </c>
      <c r="DP52" s="21">
        <f>[2]底表!BR52</f>
        <v>1</v>
      </c>
      <c r="DQ52" s="24" t="str">
        <f>[2]底表!BS52</f>
        <v>少1起</v>
      </c>
    </row>
    <row r="53" s="2" customFormat="1" ht="32" hidden="1" customHeight="1" spans="1:121">
      <c r="A53" s="27" t="str">
        <f>[2]底表!A53</f>
        <v>涉赌</v>
      </c>
      <c r="B53" s="28" t="str">
        <f>[2]底表!B53</f>
        <v>全省</v>
      </c>
      <c r="C53" s="21">
        <f>[2]底表!AM53</f>
        <v>785</v>
      </c>
      <c r="D53" s="21">
        <f>[2]底表!AN53</f>
        <v>476</v>
      </c>
      <c r="E53" s="23">
        <f>[2]底表!AO53</f>
        <v>0.6492</v>
      </c>
      <c r="F53" s="21">
        <f>[2]底表!AP53</f>
        <v>861</v>
      </c>
      <c r="G53" s="21">
        <f>[2]底表!AQ53</f>
        <v>-0.0883</v>
      </c>
      <c r="H53" s="21">
        <f>[2]底表!AR53</f>
        <v>0.8781</v>
      </c>
      <c r="I53" s="21">
        <f>[2]底表!AS53</f>
        <v>-0.0338</v>
      </c>
      <c r="J53" s="21">
        <f>[2]底表!AT53</f>
        <v>635</v>
      </c>
      <c r="K53" s="21">
        <f>[2]底表!AU53</f>
        <v>345</v>
      </c>
      <c r="L53" s="21">
        <f>[2]底表!AV53</f>
        <v>0.8406</v>
      </c>
      <c r="M53" s="21">
        <f>[2]底表!AW53</f>
        <v>609</v>
      </c>
      <c r="N53" s="21">
        <f>[2]底表!AX53</f>
        <v>0.0427</v>
      </c>
      <c r="O53" s="21">
        <f>[2]底表!AY53</f>
        <v>477</v>
      </c>
      <c r="P53" s="21">
        <f>[2]底表!AZ53</f>
        <v>245</v>
      </c>
      <c r="Q53" s="21">
        <f>[2]底表!BA53</f>
        <v>0.9469</v>
      </c>
      <c r="R53" s="21">
        <f>[2]底表!BB53</f>
        <v>659</v>
      </c>
      <c r="S53" s="21">
        <f>[2]底表!BC53</f>
        <v>-0.2762</v>
      </c>
      <c r="T53" s="21">
        <f>[2]底表!BD53</f>
        <v>0.7512</v>
      </c>
      <c r="U53" s="21">
        <f>[2]底表!BE53</f>
        <v>0.041</v>
      </c>
      <c r="V53" s="21">
        <f>[2]底表!BF53</f>
        <v>259</v>
      </c>
      <c r="W53" s="21">
        <f>[2]底表!BG53</f>
        <v>177</v>
      </c>
      <c r="X53" s="21">
        <f>[2]底表!BH53</f>
        <v>0.4633</v>
      </c>
      <c r="Y53" s="21">
        <f>[2]底表!BI53</f>
        <v>84</v>
      </c>
      <c r="Z53" s="21">
        <f>[2]底表!BJ53</f>
        <v>2.0833</v>
      </c>
      <c r="AA53" s="21">
        <f>[2]底表!BK53</f>
        <v>0.2897</v>
      </c>
      <c r="AB53" s="21">
        <f>[2]底表!BL53</f>
        <v>308</v>
      </c>
      <c r="AC53" s="21">
        <f>[2]底表!BM53</f>
        <v>231</v>
      </c>
      <c r="AD53" s="21">
        <f>[2]底表!BN53</f>
        <v>0.3333</v>
      </c>
      <c r="AE53" s="21">
        <f>[2]底表!BO53</f>
        <v>202</v>
      </c>
      <c r="AF53" s="21">
        <f>[2]底表!BP53</f>
        <v>0.5248</v>
      </c>
      <c r="AG53" s="21">
        <f>[2]底表!BT53</f>
        <v>571</v>
      </c>
      <c r="AH53" s="21">
        <f>[2]底表!BU53</f>
        <v>-0.4238</v>
      </c>
      <c r="AI53" s="21">
        <f>[2]底表!BV53</f>
        <v>0.368</v>
      </c>
      <c r="AJ53" s="21">
        <f>[2]底表!BW53</f>
        <v>-0.0554</v>
      </c>
      <c r="AK53" s="21">
        <f>[2]底表!BX53</f>
        <v>0.5181</v>
      </c>
      <c r="AL53" s="21">
        <f>[2]底表!BY53</f>
        <v>-0.1225</v>
      </c>
      <c r="AM53" s="21">
        <f>[2]底表!BZ53</f>
        <v>0</v>
      </c>
      <c r="AN53" s="21">
        <f>[2]底表!CA53</f>
        <v>1</v>
      </c>
      <c r="AO53" s="21" t="str">
        <f>[2]底表!CB53</f>
        <v>少1起</v>
      </c>
      <c r="AP53" s="21">
        <f>[2]底表!CC53</f>
        <v>11</v>
      </c>
      <c r="AQ53" s="21" t="str">
        <f>[2]底表!CD53</f>
        <v>少11起</v>
      </c>
      <c r="AR53" s="21" t="str">
        <f>[2]底表!CE53</f>
        <v/>
      </c>
      <c r="AS53" s="21" t="str">
        <f>[2]底表!CF53</f>
        <v/>
      </c>
      <c r="AT53" s="21">
        <f>[2]底表!CG53</f>
        <v>5435</v>
      </c>
      <c r="AU53" s="21">
        <f>[2]底表!CH53</f>
        <v>2714</v>
      </c>
      <c r="AV53" s="21">
        <f>[2]底表!CI53</f>
        <v>1.0026</v>
      </c>
      <c r="AW53" s="21">
        <f>[2]底表!CJ53</f>
        <v>3369</v>
      </c>
      <c r="AX53" s="21">
        <f>[2]底表!CK53</f>
        <v>0.6132</v>
      </c>
      <c r="AY53" s="21">
        <f>[2]底表!CL53</f>
        <v>608</v>
      </c>
      <c r="AZ53" s="21">
        <f>[2]底表!CM53</f>
        <v>88</v>
      </c>
      <c r="BA53" s="21">
        <f>[2]底表!CN53</f>
        <v>0.1693</v>
      </c>
      <c r="BB53" s="21">
        <f>[2]底表!CO53</f>
        <v>4148</v>
      </c>
      <c r="BC53" s="21">
        <f>[2]底表!CP53</f>
        <v>1563</v>
      </c>
      <c r="BD53" s="21">
        <f>[2]底表!CQ53</f>
        <v>1.6539</v>
      </c>
      <c r="BE53" s="21">
        <f>[2]底表!CR53</f>
        <v>2568</v>
      </c>
      <c r="BF53" s="21">
        <f>[2]底表!CS53</f>
        <v>0.6153</v>
      </c>
      <c r="BG53" s="21">
        <f>[2]底表!CT53</f>
        <v>0.7632</v>
      </c>
      <c r="BH53" s="21">
        <f>[2]底表!CU53</f>
        <v>0.1873</v>
      </c>
      <c r="BI53" s="21">
        <f>[2]底表!CV53</f>
        <v>464</v>
      </c>
      <c r="BJ53" s="21">
        <f>[2]底表!CW53</f>
        <v>165</v>
      </c>
      <c r="BK53" s="21">
        <f>[2]底表!CX53</f>
        <v>0.5496</v>
      </c>
      <c r="BL53" s="21">
        <f>[2]底表!CY53</f>
        <v>4343</v>
      </c>
      <c r="BM53" s="21">
        <f>[2]底表!CZ53</f>
        <v>1748</v>
      </c>
      <c r="BN53" s="23">
        <f>[2]底表!DA53</f>
        <v>1.4846</v>
      </c>
      <c r="BO53" s="21">
        <f>[2]底表!DB53</f>
        <v>2793</v>
      </c>
      <c r="BP53" s="21">
        <f>[2]底表!DC53</f>
        <v>0.555</v>
      </c>
      <c r="BQ53" s="21">
        <f>[2]底表!DD53</f>
        <v>0.7991</v>
      </c>
      <c r="BR53" s="21">
        <f>[2]底表!DE53</f>
        <v>0.155</v>
      </c>
      <c r="BS53" s="21">
        <f>[2]底表!DF53</f>
        <v>486</v>
      </c>
      <c r="BT53" s="21">
        <f>[2]底表!DG53</f>
        <v>151</v>
      </c>
      <c r="BU53" s="21">
        <f>[2]底表!DH53</f>
        <v>0.4507</v>
      </c>
      <c r="BV53" s="21">
        <f>[2]底表!DI53</f>
        <v>4042</v>
      </c>
      <c r="BW53" s="21">
        <f>[2]底表!DJ53</f>
        <v>1625</v>
      </c>
      <c r="BX53" s="23">
        <f>[2]底表!DK53</f>
        <v>1.4874</v>
      </c>
      <c r="BY53" s="21">
        <f>[2]底表!DL53</f>
        <v>2678</v>
      </c>
      <c r="BZ53" s="21">
        <f>[2]底表!DM53</f>
        <v>0.5093</v>
      </c>
      <c r="CA53" s="21">
        <f>[2]底表!DN53</f>
        <v>1518</v>
      </c>
      <c r="CB53" s="21">
        <f>[2]底表!DO53</f>
        <v>1009</v>
      </c>
      <c r="CC53" s="21">
        <f>[2]底表!DP53</f>
        <v>0.5045</v>
      </c>
      <c r="CD53" s="21">
        <f>[2]底表!DQ53</f>
        <v>1288</v>
      </c>
      <c r="CE53" s="21">
        <f>[2]底表!DR53</f>
        <v>0.1786</v>
      </c>
      <c r="CF53" s="21">
        <f>[2]底表!DS53</f>
        <v>1518</v>
      </c>
      <c r="CG53" s="21">
        <f>[2]底表!DT53</f>
        <v>1010</v>
      </c>
      <c r="CH53" s="21">
        <f>[2]底表!DU53</f>
        <v>0.503</v>
      </c>
      <c r="CI53" s="21">
        <f>[2]底表!DV53</f>
        <v>1288</v>
      </c>
      <c r="CJ53" s="21">
        <f>[2]底表!DW53</f>
        <v>0.1786</v>
      </c>
      <c r="CK53" s="21">
        <f>[2]底表!DX53</f>
        <v>1735</v>
      </c>
      <c r="CL53" s="21">
        <f>[2]底表!DY53</f>
        <v>1048</v>
      </c>
      <c r="CM53" s="21">
        <f>[2]底表!DZ53</f>
        <v>0.6555</v>
      </c>
      <c r="CN53" s="21">
        <f>[2]底表!EA53</f>
        <v>1279</v>
      </c>
      <c r="CO53" s="21">
        <f>[2]底表!EB53</f>
        <v>0.3565</v>
      </c>
      <c r="CP53" s="21">
        <f>[2]底表!EC53</f>
        <v>642</v>
      </c>
      <c r="CQ53" s="21">
        <f>[2]底表!ED53</f>
        <v>574</v>
      </c>
      <c r="CR53" s="21">
        <f>[2]底表!EE53</f>
        <v>0.1185</v>
      </c>
      <c r="CS53" s="21">
        <f>[2]底表!EF53</f>
        <v>740</v>
      </c>
      <c r="CT53" s="21">
        <f>[2]底表!EG53</f>
        <v>-0.1324</v>
      </c>
      <c r="CU53" s="21">
        <f>[2]底表!EH53</f>
        <v>0.1548</v>
      </c>
      <c r="CV53" s="21">
        <f>[2]底表!EI53</f>
        <v>-0.2125</v>
      </c>
      <c r="CW53" s="21">
        <f>[2]底表!EJ53</f>
        <v>72</v>
      </c>
      <c r="CX53" s="21">
        <f>[2]底表!EK53</f>
        <v>-38</v>
      </c>
      <c r="CY53" s="21">
        <f>[2]底表!EL53</f>
        <v>-0.3469</v>
      </c>
      <c r="CZ53" s="21">
        <f>[2]底表!EM53</f>
        <v>660</v>
      </c>
      <c r="DA53" s="21">
        <f>[2]底表!EN53</f>
        <v>575</v>
      </c>
      <c r="DB53" s="21">
        <f>[2]底表!EO53</f>
        <v>0.1478</v>
      </c>
      <c r="DC53" s="21">
        <f>[2]底表!EP53</f>
        <v>760</v>
      </c>
      <c r="DD53" s="21">
        <f>[2]底表!EQ53</f>
        <v>-0.1316</v>
      </c>
      <c r="DE53" s="21">
        <f>[2]底表!ER53</f>
        <v>929</v>
      </c>
      <c r="DF53" s="21">
        <f>[2]底表!ES53</f>
        <v>627</v>
      </c>
      <c r="DG53" s="23">
        <f>[2]底表!ET53</f>
        <v>0.4817</v>
      </c>
      <c r="DH53" s="21">
        <f>[2]底表!EU53</f>
        <v>1408</v>
      </c>
      <c r="DI53" s="21">
        <f>[2]底表!EV53</f>
        <v>-0.3402</v>
      </c>
      <c r="DJ53" s="21">
        <f>[2]底表!EW53</f>
        <v>0.224</v>
      </c>
      <c r="DK53" s="21">
        <f>[2]底表!EX53</f>
        <v>-0.1772</v>
      </c>
      <c r="DL53" s="21">
        <f>[2]底表!EY53</f>
        <v>104</v>
      </c>
      <c r="DM53" s="21">
        <f>[2]底表!EZ53</f>
        <v>-16</v>
      </c>
      <c r="DN53" s="21">
        <f>[2]底表!FA53</f>
        <v>-0.1349</v>
      </c>
      <c r="DO53" s="21">
        <f>[2]底表!BQ53</f>
        <v>329</v>
      </c>
      <c r="DP53" s="21">
        <f>[2]底表!BR53</f>
        <v>221</v>
      </c>
      <c r="DQ53" s="24">
        <f>[2]底表!BS53</f>
        <v>0.4887</v>
      </c>
    </row>
    <row r="54" s="2" customFormat="1" ht="32" hidden="1" customHeight="1" spans="1:121">
      <c r="A54" s="27" t="str">
        <f>[2]底表!A54</f>
        <v>涉赌</v>
      </c>
      <c r="B54" s="28" t="str">
        <f>[2]底表!B54</f>
        <v>云浮</v>
      </c>
      <c r="C54" s="21">
        <f>[2]底表!AM54</f>
        <v>10</v>
      </c>
      <c r="D54" s="21">
        <f>[2]底表!AN54</f>
        <v>5</v>
      </c>
      <c r="E54" s="23">
        <f>[2]底表!AO54</f>
        <v>1</v>
      </c>
      <c r="F54" s="21">
        <f>[2]底表!AP54</f>
        <v>12</v>
      </c>
      <c r="G54" s="21">
        <f>[2]底表!AQ54</f>
        <v>-0.1667</v>
      </c>
      <c r="H54" s="21">
        <f>[2]底表!AR54</f>
        <v>0.8333</v>
      </c>
      <c r="I54" s="21">
        <f>[2]底表!AS54</f>
        <v>0.119</v>
      </c>
      <c r="J54" s="21">
        <f>[2]底表!AT54</f>
        <v>6</v>
      </c>
      <c r="K54" s="21">
        <f>[2]底表!AU54</f>
        <v>5</v>
      </c>
      <c r="L54" s="21">
        <f>[2]底表!AV54</f>
        <v>0.2</v>
      </c>
      <c r="M54" s="21">
        <f>[2]底表!AW54</f>
        <v>6</v>
      </c>
      <c r="N54" s="21">
        <f>[2]底表!AX54</f>
        <v>0</v>
      </c>
      <c r="O54" s="21">
        <f>[2]底表!AY54</f>
        <v>4</v>
      </c>
      <c r="P54" s="21">
        <f>[2]底表!AZ54</f>
        <v>2</v>
      </c>
      <c r="Q54" s="21">
        <f>[2]底表!BA54</f>
        <v>1</v>
      </c>
      <c r="R54" s="21">
        <f>[2]底表!BB54</f>
        <v>9</v>
      </c>
      <c r="S54" s="21">
        <f>[2]底表!BC54</f>
        <v>-0.5556</v>
      </c>
      <c r="T54" s="21">
        <f>[2]底表!BD54</f>
        <v>0.6667</v>
      </c>
      <c r="U54" s="21">
        <f>[2]底表!BE54</f>
        <v>0.2667</v>
      </c>
      <c r="V54" s="21">
        <f>[2]底表!BF54</f>
        <v>6</v>
      </c>
      <c r="W54" s="21">
        <f>[2]底表!BG54</f>
        <v>2</v>
      </c>
      <c r="X54" s="21">
        <f>[2]底表!BH54</f>
        <v>2</v>
      </c>
      <c r="Y54" s="21">
        <f>[2]底表!BI54</f>
        <v>1</v>
      </c>
      <c r="Z54" s="21">
        <f>[2]底表!BJ54</f>
        <v>5</v>
      </c>
      <c r="AA54" s="21">
        <f>[2]底表!BK54</f>
        <v>0.5</v>
      </c>
      <c r="AB54" s="21">
        <f>[2]底表!BL54</f>
        <v>6</v>
      </c>
      <c r="AC54" s="21">
        <f>[2]底表!BM54</f>
        <v>3</v>
      </c>
      <c r="AD54" s="21">
        <f>[2]底表!BN54</f>
        <v>1</v>
      </c>
      <c r="AE54" s="21">
        <f>[2]底表!BO54</f>
        <v>3</v>
      </c>
      <c r="AF54" s="21">
        <f>[2]底表!BP54</f>
        <v>1</v>
      </c>
      <c r="AG54" s="21">
        <f>[2]底表!BT54</f>
        <v>10</v>
      </c>
      <c r="AH54" s="21">
        <f>[2]底表!BU54</f>
        <v>-0.1</v>
      </c>
      <c r="AI54" s="21">
        <f>[2]底表!BV54</f>
        <v>0.75</v>
      </c>
      <c r="AJ54" s="21">
        <f>[2]底表!BW54</f>
        <v>-0.5357</v>
      </c>
      <c r="AK54" s="21">
        <f>[2]底表!BX54</f>
        <v>1.5</v>
      </c>
      <c r="AL54" s="21">
        <f>[2]底表!BY54</f>
        <v>-0.3</v>
      </c>
      <c r="AM54" s="21">
        <f>[2]底表!BZ54</f>
        <v>0</v>
      </c>
      <c r="AN54" s="21">
        <f>[2]底表!CA54</f>
        <v>0</v>
      </c>
      <c r="AO54" s="21" t="str">
        <f>[2]底表!CB54</f>
        <v>持平</v>
      </c>
      <c r="AP54" s="21">
        <f>[2]底表!CC54</f>
        <v>0</v>
      </c>
      <c r="AQ54" s="21" t="str">
        <f>[2]底表!CD54</f>
        <v>持平</v>
      </c>
      <c r="AR54" s="21" t="str">
        <f>[2]底表!CE54</f>
        <v/>
      </c>
      <c r="AS54" s="21" t="str">
        <f>[2]底表!CF54</f>
        <v/>
      </c>
      <c r="AT54" s="21">
        <f>[2]底表!CG54</f>
        <v>85</v>
      </c>
      <c r="AU54" s="21">
        <f>[2]底表!CH54</f>
        <v>26</v>
      </c>
      <c r="AV54" s="21">
        <f>[2]底表!CI54</f>
        <v>2.2692</v>
      </c>
      <c r="AW54" s="21">
        <f>[2]底表!CJ54</f>
        <v>83</v>
      </c>
      <c r="AX54" s="21">
        <f>[2]底表!CK54</f>
        <v>0.0241</v>
      </c>
      <c r="AY54" s="21">
        <f>[2]底表!CL54</f>
        <v>708</v>
      </c>
      <c r="AZ54" s="21">
        <f>[2]底表!CM54</f>
        <v>337</v>
      </c>
      <c r="BA54" s="21">
        <f>[2]底表!CN54</f>
        <v>0.9071</v>
      </c>
      <c r="BB54" s="21">
        <f>[2]底表!CO54</f>
        <v>59</v>
      </c>
      <c r="BC54" s="21">
        <f>[2]底表!CP54</f>
        <v>49</v>
      </c>
      <c r="BD54" s="21">
        <f>[2]底表!CQ54</f>
        <v>0.2041</v>
      </c>
      <c r="BE54" s="21">
        <f>[2]底表!CR54</f>
        <v>95</v>
      </c>
      <c r="BF54" s="21">
        <f>[2]底表!CS54</f>
        <v>-0.3789</v>
      </c>
      <c r="BG54" s="21">
        <f>[2]底表!CT54</f>
        <v>0.6941</v>
      </c>
      <c r="BH54" s="21">
        <f>[2]底表!CU54</f>
        <v>-1.1905</v>
      </c>
      <c r="BI54" s="21">
        <f>[2]底表!CV54</f>
        <v>492</v>
      </c>
      <c r="BJ54" s="21">
        <f>[2]底表!CW54</f>
        <v>-208</v>
      </c>
      <c r="BK54" s="21">
        <f>[2]底表!CX54</f>
        <v>-0.2976</v>
      </c>
      <c r="BL54" s="21">
        <f>[2]底表!CY54</f>
        <v>62</v>
      </c>
      <c r="BM54" s="21">
        <f>[2]底表!CZ54</f>
        <v>49</v>
      </c>
      <c r="BN54" s="23">
        <f>[2]底表!DA54</f>
        <v>0.2653</v>
      </c>
      <c r="BO54" s="21">
        <f>[2]底表!DB54</f>
        <v>97</v>
      </c>
      <c r="BP54" s="21">
        <f>[2]底表!DC54</f>
        <v>-0.3608</v>
      </c>
      <c r="BQ54" s="21">
        <f>[2]底表!DD54</f>
        <v>0.7294</v>
      </c>
      <c r="BR54" s="21">
        <f>[2]底表!DE54</f>
        <v>-1.1552</v>
      </c>
      <c r="BS54" s="21">
        <f>[2]底表!DF54</f>
        <v>517</v>
      </c>
      <c r="BT54" s="21">
        <f>[2]底表!DG54</f>
        <v>-183</v>
      </c>
      <c r="BU54" s="21">
        <f>[2]底表!DH54</f>
        <v>-0.2619</v>
      </c>
      <c r="BV54" s="21">
        <f>[2]底表!DI54</f>
        <v>52</v>
      </c>
      <c r="BW54" s="21">
        <f>[2]底表!DJ54</f>
        <v>46</v>
      </c>
      <c r="BX54" s="23">
        <f>[2]底表!DK54</f>
        <v>0.1304</v>
      </c>
      <c r="BY54" s="21">
        <f>[2]底表!DL54</f>
        <v>84</v>
      </c>
      <c r="BZ54" s="21">
        <f>[2]底表!DM54</f>
        <v>-0.381</v>
      </c>
      <c r="CA54" s="21">
        <f>[2]底表!DN54</f>
        <v>27</v>
      </c>
      <c r="CB54" s="21">
        <f>[2]底表!DO54</f>
        <v>12</v>
      </c>
      <c r="CC54" s="21">
        <f>[2]底表!DP54</f>
        <v>1.25</v>
      </c>
      <c r="CD54" s="21">
        <f>[2]底表!DQ54</f>
        <v>37</v>
      </c>
      <c r="CE54" s="21">
        <f>[2]底表!DR54</f>
        <v>-0.2703</v>
      </c>
      <c r="CF54" s="21">
        <f>[2]底表!DS54</f>
        <v>27</v>
      </c>
      <c r="CG54" s="21">
        <f>[2]底表!DT54</f>
        <v>12</v>
      </c>
      <c r="CH54" s="21">
        <f>[2]底表!DU54</f>
        <v>1.25</v>
      </c>
      <c r="CI54" s="21">
        <f>[2]底表!DV54</f>
        <v>37</v>
      </c>
      <c r="CJ54" s="21">
        <f>[2]底表!DW54</f>
        <v>-0.2703</v>
      </c>
      <c r="CK54" s="21">
        <f>[2]底表!DX54</f>
        <v>29</v>
      </c>
      <c r="CL54" s="21">
        <f>[2]底表!DY54</f>
        <v>11</v>
      </c>
      <c r="CM54" s="21">
        <f>[2]底表!DZ54</f>
        <v>1.6364</v>
      </c>
      <c r="CN54" s="21">
        <f>[2]底表!EA54</f>
        <v>27</v>
      </c>
      <c r="CO54" s="21">
        <f>[2]底表!EB54</f>
        <v>0.0741</v>
      </c>
      <c r="CP54" s="21">
        <f>[2]底表!EC54</f>
        <v>15</v>
      </c>
      <c r="CQ54" s="21">
        <f>[2]底表!ED54</f>
        <v>7</v>
      </c>
      <c r="CR54" s="21">
        <f>[2]底表!EE54</f>
        <v>1.1429</v>
      </c>
      <c r="CS54" s="21">
        <f>[2]底表!EF54</f>
        <v>20</v>
      </c>
      <c r="CT54" s="21">
        <f>[2]底表!EG54</f>
        <v>-0.25</v>
      </c>
      <c r="CU54" s="21">
        <f>[2]底表!EH54</f>
        <v>0.2542</v>
      </c>
      <c r="CV54" s="21">
        <f>[2]底表!EI54</f>
        <v>0.1114</v>
      </c>
      <c r="CW54" s="21">
        <f>[2]底表!EJ54</f>
        <v>125</v>
      </c>
      <c r="CX54" s="21">
        <f>[2]底表!EK54</f>
        <v>25</v>
      </c>
      <c r="CY54" s="21">
        <f>[2]底表!EL54</f>
        <v>0.25</v>
      </c>
      <c r="CZ54" s="21">
        <f>[2]底表!EM54</f>
        <v>15</v>
      </c>
      <c r="DA54" s="21">
        <f>[2]底表!EN54</f>
        <v>7</v>
      </c>
      <c r="DB54" s="21">
        <f>[2]底表!EO54</f>
        <v>1.1429</v>
      </c>
      <c r="DC54" s="21">
        <f>[2]底表!EP54</f>
        <v>20</v>
      </c>
      <c r="DD54" s="21">
        <f>[2]底表!EQ54</f>
        <v>-0.25</v>
      </c>
      <c r="DE54" s="21">
        <f>[2]底表!ER54</f>
        <v>22</v>
      </c>
      <c r="DF54" s="21">
        <f>[2]底表!ES54</f>
        <v>10</v>
      </c>
      <c r="DG54" s="23">
        <f>[2]底表!ET54</f>
        <v>1.2</v>
      </c>
      <c r="DH54" s="21">
        <f>[2]底表!EU54</f>
        <v>21</v>
      </c>
      <c r="DI54" s="21">
        <f>[2]底表!EV54</f>
        <v>0.0476</v>
      </c>
      <c r="DJ54" s="21">
        <f>[2]底表!EW54</f>
        <v>0.3729</v>
      </c>
      <c r="DK54" s="21">
        <f>[2]底表!EX54</f>
        <v>0.1688</v>
      </c>
      <c r="DL54" s="21">
        <f>[2]底表!EY54</f>
        <v>183</v>
      </c>
      <c r="DM54" s="21">
        <f>[2]底表!EZ54</f>
        <v>40</v>
      </c>
      <c r="DN54" s="21">
        <f>[2]底表!FA54</f>
        <v>0.2833</v>
      </c>
      <c r="DO54" s="21">
        <f>[2]底表!BQ54</f>
        <v>9</v>
      </c>
      <c r="DP54" s="21">
        <f>[2]底表!BR54</f>
        <v>9</v>
      </c>
      <c r="DQ54" s="24">
        <f>[2]底表!BS54</f>
        <v>0</v>
      </c>
    </row>
    <row r="55" s="2" customFormat="1" ht="32" hidden="1" customHeight="1" spans="1:121">
      <c r="A55" s="27" t="str">
        <f>[2]底表!A55</f>
        <v>涉赌</v>
      </c>
      <c r="B55" s="28" t="str">
        <f>[2]底表!B55</f>
        <v>云城区</v>
      </c>
      <c r="C55" s="21">
        <f>[2]底表!AM55</f>
        <v>1</v>
      </c>
      <c r="D55" s="21">
        <f>[2]底表!AN55</f>
        <v>0</v>
      </c>
      <c r="E55" s="23" t="str">
        <f>[2]底表!AO55</f>
        <v>多1起</v>
      </c>
      <c r="F55" s="21">
        <f>[2]底表!AP55</f>
        <v>0</v>
      </c>
      <c r="G55" s="21" t="str">
        <f>[2]底表!AQ55</f>
        <v>多1起</v>
      </c>
      <c r="H55" s="21">
        <f>[2]底表!AR55</f>
        <v>0.5</v>
      </c>
      <c r="I55" s="21" t="str">
        <f>[2]底表!AS55</f>
        <v/>
      </c>
      <c r="J55" s="21">
        <f>[2]底表!AT55</f>
        <v>2</v>
      </c>
      <c r="K55" s="21">
        <f>[2]底表!AU55</f>
        <v>0</v>
      </c>
      <c r="L55" s="21" t="str">
        <f>[2]底表!AV55</f>
        <v>多2起</v>
      </c>
      <c r="M55" s="21">
        <f>[2]底表!AW55</f>
        <v>0</v>
      </c>
      <c r="N55" s="21" t="str">
        <f>[2]底表!AX55</f>
        <v>多2起</v>
      </c>
      <c r="O55" s="21">
        <f>[2]底表!AY55</f>
        <v>1</v>
      </c>
      <c r="P55" s="21">
        <f>[2]底表!AZ55</f>
        <v>0</v>
      </c>
      <c r="Q55" s="21" t="str">
        <f>[2]底表!BA55</f>
        <v>多1起</v>
      </c>
      <c r="R55" s="21">
        <f>[2]底表!BB55</f>
        <v>0</v>
      </c>
      <c r="S55" s="21" t="str">
        <f>[2]底表!BC55</f>
        <v>多1起</v>
      </c>
      <c r="T55" s="21">
        <f>[2]底表!BD55</f>
        <v>0.5</v>
      </c>
      <c r="U55" s="21" t="str">
        <f>[2]底表!BE55</f>
        <v/>
      </c>
      <c r="V55" s="21">
        <f>[2]底表!BF55</f>
        <v>0</v>
      </c>
      <c r="W55" s="21">
        <f>[2]底表!BG55</f>
        <v>0</v>
      </c>
      <c r="X55" s="21" t="str">
        <f>[2]底表!BH55</f>
        <v>持平</v>
      </c>
      <c r="Y55" s="21">
        <f>[2]底表!BI55</f>
        <v>0</v>
      </c>
      <c r="Z55" s="21" t="str">
        <f>[2]底表!BJ55</f>
        <v>持平</v>
      </c>
      <c r="AA55" s="21">
        <f>[2]底表!BK55</f>
        <v>0</v>
      </c>
      <c r="AB55" s="21">
        <f>[2]底表!BL55</f>
        <v>0</v>
      </c>
      <c r="AC55" s="21">
        <f>[2]底表!BM55</f>
        <v>0</v>
      </c>
      <c r="AD55" s="21" t="str">
        <f>[2]底表!BN55</f>
        <v>持平</v>
      </c>
      <c r="AE55" s="21">
        <f>[2]底表!BO55</f>
        <v>0</v>
      </c>
      <c r="AF55" s="21" t="str">
        <f>[2]底表!BP55</f>
        <v>持平</v>
      </c>
      <c r="AG55" s="21">
        <f>[2]底表!BT55</f>
        <v>0</v>
      </c>
      <c r="AH55" s="21" t="str">
        <f>[2]底表!BU55</f>
        <v>持平</v>
      </c>
      <c r="AI55" s="21">
        <f>[2]底表!BV55</f>
        <v>0</v>
      </c>
      <c r="AJ55" s="21" t="str">
        <f>[2]底表!BW55</f>
        <v/>
      </c>
      <c r="AK55" s="21">
        <f>[2]底表!BX55</f>
        <v>0</v>
      </c>
      <c r="AL55" s="21" t="str">
        <f>[2]底表!BY55</f>
        <v/>
      </c>
      <c r="AM55" s="21">
        <f>[2]底表!BZ55</f>
        <v>0</v>
      </c>
      <c r="AN55" s="21">
        <f>[2]底表!CA55</f>
        <v>0</v>
      </c>
      <c r="AO55" s="21" t="str">
        <f>[2]底表!CB55</f>
        <v>持平</v>
      </c>
      <c r="AP55" s="21">
        <f>[2]底表!CC55</f>
        <v>0</v>
      </c>
      <c r="AQ55" s="21" t="str">
        <f>[2]底表!CD55</f>
        <v>持平</v>
      </c>
      <c r="AR55" s="21" t="str">
        <f>[2]底表!CE55</f>
        <v/>
      </c>
      <c r="AS55" s="21" t="str">
        <f>[2]底表!CF55</f>
        <v/>
      </c>
      <c r="AT55" s="21">
        <f>[2]底表!CG55</f>
        <v>45</v>
      </c>
      <c r="AU55" s="21">
        <f>[2]底表!CH55</f>
        <v>0</v>
      </c>
      <c r="AV55" s="21" t="str">
        <f>[2]底表!CI55</f>
        <v>多45人</v>
      </c>
      <c r="AW55" s="21">
        <f>[2]底表!CJ55</f>
        <v>0</v>
      </c>
      <c r="AX55" s="21" t="str">
        <f>[2]底表!CK55</f>
        <v>多45人</v>
      </c>
      <c r="AY55" s="21">
        <f>[2]底表!CL55</f>
        <v>2250</v>
      </c>
      <c r="AZ55" s="21" t="str">
        <f>[2]底表!CM55</f>
        <v/>
      </c>
      <c r="BA55" s="21" t="str">
        <f>[2]底表!CN55</f>
        <v/>
      </c>
      <c r="BB55" s="21">
        <f>[2]底表!CO55</f>
        <v>17</v>
      </c>
      <c r="BC55" s="21">
        <f>[2]底表!CP55</f>
        <v>0</v>
      </c>
      <c r="BD55" s="21" t="str">
        <f>[2]底表!CQ55</f>
        <v>多17人</v>
      </c>
      <c r="BE55" s="21">
        <f>[2]底表!CR55</f>
        <v>1</v>
      </c>
      <c r="BF55" s="21">
        <f>[2]底表!CS55</f>
        <v>16</v>
      </c>
      <c r="BG55" s="21">
        <f>[2]底表!CT55</f>
        <v>0.3778</v>
      </c>
      <c r="BH55" s="21" t="str">
        <f>[2]底表!CU55</f>
        <v/>
      </c>
      <c r="BI55" s="21">
        <f>[2]底表!CV55</f>
        <v>850</v>
      </c>
      <c r="BJ55" s="21" t="str">
        <f>[2]底表!CW55</f>
        <v/>
      </c>
      <c r="BK55" s="21" t="str">
        <f>[2]底表!CX55</f>
        <v/>
      </c>
      <c r="BL55" s="21">
        <f>[2]底表!CY55</f>
        <v>17</v>
      </c>
      <c r="BM55" s="21">
        <f>[2]底表!CZ55</f>
        <v>0</v>
      </c>
      <c r="BN55" s="23" t="str">
        <f>[2]底表!DA55</f>
        <v>多17人</v>
      </c>
      <c r="BO55" s="21">
        <f>[2]底表!DB55</f>
        <v>1</v>
      </c>
      <c r="BP55" s="21">
        <f>[2]底表!DC55</f>
        <v>16</v>
      </c>
      <c r="BQ55" s="21">
        <f>[2]底表!DD55</f>
        <v>0.3778</v>
      </c>
      <c r="BR55" s="21" t="str">
        <f>[2]底表!DE55</f>
        <v/>
      </c>
      <c r="BS55" s="21">
        <f>[2]底表!DF55</f>
        <v>850</v>
      </c>
      <c r="BT55" s="21" t="str">
        <f>[2]底表!DG55</f>
        <v/>
      </c>
      <c r="BU55" s="21" t="str">
        <f>[2]底表!DH55</f>
        <v/>
      </c>
      <c r="BV55" s="21">
        <f>[2]底表!DI55</f>
        <v>0</v>
      </c>
      <c r="BW55" s="21">
        <f>[2]底表!DJ55</f>
        <v>0</v>
      </c>
      <c r="BX55" s="23" t="str">
        <f>[2]底表!DK55</f>
        <v>持平</v>
      </c>
      <c r="BY55" s="21">
        <f>[2]底表!DL55</f>
        <v>0</v>
      </c>
      <c r="BZ55" s="21" t="str">
        <f>[2]底表!DM55</f>
        <v>持平</v>
      </c>
      <c r="CA55" s="21">
        <f>[2]底表!DN55</f>
        <v>0</v>
      </c>
      <c r="CB55" s="21">
        <f>[2]底表!DO55</f>
        <v>0</v>
      </c>
      <c r="CC55" s="21" t="str">
        <f>[2]底表!DP55</f>
        <v>持平</v>
      </c>
      <c r="CD55" s="21">
        <f>[2]底表!DQ55</f>
        <v>4</v>
      </c>
      <c r="CE55" s="21" t="str">
        <f>[2]底表!DR55</f>
        <v>少4人</v>
      </c>
      <c r="CF55" s="21">
        <f>[2]底表!DS55</f>
        <v>0</v>
      </c>
      <c r="CG55" s="21">
        <f>[2]底表!DT55</f>
        <v>0</v>
      </c>
      <c r="CH55" s="21" t="str">
        <f>[2]底表!DU55</f>
        <v>持平</v>
      </c>
      <c r="CI55" s="21">
        <f>[2]底表!DV55</f>
        <v>4</v>
      </c>
      <c r="CJ55" s="21" t="str">
        <f>[2]底表!DW55</f>
        <v>少4人</v>
      </c>
      <c r="CK55" s="21">
        <f>[2]底表!DX55</f>
        <v>7</v>
      </c>
      <c r="CL55" s="21">
        <f>[2]底表!DY55</f>
        <v>0</v>
      </c>
      <c r="CM55" s="21" t="str">
        <f>[2]底表!DZ55</f>
        <v>多7人</v>
      </c>
      <c r="CN55" s="21">
        <f>[2]底表!EA55</f>
        <v>6</v>
      </c>
      <c r="CO55" s="21">
        <f>[2]底表!EB55</f>
        <v>0.1667</v>
      </c>
      <c r="CP55" s="21">
        <f>[2]底表!EC55</f>
        <v>1</v>
      </c>
      <c r="CQ55" s="21">
        <f>[2]底表!ED55</f>
        <v>0</v>
      </c>
      <c r="CR55" s="21" t="str">
        <f>[2]底表!EE55</f>
        <v>多1人</v>
      </c>
      <c r="CS55" s="21">
        <f>[2]底表!EF55</f>
        <v>4</v>
      </c>
      <c r="CT55" s="21">
        <f>[2]底表!EG55</f>
        <v>-0.75</v>
      </c>
      <c r="CU55" s="21">
        <f>[2]底表!EH55</f>
        <v>0.0588</v>
      </c>
      <c r="CV55" s="21" t="str">
        <f>[2]底表!EI55</f>
        <v/>
      </c>
      <c r="CW55" s="21">
        <f>[2]底表!EJ55</f>
        <v>50</v>
      </c>
      <c r="CX55" s="21" t="str">
        <f>[2]底表!EK55</f>
        <v/>
      </c>
      <c r="CY55" s="21" t="str">
        <f>[2]底表!EL55</f>
        <v/>
      </c>
      <c r="CZ55" s="21">
        <f>[2]底表!EM55</f>
        <v>1</v>
      </c>
      <c r="DA55" s="21">
        <f>[2]底表!EN55</f>
        <v>0</v>
      </c>
      <c r="DB55" s="21" t="str">
        <f>[2]底表!EO55</f>
        <v>多1人</v>
      </c>
      <c r="DC55" s="21">
        <f>[2]底表!EP55</f>
        <v>4</v>
      </c>
      <c r="DD55" s="21">
        <f>[2]底表!EQ55</f>
        <v>-0.75</v>
      </c>
      <c r="DE55" s="21">
        <f>[2]底表!ER55</f>
        <v>0</v>
      </c>
      <c r="DF55" s="21">
        <f>[2]底表!ES55</f>
        <v>2</v>
      </c>
      <c r="DG55" s="23" t="str">
        <f>[2]底表!ET55</f>
        <v>少2人</v>
      </c>
      <c r="DH55" s="21">
        <f>[2]底表!EU55</f>
        <v>0</v>
      </c>
      <c r="DI55" s="21" t="str">
        <f>[2]底表!EV55</f>
        <v>持平</v>
      </c>
      <c r="DJ55" s="21">
        <f>[2]底表!EW55</f>
        <v>0</v>
      </c>
      <c r="DK55" s="21" t="str">
        <f>[2]底表!EX55</f>
        <v/>
      </c>
      <c r="DL55" s="21">
        <f>[2]底表!EY55</f>
        <v>0</v>
      </c>
      <c r="DM55" s="21" t="str">
        <f>[2]底表!EZ55</f>
        <v/>
      </c>
      <c r="DN55" s="21" t="str">
        <f>[2]底表!FA55</f>
        <v/>
      </c>
      <c r="DO55" s="21">
        <f>[2]底表!BQ55</f>
        <v>0</v>
      </c>
      <c r="DP55" s="21">
        <f>[2]底表!BR55</f>
        <v>1</v>
      </c>
      <c r="DQ55" s="24" t="str">
        <f>[2]底表!BS55</f>
        <v>少1起</v>
      </c>
    </row>
    <row r="56" s="2" customFormat="1" ht="32" hidden="1" customHeight="1" spans="1:121">
      <c r="A56" s="27" t="str">
        <f>[2]底表!A56</f>
        <v>涉赌</v>
      </c>
      <c r="B56" s="28" t="str">
        <f>[2]底表!B56</f>
        <v>云安区</v>
      </c>
      <c r="C56" s="21">
        <f>[2]底表!AM56</f>
        <v>1</v>
      </c>
      <c r="D56" s="21">
        <f>[2]底表!AN56</f>
        <v>1</v>
      </c>
      <c r="E56" s="23">
        <f>[2]底表!AO56</f>
        <v>0</v>
      </c>
      <c r="F56" s="21">
        <f>[2]底表!AP56</f>
        <v>1</v>
      </c>
      <c r="G56" s="21">
        <f>[2]底表!AQ56</f>
        <v>0</v>
      </c>
      <c r="H56" s="21">
        <f>[2]底表!AR56</f>
        <v>1</v>
      </c>
      <c r="I56" s="21">
        <f>[2]底表!AS56</f>
        <v>0</v>
      </c>
      <c r="J56" s="21">
        <f>[2]底表!AT56</f>
        <v>0</v>
      </c>
      <c r="K56" s="21">
        <f>[2]底表!AU56</f>
        <v>1</v>
      </c>
      <c r="L56" s="21" t="str">
        <f>[2]底表!AV56</f>
        <v>少1起</v>
      </c>
      <c r="M56" s="21">
        <f>[2]底表!AW56</f>
        <v>1</v>
      </c>
      <c r="N56" s="21" t="str">
        <f>[2]底表!AX56</f>
        <v>少1起</v>
      </c>
      <c r="O56" s="21">
        <f>[2]底表!AY56</f>
        <v>0</v>
      </c>
      <c r="P56" s="21">
        <f>[2]底表!AZ56</f>
        <v>1</v>
      </c>
      <c r="Q56" s="21" t="str">
        <f>[2]底表!BA56</f>
        <v>少1起</v>
      </c>
      <c r="R56" s="21">
        <f>[2]底表!BB56</f>
        <v>1</v>
      </c>
      <c r="S56" s="21" t="str">
        <f>[2]底表!BC56</f>
        <v>少1起</v>
      </c>
      <c r="T56" s="21" t="str">
        <f>[2]底表!BD56</f>
        <v/>
      </c>
      <c r="U56" s="21" t="str">
        <f>[2]底表!BE56</f>
        <v/>
      </c>
      <c r="V56" s="21">
        <f>[2]底表!BF56</f>
        <v>1</v>
      </c>
      <c r="W56" s="21">
        <f>[2]底表!BG56</f>
        <v>0</v>
      </c>
      <c r="X56" s="21" t="str">
        <f>[2]底表!BH56</f>
        <v>多1起</v>
      </c>
      <c r="Y56" s="21">
        <f>[2]底表!BI56</f>
        <v>0</v>
      </c>
      <c r="Z56" s="21" t="str">
        <f>[2]底表!BJ56</f>
        <v>多1起</v>
      </c>
      <c r="AA56" s="21">
        <f>[2]底表!BK56</f>
        <v>1</v>
      </c>
      <c r="AB56" s="21">
        <f>[2]底表!BL56</f>
        <v>1</v>
      </c>
      <c r="AC56" s="21">
        <f>[2]底表!BM56</f>
        <v>0</v>
      </c>
      <c r="AD56" s="21" t="str">
        <f>[2]底表!BN56</f>
        <v>多1起</v>
      </c>
      <c r="AE56" s="21">
        <f>[2]底表!BO56</f>
        <v>0</v>
      </c>
      <c r="AF56" s="21" t="str">
        <f>[2]底表!BP56</f>
        <v>多1起</v>
      </c>
      <c r="AG56" s="21">
        <f>[2]底表!BT56</f>
        <v>2</v>
      </c>
      <c r="AH56" s="21">
        <f>[2]底表!BU56</f>
        <v>0</v>
      </c>
      <c r="AI56" s="21">
        <f>[2]底表!BV56</f>
        <v>2</v>
      </c>
      <c r="AJ56" s="21">
        <f>[2]底表!BW56</f>
        <v>0</v>
      </c>
      <c r="AK56" s="21" t="str">
        <f>[2]底表!BX56</f>
        <v/>
      </c>
      <c r="AL56" s="21" t="str">
        <f>[2]底表!BY56</f>
        <v/>
      </c>
      <c r="AM56" s="21">
        <f>[2]底表!BZ56</f>
        <v>0</v>
      </c>
      <c r="AN56" s="21">
        <f>[2]底表!CA56</f>
        <v>0</v>
      </c>
      <c r="AO56" s="21" t="str">
        <f>[2]底表!CB56</f>
        <v>持平</v>
      </c>
      <c r="AP56" s="21">
        <f>[2]底表!CC56</f>
        <v>0</v>
      </c>
      <c r="AQ56" s="21" t="str">
        <f>[2]底表!CD56</f>
        <v>持平</v>
      </c>
      <c r="AR56" s="21" t="str">
        <f>[2]底表!CE56</f>
        <v/>
      </c>
      <c r="AS56" s="21" t="str">
        <f>[2]底表!CF56</f>
        <v/>
      </c>
      <c r="AT56" s="21">
        <f>[2]底表!CG56</f>
        <v>14</v>
      </c>
      <c r="AU56" s="21">
        <f>[2]底表!CH56</f>
        <v>0</v>
      </c>
      <c r="AV56" s="21" t="str">
        <f>[2]底表!CI56</f>
        <v>多14人</v>
      </c>
      <c r="AW56" s="21">
        <f>[2]底表!CJ56</f>
        <v>57</v>
      </c>
      <c r="AX56" s="21">
        <f>[2]底表!CK56</f>
        <v>-0.7544</v>
      </c>
      <c r="AY56" s="21">
        <f>[2]底表!CL56</f>
        <v>1400</v>
      </c>
      <c r="AZ56" s="21">
        <f>[2]底表!CM56</f>
        <v>1400</v>
      </c>
      <c r="BA56" s="21" t="str">
        <f>[2]底表!CN56</f>
        <v/>
      </c>
      <c r="BB56" s="21">
        <f>[2]底表!CO56</f>
        <v>8</v>
      </c>
      <c r="BC56" s="21">
        <f>[2]底表!CP56</f>
        <v>1</v>
      </c>
      <c r="BD56" s="21">
        <f>[2]底表!CQ56</f>
        <v>7</v>
      </c>
      <c r="BE56" s="21">
        <f>[2]底表!CR56</f>
        <v>18</v>
      </c>
      <c r="BF56" s="21">
        <f>[2]底表!CS56</f>
        <v>-0.5556</v>
      </c>
      <c r="BG56" s="21">
        <f>[2]底表!CT56</f>
        <v>0.5714</v>
      </c>
      <c r="BH56" s="21" t="str">
        <f>[2]底表!CU56</f>
        <v/>
      </c>
      <c r="BI56" s="21">
        <f>[2]底表!CV56</f>
        <v>800</v>
      </c>
      <c r="BJ56" s="21">
        <f>[2]底表!CW56</f>
        <v>700</v>
      </c>
      <c r="BK56" s="21">
        <f>[2]底表!CX56</f>
        <v>7</v>
      </c>
      <c r="BL56" s="21">
        <f>[2]底表!CY56</f>
        <v>8</v>
      </c>
      <c r="BM56" s="21">
        <f>[2]底表!CZ56</f>
        <v>1</v>
      </c>
      <c r="BN56" s="23">
        <f>[2]底表!DA56</f>
        <v>7</v>
      </c>
      <c r="BO56" s="21">
        <f>[2]底表!DB56</f>
        <v>20</v>
      </c>
      <c r="BP56" s="21">
        <f>[2]底表!DC56</f>
        <v>-0.6</v>
      </c>
      <c r="BQ56" s="21">
        <f>[2]底表!DD56</f>
        <v>0.5714</v>
      </c>
      <c r="BR56" s="21" t="str">
        <f>[2]底表!DE56</f>
        <v/>
      </c>
      <c r="BS56" s="21">
        <f>[2]底表!DF56</f>
        <v>800</v>
      </c>
      <c r="BT56" s="21">
        <f>[2]底表!DG56</f>
        <v>700</v>
      </c>
      <c r="BU56" s="21">
        <f>[2]底表!DH56</f>
        <v>7</v>
      </c>
      <c r="BV56" s="21">
        <f>[2]底表!DI56</f>
        <v>0</v>
      </c>
      <c r="BW56" s="21">
        <f>[2]底表!DJ56</f>
        <v>0</v>
      </c>
      <c r="BX56" s="23" t="str">
        <f>[2]底表!DK56</f>
        <v>持平</v>
      </c>
      <c r="BY56" s="21">
        <f>[2]底表!DL56</f>
        <v>0</v>
      </c>
      <c r="BZ56" s="21" t="str">
        <f>[2]底表!DM56</f>
        <v>持平</v>
      </c>
      <c r="CA56" s="21">
        <f>[2]底表!DN56</f>
        <v>10</v>
      </c>
      <c r="CB56" s="21">
        <f>[2]底表!DO56</f>
        <v>0</v>
      </c>
      <c r="CC56" s="21" t="str">
        <f>[2]底表!DP56</f>
        <v>多10人</v>
      </c>
      <c r="CD56" s="21">
        <f>[2]底表!DQ56</f>
        <v>9</v>
      </c>
      <c r="CE56" s="21">
        <f>[2]底表!DR56</f>
        <v>0.1111</v>
      </c>
      <c r="CF56" s="21">
        <f>[2]底表!DS56</f>
        <v>10</v>
      </c>
      <c r="CG56" s="21">
        <f>[2]底表!DT56</f>
        <v>0</v>
      </c>
      <c r="CH56" s="21" t="str">
        <f>[2]底表!DU56</f>
        <v>多10人</v>
      </c>
      <c r="CI56" s="21">
        <f>[2]底表!DV56</f>
        <v>9</v>
      </c>
      <c r="CJ56" s="21">
        <f>[2]底表!DW56</f>
        <v>0.1111</v>
      </c>
      <c r="CK56" s="21">
        <f>[2]底表!DX56</f>
        <v>4</v>
      </c>
      <c r="CL56" s="21">
        <f>[2]底表!DY56</f>
        <v>0</v>
      </c>
      <c r="CM56" s="21" t="str">
        <f>[2]底表!DZ56</f>
        <v>多4人</v>
      </c>
      <c r="CN56" s="21">
        <f>[2]底表!EA56</f>
        <v>3</v>
      </c>
      <c r="CO56" s="21">
        <f>[2]底表!EB56</f>
        <v>0.3333</v>
      </c>
      <c r="CP56" s="21">
        <f>[2]底表!EC56</f>
        <v>2</v>
      </c>
      <c r="CQ56" s="21">
        <f>[2]底表!ED56</f>
        <v>2</v>
      </c>
      <c r="CR56" s="21">
        <f>[2]底表!EE56</f>
        <v>0</v>
      </c>
      <c r="CS56" s="21">
        <f>[2]底表!EF56</f>
        <v>3</v>
      </c>
      <c r="CT56" s="21">
        <f>[2]底表!EG56</f>
        <v>-0.3333</v>
      </c>
      <c r="CU56" s="21">
        <f>[2]底表!EH56</f>
        <v>0.25</v>
      </c>
      <c r="CV56" s="21">
        <f>[2]底表!EI56</f>
        <v>-1.75</v>
      </c>
      <c r="CW56" s="21">
        <f>[2]底表!EJ56</f>
        <v>200</v>
      </c>
      <c r="CX56" s="21">
        <f>[2]底表!EK56</f>
        <v>0</v>
      </c>
      <c r="CY56" s="21">
        <f>[2]底表!EL56</f>
        <v>0</v>
      </c>
      <c r="CZ56" s="21">
        <f>[2]底表!EM56</f>
        <v>2</v>
      </c>
      <c r="DA56" s="21">
        <f>[2]底表!EN56</f>
        <v>2</v>
      </c>
      <c r="DB56" s="21">
        <f>[2]底表!EO56</f>
        <v>0</v>
      </c>
      <c r="DC56" s="21">
        <f>[2]底表!EP56</f>
        <v>3</v>
      </c>
      <c r="DD56" s="21">
        <f>[2]底表!EQ56</f>
        <v>-0.3333</v>
      </c>
      <c r="DE56" s="21">
        <f>[2]底表!ER56</f>
        <v>3</v>
      </c>
      <c r="DF56" s="21">
        <f>[2]底表!ES56</f>
        <v>2</v>
      </c>
      <c r="DG56" s="23">
        <f>[2]底表!ET56</f>
        <v>0.5</v>
      </c>
      <c r="DH56" s="21">
        <f>[2]底表!EU56</f>
        <v>3</v>
      </c>
      <c r="DI56" s="21">
        <f>[2]底表!EV56</f>
        <v>0</v>
      </c>
      <c r="DJ56" s="21">
        <f>[2]底表!EW56</f>
        <v>0.375</v>
      </c>
      <c r="DK56" s="21">
        <f>[2]底表!EX56</f>
        <v>-1.625</v>
      </c>
      <c r="DL56" s="21">
        <f>[2]底表!EY56</f>
        <v>300</v>
      </c>
      <c r="DM56" s="21">
        <f>[2]底表!EZ56</f>
        <v>100</v>
      </c>
      <c r="DN56" s="21">
        <f>[2]底表!FA56</f>
        <v>0.5</v>
      </c>
      <c r="DO56" s="21">
        <f>[2]底表!BQ56</f>
        <v>2</v>
      </c>
      <c r="DP56" s="21">
        <f>[2]底表!BR56</f>
        <v>2</v>
      </c>
      <c r="DQ56" s="24">
        <f>[2]底表!BS56</f>
        <v>0</v>
      </c>
    </row>
    <row r="57" s="2" customFormat="1" ht="32" hidden="1" customHeight="1" spans="1:121">
      <c r="A57" s="27" t="str">
        <f>[2]底表!A57</f>
        <v>涉赌</v>
      </c>
      <c r="B57" s="28" t="str">
        <f>[2]底表!B57</f>
        <v>新兴县</v>
      </c>
      <c r="C57" s="21">
        <f>[2]底表!AM57</f>
        <v>3</v>
      </c>
      <c r="D57" s="21">
        <f>[2]底表!AN57</f>
        <v>1</v>
      </c>
      <c r="E57" s="23">
        <f>[2]底表!AO57</f>
        <v>2</v>
      </c>
      <c r="F57" s="21">
        <f>[2]底表!AP57</f>
        <v>2</v>
      </c>
      <c r="G57" s="21">
        <f>[2]底表!AQ57</f>
        <v>0.5</v>
      </c>
      <c r="H57" s="21">
        <f>[2]底表!AR57</f>
        <v>0.75</v>
      </c>
      <c r="I57" s="21">
        <f>[2]底表!AS57</f>
        <v>0.25</v>
      </c>
      <c r="J57" s="21">
        <f>[2]底表!AT57</f>
        <v>2</v>
      </c>
      <c r="K57" s="21">
        <f>[2]底表!AU57</f>
        <v>1</v>
      </c>
      <c r="L57" s="21">
        <f>[2]底表!AV57</f>
        <v>1</v>
      </c>
      <c r="M57" s="21">
        <f>[2]底表!AW57</f>
        <v>1</v>
      </c>
      <c r="N57" s="21">
        <f>[2]底表!AX57</f>
        <v>1</v>
      </c>
      <c r="O57" s="21">
        <f>[2]底表!AY57</f>
        <v>1</v>
      </c>
      <c r="P57" s="21">
        <f>[2]底表!AZ57</f>
        <v>0</v>
      </c>
      <c r="Q57" s="21" t="str">
        <f>[2]底表!BA57</f>
        <v>多1起</v>
      </c>
      <c r="R57" s="21">
        <f>[2]底表!BB57</f>
        <v>2</v>
      </c>
      <c r="S57" s="21">
        <f>[2]底表!BC57</f>
        <v>-0.5</v>
      </c>
      <c r="T57" s="21">
        <f>[2]底表!BD57</f>
        <v>0.5</v>
      </c>
      <c r="U57" s="21">
        <f>[2]底表!BE57</f>
        <v>0.5</v>
      </c>
      <c r="V57" s="21">
        <f>[2]底表!BF57</f>
        <v>2</v>
      </c>
      <c r="W57" s="21">
        <f>[2]底表!BG57</f>
        <v>1</v>
      </c>
      <c r="X57" s="21">
        <f>[2]底表!BH57</f>
        <v>1</v>
      </c>
      <c r="Y57" s="21">
        <f>[2]底表!BI57</f>
        <v>0</v>
      </c>
      <c r="Z57" s="21" t="str">
        <f>[2]底表!BJ57</f>
        <v>多2起</v>
      </c>
      <c r="AA57" s="21">
        <f>[2]底表!BK57</f>
        <v>0.5</v>
      </c>
      <c r="AB57" s="21">
        <f>[2]底表!BL57</f>
        <v>2</v>
      </c>
      <c r="AC57" s="21">
        <f>[2]底表!BM57</f>
        <v>1</v>
      </c>
      <c r="AD57" s="21">
        <f>[2]底表!BN57</f>
        <v>1</v>
      </c>
      <c r="AE57" s="21">
        <f>[2]底表!BO57</f>
        <v>0</v>
      </c>
      <c r="AF57" s="21" t="str">
        <f>[2]底表!BP57</f>
        <v>多2起</v>
      </c>
      <c r="AG57" s="21">
        <f>[2]底表!BT57</f>
        <v>2</v>
      </c>
      <c r="AH57" s="21">
        <f>[2]底表!BU57</f>
        <v>0</v>
      </c>
      <c r="AI57" s="21">
        <f>[2]底表!BV57</f>
        <v>0.5</v>
      </c>
      <c r="AJ57" s="21">
        <f>[2]底表!BW57</f>
        <v>-1.5</v>
      </c>
      <c r="AK57" s="21">
        <f>[2]底表!BX57</f>
        <v>1</v>
      </c>
      <c r="AL57" s="21">
        <f>[2]底表!BY57</f>
        <v>-3</v>
      </c>
      <c r="AM57" s="21">
        <f>[2]底表!BZ57</f>
        <v>0</v>
      </c>
      <c r="AN57" s="21">
        <f>[2]底表!CA57</f>
        <v>0</v>
      </c>
      <c r="AO57" s="21" t="str">
        <f>[2]底表!CB57</f>
        <v>持平</v>
      </c>
      <c r="AP57" s="21">
        <f>[2]底表!CC57</f>
        <v>0</v>
      </c>
      <c r="AQ57" s="21" t="str">
        <f>[2]底表!CD57</f>
        <v>持平</v>
      </c>
      <c r="AR57" s="21" t="str">
        <f>[2]底表!CE57</f>
        <v/>
      </c>
      <c r="AS57" s="21" t="str">
        <f>[2]底表!CF57</f>
        <v/>
      </c>
      <c r="AT57" s="21">
        <f>[2]底表!CG57</f>
        <v>9</v>
      </c>
      <c r="AU57" s="21">
        <f>[2]底表!CH57</f>
        <v>16</v>
      </c>
      <c r="AV57" s="21">
        <f>[2]底表!CI57</f>
        <v>-0.4375</v>
      </c>
      <c r="AW57" s="21">
        <f>[2]底表!CJ57</f>
        <v>1</v>
      </c>
      <c r="AX57" s="21">
        <f>[2]底表!CK57</f>
        <v>8</v>
      </c>
      <c r="AY57" s="21">
        <f>[2]底表!CL57</f>
        <v>225</v>
      </c>
      <c r="AZ57" s="21">
        <f>[2]底表!CM57</f>
        <v>-575</v>
      </c>
      <c r="BA57" s="21">
        <f>[2]底表!CN57</f>
        <v>-0.7188</v>
      </c>
      <c r="BB57" s="21">
        <f>[2]底表!CO57</f>
        <v>9</v>
      </c>
      <c r="BC57" s="21">
        <f>[2]底表!CP57</f>
        <v>6</v>
      </c>
      <c r="BD57" s="21">
        <f>[2]底表!CQ57</f>
        <v>0.5</v>
      </c>
      <c r="BE57" s="21">
        <f>[2]底表!CR57</f>
        <v>3</v>
      </c>
      <c r="BF57" s="21">
        <f>[2]底表!CS57</f>
        <v>2</v>
      </c>
      <c r="BG57" s="21">
        <f>[2]底表!CT57</f>
        <v>1</v>
      </c>
      <c r="BH57" s="21">
        <f>[2]底表!CU57</f>
        <v>0.625</v>
      </c>
      <c r="BI57" s="21">
        <f>[2]底表!CV57</f>
        <v>225</v>
      </c>
      <c r="BJ57" s="21">
        <f>[2]底表!CW57</f>
        <v>-75</v>
      </c>
      <c r="BK57" s="21">
        <f>[2]底表!CX57</f>
        <v>-0.25</v>
      </c>
      <c r="BL57" s="21">
        <f>[2]底表!CY57</f>
        <v>10</v>
      </c>
      <c r="BM57" s="21">
        <f>[2]底表!CZ57</f>
        <v>6</v>
      </c>
      <c r="BN57" s="23">
        <f>[2]底表!DA57</f>
        <v>0.6667</v>
      </c>
      <c r="BO57" s="21">
        <f>[2]底表!DB57</f>
        <v>3</v>
      </c>
      <c r="BP57" s="21">
        <f>[2]底表!DC57</f>
        <v>2.3333</v>
      </c>
      <c r="BQ57" s="21">
        <f>[2]底表!DD57</f>
        <v>1.1111</v>
      </c>
      <c r="BR57" s="21">
        <f>[2]底表!DE57</f>
        <v>0.7361</v>
      </c>
      <c r="BS57" s="21">
        <f>[2]底表!DF57</f>
        <v>250</v>
      </c>
      <c r="BT57" s="21">
        <f>[2]底表!DG57</f>
        <v>-50</v>
      </c>
      <c r="BU57" s="21">
        <f>[2]底表!DH57</f>
        <v>-0.1667</v>
      </c>
      <c r="BV57" s="21">
        <f>[2]底表!DI57</f>
        <v>7</v>
      </c>
      <c r="BW57" s="21">
        <f>[2]底表!DJ57</f>
        <v>18</v>
      </c>
      <c r="BX57" s="23">
        <f>[2]底表!DK57</f>
        <v>-0.6111</v>
      </c>
      <c r="BY57" s="21">
        <f>[2]底表!DL57</f>
        <v>16</v>
      </c>
      <c r="BZ57" s="21">
        <f>[2]底表!DM57</f>
        <v>-0.5625</v>
      </c>
      <c r="CA57" s="21">
        <f>[2]底表!DN57</f>
        <v>6</v>
      </c>
      <c r="CB57" s="21">
        <f>[2]底表!DO57</f>
        <v>1</v>
      </c>
      <c r="CC57" s="21">
        <f>[2]底表!DP57</f>
        <v>5</v>
      </c>
      <c r="CD57" s="21">
        <f>[2]底表!DQ57</f>
        <v>0</v>
      </c>
      <c r="CE57" s="21" t="str">
        <f>[2]底表!DR57</f>
        <v>多6人</v>
      </c>
      <c r="CF57" s="21">
        <f>[2]底表!DS57</f>
        <v>6</v>
      </c>
      <c r="CG57" s="21">
        <f>[2]底表!DT57</f>
        <v>1</v>
      </c>
      <c r="CH57" s="21">
        <f>[2]底表!DU57</f>
        <v>5</v>
      </c>
      <c r="CI57" s="21">
        <f>[2]底表!DV57</f>
        <v>0</v>
      </c>
      <c r="CJ57" s="21" t="str">
        <f>[2]底表!DW57</f>
        <v>多6人</v>
      </c>
      <c r="CK57" s="21">
        <f>[2]底表!DX57</f>
        <v>5</v>
      </c>
      <c r="CL57" s="21">
        <f>[2]底表!DY57</f>
        <v>1</v>
      </c>
      <c r="CM57" s="21">
        <f>[2]底表!DZ57</f>
        <v>4</v>
      </c>
      <c r="CN57" s="21">
        <f>[2]底表!EA57</f>
        <v>2</v>
      </c>
      <c r="CO57" s="21">
        <f>[2]底表!EB57</f>
        <v>1.5</v>
      </c>
      <c r="CP57" s="21">
        <f>[2]底表!EC57</f>
        <v>0</v>
      </c>
      <c r="CQ57" s="21">
        <f>[2]底表!ED57</f>
        <v>0</v>
      </c>
      <c r="CR57" s="21" t="str">
        <f>[2]底表!EE57</f>
        <v>持平</v>
      </c>
      <c r="CS57" s="21">
        <f>[2]底表!EF57</f>
        <v>0</v>
      </c>
      <c r="CT57" s="21" t="str">
        <f>[2]底表!EG57</f>
        <v>持平</v>
      </c>
      <c r="CU57" s="21">
        <f>[2]底表!EH57</f>
        <v>0</v>
      </c>
      <c r="CV57" s="21">
        <f>[2]底表!EI57</f>
        <v>0</v>
      </c>
      <c r="CW57" s="21">
        <f>[2]底表!EJ57</f>
        <v>0</v>
      </c>
      <c r="CX57" s="21">
        <f>[2]底表!EK57</f>
        <v>0</v>
      </c>
      <c r="CY57" s="21" t="str">
        <f>[2]底表!EL57</f>
        <v/>
      </c>
      <c r="CZ57" s="21">
        <f>[2]底表!EM57</f>
        <v>0</v>
      </c>
      <c r="DA57" s="21">
        <f>[2]底表!EN57</f>
        <v>0</v>
      </c>
      <c r="DB57" s="21" t="str">
        <f>[2]底表!EO57</f>
        <v>持平</v>
      </c>
      <c r="DC57" s="21">
        <f>[2]底表!EP57</f>
        <v>0</v>
      </c>
      <c r="DD57" s="21" t="str">
        <f>[2]底表!EQ57</f>
        <v>持平</v>
      </c>
      <c r="DE57" s="21">
        <f>[2]底表!ER57</f>
        <v>5</v>
      </c>
      <c r="DF57" s="21">
        <f>[2]底表!ES57</f>
        <v>4</v>
      </c>
      <c r="DG57" s="23">
        <f>[2]底表!ET57</f>
        <v>0.25</v>
      </c>
      <c r="DH57" s="21">
        <f>[2]底表!EU57</f>
        <v>4</v>
      </c>
      <c r="DI57" s="21">
        <f>[2]底表!EV57</f>
        <v>0.25</v>
      </c>
      <c r="DJ57" s="21">
        <f>[2]底表!EW57</f>
        <v>0.5556</v>
      </c>
      <c r="DK57" s="21">
        <f>[2]底表!EX57</f>
        <v>-0.1111</v>
      </c>
      <c r="DL57" s="21">
        <f>[2]底表!EY57</f>
        <v>125</v>
      </c>
      <c r="DM57" s="21">
        <f>[2]底表!EZ57</f>
        <v>-75</v>
      </c>
      <c r="DN57" s="21">
        <f>[2]底表!FA57</f>
        <v>-0.375</v>
      </c>
      <c r="DO57" s="21">
        <f>[2]底表!BQ57</f>
        <v>2</v>
      </c>
      <c r="DP57" s="21">
        <f>[2]底表!BR57</f>
        <v>4</v>
      </c>
      <c r="DQ57" s="24">
        <f>[2]底表!BS57</f>
        <v>-0.5</v>
      </c>
    </row>
    <row r="58" s="2" customFormat="1" ht="32" hidden="1" customHeight="1" spans="1:121">
      <c r="A58" s="27" t="str">
        <f>[2]底表!A58</f>
        <v>涉赌</v>
      </c>
      <c r="B58" s="28" t="str">
        <f>[2]底表!B58</f>
        <v>郁南县</v>
      </c>
      <c r="C58" s="21">
        <f>[2]底表!AM58</f>
        <v>2</v>
      </c>
      <c r="D58" s="21">
        <f>[2]底表!AN58</f>
        <v>1</v>
      </c>
      <c r="E58" s="23">
        <f>[2]底表!AO58</f>
        <v>1</v>
      </c>
      <c r="F58" s="21">
        <f>[2]底表!AP58</f>
        <v>0</v>
      </c>
      <c r="G58" s="21" t="str">
        <f>[2]底表!AQ58</f>
        <v>多2起</v>
      </c>
      <c r="H58" s="21">
        <f>[2]底表!AR58</f>
        <v>1</v>
      </c>
      <c r="I58" s="21">
        <f>[2]底表!AS58</f>
        <v>0.5</v>
      </c>
      <c r="J58" s="21">
        <f>[2]底表!AT58</f>
        <v>2</v>
      </c>
      <c r="K58" s="21">
        <f>[2]底表!AU58</f>
        <v>2</v>
      </c>
      <c r="L58" s="21">
        <f>[2]底表!AV58</f>
        <v>0</v>
      </c>
      <c r="M58" s="21">
        <f>[2]底表!AW58</f>
        <v>0</v>
      </c>
      <c r="N58" s="21" t="str">
        <f>[2]底表!AX58</f>
        <v>多2起</v>
      </c>
      <c r="O58" s="21">
        <f>[2]底表!AY58</f>
        <v>2</v>
      </c>
      <c r="P58" s="21">
        <f>[2]底表!AZ58</f>
        <v>1</v>
      </c>
      <c r="Q58" s="21">
        <f>[2]底表!BA58</f>
        <v>1</v>
      </c>
      <c r="R58" s="21">
        <f>[2]底表!BB58</f>
        <v>0</v>
      </c>
      <c r="S58" s="21" t="str">
        <f>[2]底表!BC58</f>
        <v>多2起</v>
      </c>
      <c r="T58" s="21">
        <f>[2]底表!BD58</f>
        <v>1</v>
      </c>
      <c r="U58" s="21">
        <f>[2]底表!BE58</f>
        <v>0.5</v>
      </c>
      <c r="V58" s="21">
        <f>[2]底表!BF58</f>
        <v>0</v>
      </c>
      <c r="W58" s="21">
        <f>[2]底表!BG58</f>
        <v>0</v>
      </c>
      <c r="X58" s="21" t="str">
        <f>[2]底表!BH58</f>
        <v>持平</v>
      </c>
      <c r="Y58" s="21">
        <f>[2]底表!BI58</f>
        <v>0</v>
      </c>
      <c r="Z58" s="21" t="str">
        <f>[2]底表!BJ58</f>
        <v>持平</v>
      </c>
      <c r="AA58" s="21">
        <f>[2]底表!BK58</f>
        <v>0</v>
      </c>
      <c r="AB58" s="21">
        <f>[2]底表!BL58</f>
        <v>0</v>
      </c>
      <c r="AC58" s="21">
        <f>[2]底表!BM58</f>
        <v>0</v>
      </c>
      <c r="AD58" s="21" t="str">
        <f>[2]底表!BN58</f>
        <v>持平</v>
      </c>
      <c r="AE58" s="21">
        <f>[2]底表!BO58</f>
        <v>0</v>
      </c>
      <c r="AF58" s="21" t="str">
        <f>[2]底表!BP58</f>
        <v>持平</v>
      </c>
      <c r="AG58" s="21">
        <f>[2]底表!BT58</f>
        <v>4</v>
      </c>
      <c r="AH58" s="21">
        <f>[2]底表!BU58</f>
        <v>-0.25</v>
      </c>
      <c r="AI58" s="21">
        <f>[2]底表!BV58</f>
        <v>1.5</v>
      </c>
      <c r="AJ58" s="21">
        <f>[2]底表!BW58</f>
        <v>1.5</v>
      </c>
      <c r="AK58" s="21">
        <f>[2]底表!BX58</f>
        <v>1.5</v>
      </c>
      <c r="AL58" s="21">
        <f>[2]底表!BY58</f>
        <v>1.5</v>
      </c>
      <c r="AM58" s="21">
        <f>[2]底表!BZ58</f>
        <v>0</v>
      </c>
      <c r="AN58" s="21">
        <f>[2]底表!CA58</f>
        <v>0</v>
      </c>
      <c r="AO58" s="21" t="str">
        <f>[2]底表!CB58</f>
        <v>持平</v>
      </c>
      <c r="AP58" s="21">
        <f>[2]底表!CC58</f>
        <v>0</v>
      </c>
      <c r="AQ58" s="21" t="str">
        <f>[2]底表!CD58</f>
        <v>持平</v>
      </c>
      <c r="AR58" s="21" t="str">
        <f>[2]底表!CE58</f>
        <v/>
      </c>
      <c r="AS58" s="21" t="str">
        <f>[2]底表!CF58</f>
        <v/>
      </c>
      <c r="AT58" s="21">
        <f>[2]底表!CG58</f>
        <v>4</v>
      </c>
      <c r="AU58" s="21">
        <f>[2]底表!CH58</f>
        <v>7</v>
      </c>
      <c r="AV58" s="21">
        <f>[2]底表!CI58</f>
        <v>-0.4286</v>
      </c>
      <c r="AW58" s="21">
        <f>[2]底表!CJ58</f>
        <v>1</v>
      </c>
      <c r="AX58" s="21">
        <f>[2]底表!CK58</f>
        <v>3</v>
      </c>
      <c r="AY58" s="21">
        <f>[2]底表!CL58</f>
        <v>200</v>
      </c>
      <c r="AZ58" s="21">
        <f>[2]底表!CM58</f>
        <v>-150</v>
      </c>
      <c r="BA58" s="21">
        <f>[2]底表!CN58</f>
        <v>-0.4286</v>
      </c>
      <c r="BB58" s="21">
        <f>[2]底表!CO58</f>
        <v>3</v>
      </c>
      <c r="BC58" s="21">
        <f>[2]底表!CP58</f>
        <v>2</v>
      </c>
      <c r="BD58" s="21">
        <f>[2]底表!CQ58</f>
        <v>0.5</v>
      </c>
      <c r="BE58" s="21">
        <f>[2]底表!CR58</f>
        <v>0</v>
      </c>
      <c r="BF58" s="21" t="str">
        <f>[2]底表!CS58</f>
        <v>多3人</v>
      </c>
      <c r="BG58" s="21">
        <f>[2]底表!CT58</f>
        <v>0.75</v>
      </c>
      <c r="BH58" s="21">
        <f>[2]底表!CU58</f>
        <v>0.4643</v>
      </c>
      <c r="BI58" s="21">
        <f>[2]底表!CV58</f>
        <v>150</v>
      </c>
      <c r="BJ58" s="21">
        <f>[2]底表!CW58</f>
        <v>50</v>
      </c>
      <c r="BK58" s="21">
        <f>[2]底表!CX58</f>
        <v>0.5</v>
      </c>
      <c r="BL58" s="21">
        <f>[2]底表!CY58</f>
        <v>4</v>
      </c>
      <c r="BM58" s="21">
        <f>[2]底表!CZ58</f>
        <v>2</v>
      </c>
      <c r="BN58" s="23">
        <f>[2]底表!DA58</f>
        <v>1</v>
      </c>
      <c r="BO58" s="21">
        <f>[2]底表!DB58</f>
        <v>0</v>
      </c>
      <c r="BP58" s="21" t="str">
        <f>[2]底表!DC58</f>
        <v>多4人</v>
      </c>
      <c r="BQ58" s="21">
        <f>[2]底表!DD58</f>
        <v>1</v>
      </c>
      <c r="BR58" s="21">
        <f>[2]底表!DE58</f>
        <v>0.7143</v>
      </c>
      <c r="BS58" s="21">
        <f>[2]底表!DF58</f>
        <v>200</v>
      </c>
      <c r="BT58" s="21">
        <f>[2]底表!DG58</f>
        <v>100</v>
      </c>
      <c r="BU58" s="21">
        <f>[2]底表!DH58</f>
        <v>1</v>
      </c>
      <c r="BV58" s="21">
        <f>[2]底表!DI58</f>
        <v>4</v>
      </c>
      <c r="BW58" s="21">
        <f>[2]底表!DJ58</f>
        <v>2</v>
      </c>
      <c r="BX58" s="23">
        <f>[2]底表!DK58</f>
        <v>1</v>
      </c>
      <c r="BY58" s="21">
        <f>[2]底表!DL58</f>
        <v>9</v>
      </c>
      <c r="BZ58" s="21">
        <f>[2]底表!DM58</f>
        <v>-0.5556</v>
      </c>
      <c r="CA58" s="21">
        <f>[2]底表!DN58</f>
        <v>2</v>
      </c>
      <c r="CB58" s="21">
        <f>[2]底表!DO58</f>
        <v>5</v>
      </c>
      <c r="CC58" s="21">
        <f>[2]底表!DP58</f>
        <v>-0.6</v>
      </c>
      <c r="CD58" s="21">
        <f>[2]底表!DQ58</f>
        <v>5</v>
      </c>
      <c r="CE58" s="21">
        <f>[2]底表!DR58</f>
        <v>-0.6</v>
      </c>
      <c r="CF58" s="21">
        <f>[2]底表!DS58</f>
        <v>2</v>
      </c>
      <c r="CG58" s="21">
        <f>[2]底表!DT58</f>
        <v>5</v>
      </c>
      <c r="CH58" s="21">
        <f>[2]底表!DU58</f>
        <v>-0.6</v>
      </c>
      <c r="CI58" s="21">
        <f>[2]底表!DV58</f>
        <v>5</v>
      </c>
      <c r="CJ58" s="21">
        <f>[2]底表!DW58</f>
        <v>-0.6</v>
      </c>
      <c r="CK58" s="21">
        <f>[2]底表!DX58</f>
        <v>1</v>
      </c>
      <c r="CL58" s="21">
        <f>[2]底表!DY58</f>
        <v>0</v>
      </c>
      <c r="CM58" s="21" t="str">
        <f>[2]底表!DZ58</f>
        <v>多1人</v>
      </c>
      <c r="CN58" s="21">
        <f>[2]底表!EA58</f>
        <v>8</v>
      </c>
      <c r="CO58" s="21">
        <f>[2]底表!EB58</f>
        <v>-0.875</v>
      </c>
      <c r="CP58" s="21">
        <f>[2]底表!EC58</f>
        <v>3</v>
      </c>
      <c r="CQ58" s="21">
        <f>[2]底表!ED58</f>
        <v>0</v>
      </c>
      <c r="CR58" s="21" t="str">
        <f>[2]底表!EE58</f>
        <v>多3人</v>
      </c>
      <c r="CS58" s="21">
        <f>[2]底表!EF58</f>
        <v>6</v>
      </c>
      <c r="CT58" s="21">
        <f>[2]底表!EG58</f>
        <v>-0.5</v>
      </c>
      <c r="CU58" s="21">
        <f>[2]底表!EH58</f>
        <v>1</v>
      </c>
      <c r="CV58" s="21">
        <f>[2]底表!EI58</f>
        <v>1</v>
      </c>
      <c r="CW58" s="21">
        <f>[2]底表!EJ58</f>
        <v>150</v>
      </c>
      <c r="CX58" s="21">
        <f>[2]底表!EK58</f>
        <v>150</v>
      </c>
      <c r="CY58" s="21" t="str">
        <f>[2]底表!EL58</f>
        <v/>
      </c>
      <c r="CZ58" s="21">
        <f>[2]底表!EM58</f>
        <v>3</v>
      </c>
      <c r="DA58" s="21">
        <f>[2]底表!EN58</f>
        <v>0</v>
      </c>
      <c r="DB58" s="21" t="str">
        <f>[2]底表!EO58</f>
        <v>多3人</v>
      </c>
      <c r="DC58" s="21">
        <f>[2]底表!EP58</f>
        <v>6</v>
      </c>
      <c r="DD58" s="21">
        <f>[2]底表!EQ58</f>
        <v>-0.5</v>
      </c>
      <c r="DE58" s="21">
        <f>[2]底表!ER58</f>
        <v>10</v>
      </c>
      <c r="DF58" s="21">
        <f>[2]底表!ES58</f>
        <v>0</v>
      </c>
      <c r="DG58" s="23" t="str">
        <f>[2]底表!ET58</f>
        <v>多10人</v>
      </c>
      <c r="DH58" s="21">
        <f>[2]底表!EU58</f>
        <v>8</v>
      </c>
      <c r="DI58" s="21">
        <f>[2]底表!EV58</f>
        <v>0.25</v>
      </c>
      <c r="DJ58" s="21">
        <f>[2]底表!EW58</f>
        <v>3.3333</v>
      </c>
      <c r="DK58" s="21">
        <f>[2]底表!EX58</f>
        <v>3.3333</v>
      </c>
      <c r="DL58" s="21">
        <f>[2]底表!EY58</f>
        <v>500</v>
      </c>
      <c r="DM58" s="21">
        <f>[2]底表!EZ58</f>
        <v>500</v>
      </c>
      <c r="DN58" s="21" t="str">
        <f>[2]底表!FA58</f>
        <v/>
      </c>
      <c r="DO58" s="21">
        <f>[2]底表!BQ58</f>
        <v>3</v>
      </c>
      <c r="DP58" s="21">
        <f>[2]底表!BR58</f>
        <v>0</v>
      </c>
      <c r="DQ58" s="24" t="str">
        <f>[2]底表!BS58</f>
        <v>多3起</v>
      </c>
    </row>
    <row r="59" s="2" customFormat="1" ht="32" hidden="1" customHeight="1" spans="1:121">
      <c r="A59" s="27" t="str">
        <f>[2]底表!A59</f>
        <v>涉赌</v>
      </c>
      <c r="B59" s="28" t="str">
        <f>[2]底表!B59</f>
        <v>罗定市</v>
      </c>
      <c r="C59" s="21">
        <f>[2]底表!AM59</f>
        <v>2</v>
      </c>
      <c r="D59" s="21">
        <f>[2]底表!AN59</f>
        <v>1</v>
      </c>
      <c r="E59" s="23">
        <f>[2]底表!AO59</f>
        <v>1</v>
      </c>
      <c r="F59" s="21">
        <f>[2]底表!AP59</f>
        <v>2</v>
      </c>
      <c r="G59" s="21">
        <f>[2]底表!AQ59</f>
        <v>0</v>
      </c>
      <c r="H59" s="21">
        <f>[2]底表!AR59</f>
        <v>1</v>
      </c>
      <c r="I59" s="21">
        <f>[2]底表!AS59</f>
        <v>0</v>
      </c>
      <c r="J59" s="21">
        <f>[2]底表!AT59</f>
        <v>0</v>
      </c>
      <c r="K59" s="21">
        <f>[2]底表!AU59</f>
        <v>1</v>
      </c>
      <c r="L59" s="21" t="str">
        <f>[2]底表!AV59</f>
        <v>少1起</v>
      </c>
      <c r="M59" s="21">
        <f>[2]底表!AW59</f>
        <v>0</v>
      </c>
      <c r="N59" s="21" t="str">
        <f>[2]底表!AX59</f>
        <v>持平</v>
      </c>
      <c r="O59" s="21">
        <f>[2]底表!AY59</f>
        <v>0</v>
      </c>
      <c r="P59" s="21">
        <f>[2]底表!AZ59</f>
        <v>0</v>
      </c>
      <c r="Q59" s="21" t="str">
        <f>[2]底表!BA59</f>
        <v>持平</v>
      </c>
      <c r="R59" s="21">
        <f>[2]底表!BB59</f>
        <v>1</v>
      </c>
      <c r="S59" s="21" t="str">
        <f>[2]底表!BC59</f>
        <v>少1起</v>
      </c>
      <c r="T59" s="21" t="str">
        <f>[2]底表!BD59</f>
        <v/>
      </c>
      <c r="U59" s="21" t="str">
        <f>[2]底表!BE59</f>
        <v/>
      </c>
      <c r="V59" s="21">
        <f>[2]底表!BF59</f>
        <v>2</v>
      </c>
      <c r="W59" s="21">
        <f>[2]底表!BG59</f>
        <v>0</v>
      </c>
      <c r="X59" s="21" t="str">
        <f>[2]底表!BH59</f>
        <v>多2起</v>
      </c>
      <c r="Y59" s="21">
        <f>[2]底表!BI59</f>
        <v>0</v>
      </c>
      <c r="Z59" s="21" t="str">
        <f>[2]底表!BJ59</f>
        <v>多2起</v>
      </c>
      <c r="AA59" s="21">
        <f>[2]底表!BK59</f>
        <v>1</v>
      </c>
      <c r="AB59" s="21">
        <f>[2]底表!BL59</f>
        <v>2</v>
      </c>
      <c r="AC59" s="21">
        <f>[2]底表!BM59</f>
        <v>1</v>
      </c>
      <c r="AD59" s="21">
        <f>[2]底表!BN59</f>
        <v>1</v>
      </c>
      <c r="AE59" s="21">
        <f>[2]底表!BO59</f>
        <v>1</v>
      </c>
      <c r="AF59" s="21">
        <f>[2]底表!BP59</f>
        <v>1</v>
      </c>
      <c r="AG59" s="21">
        <f>[2]底表!BT59</f>
        <v>1</v>
      </c>
      <c r="AH59" s="21">
        <f>[2]底表!BU59</f>
        <v>0</v>
      </c>
      <c r="AI59" s="21">
        <f>[2]底表!BV59</f>
        <v>0.5</v>
      </c>
      <c r="AJ59" s="21">
        <f>[2]底表!BW59</f>
        <v>-1.5</v>
      </c>
      <c r="AK59" s="21" t="str">
        <f>[2]底表!BX59</f>
        <v/>
      </c>
      <c r="AL59" s="21" t="str">
        <f>[2]底表!BY59</f>
        <v/>
      </c>
      <c r="AM59" s="21">
        <f>[2]底表!BZ59</f>
        <v>0</v>
      </c>
      <c r="AN59" s="21">
        <f>[2]底表!CA59</f>
        <v>0</v>
      </c>
      <c r="AO59" s="21" t="str">
        <f>[2]底表!CB59</f>
        <v>持平</v>
      </c>
      <c r="AP59" s="21">
        <f>[2]底表!CC59</f>
        <v>0</v>
      </c>
      <c r="AQ59" s="21" t="str">
        <f>[2]底表!CD59</f>
        <v>持平</v>
      </c>
      <c r="AR59" s="21" t="str">
        <f>[2]底表!CE59</f>
        <v/>
      </c>
      <c r="AS59" s="21" t="str">
        <f>[2]底表!CF59</f>
        <v/>
      </c>
      <c r="AT59" s="21">
        <f>[2]底表!CG59</f>
        <v>13</v>
      </c>
      <c r="AU59" s="21">
        <f>[2]底表!CH59</f>
        <v>3</v>
      </c>
      <c r="AV59" s="21">
        <f>[2]底表!CI59</f>
        <v>3.3333</v>
      </c>
      <c r="AW59" s="21">
        <f>[2]底表!CJ59</f>
        <v>24</v>
      </c>
      <c r="AX59" s="21">
        <f>[2]底表!CK59</f>
        <v>-0.4583</v>
      </c>
      <c r="AY59" s="21">
        <f>[2]底表!CL59</f>
        <v>650</v>
      </c>
      <c r="AZ59" s="21">
        <f>[2]底表!CM59</f>
        <v>350</v>
      </c>
      <c r="BA59" s="21">
        <f>[2]底表!CN59</f>
        <v>1.1667</v>
      </c>
      <c r="BB59" s="21">
        <f>[2]底表!CO59</f>
        <v>8</v>
      </c>
      <c r="BC59" s="21">
        <f>[2]底表!CP59</f>
        <v>15</v>
      </c>
      <c r="BD59" s="21">
        <f>[2]底表!CQ59</f>
        <v>-0.4667</v>
      </c>
      <c r="BE59" s="21">
        <f>[2]底表!CR59</f>
        <v>0</v>
      </c>
      <c r="BF59" s="21" t="str">
        <f>[2]底表!CS59</f>
        <v>多8人</v>
      </c>
      <c r="BG59" s="21">
        <f>[2]底表!CT59</f>
        <v>0.6154</v>
      </c>
      <c r="BH59" s="21">
        <f>[2]底表!CU59</f>
        <v>-4.3846</v>
      </c>
      <c r="BI59" s="21">
        <f>[2]底表!CV59</f>
        <v>400</v>
      </c>
      <c r="BJ59" s="21">
        <f>[2]底表!CW59</f>
        <v>-1100</v>
      </c>
      <c r="BK59" s="21">
        <f>[2]底表!CX59</f>
        <v>-0.7333</v>
      </c>
      <c r="BL59" s="21">
        <f>[2]底表!CY59</f>
        <v>8</v>
      </c>
      <c r="BM59" s="21">
        <f>[2]底表!CZ59</f>
        <v>15</v>
      </c>
      <c r="BN59" s="23">
        <f>[2]底表!DA59</f>
        <v>-0.4667</v>
      </c>
      <c r="BO59" s="21">
        <f>[2]底表!DB59</f>
        <v>0</v>
      </c>
      <c r="BP59" s="21" t="str">
        <f>[2]底表!DC59</f>
        <v>多8人</v>
      </c>
      <c r="BQ59" s="21">
        <f>[2]底表!DD59</f>
        <v>0.6154</v>
      </c>
      <c r="BR59" s="21">
        <f>[2]底表!DE59</f>
        <v>-4.3846</v>
      </c>
      <c r="BS59" s="21">
        <f>[2]底表!DF59</f>
        <v>400</v>
      </c>
      <c r="BT59" s="21">
        <f>[2]底表!DG59</f>
        <v>-1100</v>
      </c>
      <c r="BU59" s="21">
        <f>[2]底表!DH59</f>
        <v>-0.7333</v>
      </c>
      <c r="BV59" s="21">
        <f>[2]底表!DI59</f>
        <v>17</v>
      </c>
      <c r="BW59" s="21">
        <f>[2]底表!DJ59</f>
        <v>0</v>
      </c>
      <c r="BX59" s="23" t="str">
        <f>[2]底表!DK59</f>
        <v>多17人</v>
      </c>
      <c r="BY59" s="21">
        <f>[2]底表!DL59</f>
        <v>26</v>
      </c>
      <c r="BZ59" s="21">
        <f>[2]底表!DM59</f>
        <v>-0.3462</v>
      </c>
      <c r="CA59" s="21">
        <f>[2]底表!DN59</f>
        <v>1</v>
      </c>
      <c r="CB59" s="21">
        <f>[2]底表!DO59</f>
        <v>6</v>
      </c>
      <c r="CC59" s="21">
        <f>[2]底表!DP59</f>
        <v>-0.8333</v>
      </c>
      <c r="CD59" s="21">
        <f>[2]底表!DQ59</f>
        <v>1</v>
      </c>
      <c r="CE59" s="21">
        <f>[2]底表!DR59</f>
        <v>0</v>
      </c>
      <c r="CF59" s="21">
        <f>[2]底表!DS59</f>
        <v>1</v>
      </c>
      <c r="CG59" s="21">
        <f>[2]底表!DT59</f>
        <v>6</v>
      </c>
      <c r="CH59" s="21">
        <f>[2]底表!DU59</f>
        <v>-0.8333</v>
      </c>
      <c r="CI59" s="21">
        <f>[2]底表!DV59</f>
        <v>1</v>
      </c>
      <c r="CJ59" s="21">
        <f>[2]底表!DW59</f>
        <v>0</v>
      </c>
      <c r="CK59" s="21">
        <f>[2]底表!DX59</f>
        <v>12</v>
      </c>
      <c r="CL59" s="21">
        <f>[2]底表!DY59</f>
        <v>10</v>
      </c>
      <c r="CM59" s="21">
        <f>[2]底表!DZ59</f>
        <v>0.2</v>
      </c>
      <c r="CN59" s="21">
        <f>[2]底表!EA59</f>
        <v>8</v>
      </c>
      <c r="CO59" s="21">
        <f>[2]底表!EB59</f>
        <v>0.5</v>
      </c>
      <c r="CP59" s="21">
        <f>[2]底表!EC59</f>
        <v>9</v>
      </c>
      <c r="CQ59" s="21">
        <f>[2]底表!ED59</f>
        <v>5</v>
      </c>
      <c r="CR59" s="21">
        <f>[2]底表!EE59</f>
        <v>0.8</v>
      </c>
      <c r="CS59" s="21">
        <f>[2]底表!EF59</f>
        <v>7</v>
      </c>
      <c r="CT59" s="21">
        <f>[2]底表!EG59</f>
        <v>0.2857</v>
      </c>
      <c r="CU59" s="21">
        <f>[2]底表!EH59</f>
        <v>1.125</v>
      </c>
      <c r="CV59" s="21">
        <f>[2]底表!EI59</f>
        <v>0.7917</v>
      </c>
      <c r="CW59" s="21">
        <f>[2]底表!EJ59</f>
        <v>450</v>
      </c>
      <c r="CX59" s="21">
        <f>[2]底表!EK59</f>
        <v>-50</v>
      </c>
      <c r="CY59" s="21">
        <f>[2]底表!EL59</f>
        <v>-0.1</v>
      </c>
      <c r="CZ59" s="21">
        <f>[2]底表!EM59</f>
        <v>9</v>
      </c>
      <c r="DA59" s="21">
        <f>[2]底表!EN59</f>
        <v>5</v>
      </c>
      <c r="DB59" s="21">
        <f>[2]底表!EO59</f>
        <v>0.8</v>
      </c>
      <c r="DC59" s="21">
        <f>[2]底表!EP59</f>
        <v>7</v>
      </c>
      <c r="DD59" s="21">
        <f>[2]底表!EQ59</f>
        <v>0.2857</v>
      </c>
      <c r="DE59" s="21">
        <f>[2]底表!ER59</f>
        <v>3</v>
      </c>
      <c r="DF59" s="21">
        <f>[2]底表!ES59</f>
        <v>2</v>
      </c>
      <c r="DG59" s="23">
        <f>[2]底表!ET59</f>
        <v>0.5</v>
      </c>
      <c r="DH59" s="21">
        <f>[2]底表!EU59</f>
        <v>1</v>
      </c>
      <c r="DI59" s="21">
        <f>[2]底表!EV59</f>
        <v>2</v>
      </c>
      <c r="DJ59" s="21">
        <f>[2]底表!EW59</f>
        <v>0.375</v>
      </c>
      <c r="DK59" s="21">
        <f>[2]底表!EX59</f>
        <v>0.2417</v>
      </c>
      <c r="DL59" s="21">
        <f>[2]底表!EY59</f>
        <v>150</v>
      </c>
      <c r="DM59" s="21">
        <f>[2]底表!EZ59</f>
        <v>-50</v>
      </c>
      <c r="DN59" s="21">
        <f>[2]底表!FA59</f>
        <v>-0.25</v>
      </c>
      <c r="DO59" s="21">
        <f>[2]底表!BQ59</f>
        <v>1</v>
      </c>
      <c r="DP59" s="21">
        <f>[2]底表!BR59</f>
        <v>2</v>
      </c>
      <c r="DQ59" s="24">
        <f>[2]底表!BS59</f>
        <v>-0.5</v>
      </c>
    </row>
    <row r="60" s="2" customFormat="1" ht="32" hidden="1" customHeight="1" spans="1:121">
      <c r="A60" s="27" t="str">
        <f>[2]底表!A60</f>
        <v>涉毒</v>
      </c>
      <c r="B60" s="28" t="str">
        <f>[2]底表!B60</f>
        <v>全省</v>
      </c>
      <c r="C60" s="21">
        <f>[2]底表!AM60</f>
        <v>607</v>
      </c>
      <c r="D60" s="21">
        <f>[2]底表!AN60</f>
        <v>446</v>
      </c>
      <c r="E60" s="23">
        <f>[2]底表!AO60</f>
        <v>0.361</v>
      </c>
      <c r="F60" s="21">
        <f>[2]底表!AP60</f>
        <v>172</v>
      </c>
      <c r="G60" s="21">
        <f>[2]底表!AQ60</f>
        <v>2.5291</v>
      </c>
      <c r="H60" s="21">
        <f>[2]底表!AR60</f>
        <v>1.0306</v>
      </c>
      <c r="I60" s="21">
        <f>[2]底表!AS60</f>
        <v>-0.0789</v>
      </c>
      <c r="J60" s="21">
        <f>[2]底表!AT60</f>
        <v>415</v>
      </c>
      <c r="K60" s="21">
        <f>[2]底表!AU60</f>
        <v>259</v>
      </c>
      <c r="L60" s="21">
        <f>[2]底表!AV60</f>
        <v>0.6023</v>
      </c>
      <c r="M60" s="21">
        <f>[2]底表!AW60</f>
        <v>269</v>
      </c>
      <c r="N60" s="21">
        <f>[2]底表!AX60</f>
        <v>0.5428</v>
      </c>
      <c r="O60" s="21">
        <f>[2]底表!AY60</f>
        <v>365</v>
      </c>
      <c r="P60" s="21">
        <f>[2]底表!AZ60</f>
        <v>270</v>
      </c>
      <c r="Q60" s="21">
        <f>[2]底表!BA60</f>
        <v>0.3519</v>
      </c>
      <c r="R60" s="21">
        <f>[2]底表!BB60</f>
        <v>167</v>
      </c>
      <c r="S60" s="21">
        <f>[2]底表!BC60</f>
        <v>1.1856</v>
      </c>
      <c r="T60" s="21">
        <f>[2]底表!BD60</f>
        <v>0.8795</v>
      </c>
      <c r="U60" s="21">
        <f>[2]底表!BE60</f>
        <v>-0.163</v>
      </c>
      <c r="V60" s="21">
        <f>[2]底表!BF60</f>
        <v>174</v>
      </c>
      <c r="W60" s="21">
        <f>[2]底表!BG60</f>
        <v>143</v>
      </c>
      <c r="X60" s="21">
        <f>[2]底表!BH60</f>
        <v>0.2168</v>
      </c>
      <c r="Y60" s="21">
        <f>[2]底表!BI60</f>
        <v>44</v>
      </c>
      <c r="Z60" s="21">
        <f>[2]底表!BJ60</f>
        <v>2.9545</v>
      </c>
      <c r="AA60" s="21">
        <f>[2]底表!BK60</f>
        <v>0.2954</v>
      </c>
      <c r="AB60" s="21">
        <f>[2]底表!BL60</f>
        <v>242</v>
      </c>
      <c r="AC60" s="21">
        <f>[2]底表!BM60</f>
        <v>176</v>
      </c>
      <c r="AD60" s="21">
        <f>[2]底表!BN60</f>
        <v>0.375</v>
      </c>
      <c r="AE60" s="21">
        <f>[2]底表!BO60</f>
        <v>5</v>
      </c>
      <c r="AF60" s="21">
        <f>[2]底表!BP60</f>
        <v>47.4</v>
      </c>
      <c r="AG60" s="21">
        <f>[2]底表!BT60</f>
        <v>383</v>
      </c>
      <c r="AH60" s="21">
        <f>[2]底表!BU60</f>
        <v>-0.5849</v>
      </c>
      <c r="AI60" s="21">
        <f>[2]底表!BV60</f>
        <v>0.2699</v>
      </c>
      <c r="AJ60" s="21">
        <f>[2]底表!BW60</f>
        <v>-0.2276</v>
      </c>
      <c r="AK60" s="21">
        <f>[2]底表!BX60</f>
        <v>0.3831</v>
      </c>
      <c r="AL60" s="21">
        <f>[2]底表!BY60</f>
        <v>-0.3891</v>
      </c>
      <c r="AM60" s="21">
        <f>[2]底表!BZ60</f>
        <v>0</v>
      </c>
      <c r="AN60" s="21">
        <f>[2]底表!CA60</f>
        <v>1</v>
      </c>
      <c r="AO60" s="21" t="str">
        <f>[2]底表!CB60</f>
        <v>少1起</v>
      </c>
      <c r="AP60" s="21">
        <f>[2]底表!CC60</f>
        <v>13</v>
      </c>
      <c r="AQ60" s="21" t="str">
        <f>[2]底表!CD60</f>
        <v>少13起</v>
      </c>
      <c r="AR60" s="21" t="str">
        <f>[2]底表!CE60</f>
        <v/>
      </c>
      <c r="AS60" s="21" t="str">
        <f>[2]底表!CF60</f>
        <v/>
      </c>
      <c r="AT60" s="21">
        <f>[2]底表!CG60</f>
        <v>985</v>
      </c>
      <c r="AU60" s="21">
        <f>[2]底表!CH60</f>
        <v>652</v>
      </c>
      <c r="AV60" s="21">
        <f>[2]底表!CI60</f>
        <v>0.5107</v>
      </c>
      <c r="AW60" s="21">
        <f>[2]底表!CJ60</f>
        <v>417</v>
      </c>
      <c r="AX60" s="21">
        <f>[2]底表!CK60</f>
        <v>1.3621</v>
      </c>
      <c r="AY60" s="21">
        <f>[2]底表!CL60</f>
        <v>167</v>
      </c>
      <c r="AZ60" s="21">
        <f>[2]底表!CM60</f>
        <v>5</v>
      </c>
      <c r="BA60" s="21">
        <f>[2]底表!CN60</f>
        <v>0.0311</v>
      </c>
      <c r="BB60" s="21">
        <f>[2]底表!CO60</f>
        <v>992</v>
      </c>
      <c r="BC60" s="21">
        <f>[2]底表!CP60</f>
        <v>605</v>
      </c>
      <c r="BD60" s="21">
        <f>[2]底表!CQ60</f>
        <v>0.6397</v>
      </c>
      <c r="BE60" s="21">
        <f>[2]底表!CR60</f>
        <v>496</v>
      </c>
      <c r="BF60" s="21">
        <f>[2]底表!CS60</f>
        <v>1</v>
      </c>
      <c r="BG60" s="21">
        <f>[2]底表!CT60</f>
        <v>1.0071</v>
      </c>
      <c r="BH60" s="21">
        <f>[2]底表!CU60</f>
        <v>0.0792</v>
      </c>
      <c r="BI60" s="21">
        <f>[2]底表!CV60</f>
        <v>168</v>
      </c>
      <c r="BJ60" s="21">
        <f>[2]底表!CW60</f>
        <v>18</v>
      </c>
      <c r="BK60" s="21">
        <f>[2]底表!CX60</f>
        <v>0.1191</v>
      </c>
      <c r="BL60" s="21">
        <f>[2]底表!CY60</f>
        <v>1032</v>
      </c>
      <c r="BM60" s="21">
        <f>[2]底表!CZ60</f>
        <v>645</v>
      </c>
      <c r="BN60" s="23">
        <f>[2]底表!DA60</f>
        <v>0.6</v>
      </c>
      <c r="BO60" s="21">
        <f>[2]底表!DB60</f>
        <v>527</v>
      </c>
      <c r="BP60" s="21">
        <f>[2]底表!DC60</f>
        <v>0.9583</v>
      </c>
      <c r="BQ60" s="21">
        <f>[2]底表!DD60</f>
        <v>1.0477</v>
      </c>
      <c r="BR60" s="21">
        <f>[2]底表!DE60</f>
        <v>0.0585</v>
      </c>
      <c r="BS60" s="21">
        <f>[2]底表!DF60</f>
        <v>175</v>
      </c>
      <c r="BT60" s="21">
        <f>[2]底表!DG60</f>
        <v>15</v>
      </c>
      <c r="BU60" s="21">
        <f>[2]底表!DH60</f>
        <v>0.092</v>
      </c>
      <c r="BV60" s="21">
        <f>[2]底表!DI60</f>
        <v>911</v>
      </c>
      <c r="BW60" s="21">
        <f>[2]底表!DJ60</f>
        <v>601</v>
      </c>
      <c r="BX60" s="23">
        <f>[2]底表!DK60</f>
        <v>0.5158</v>
      </c>
      <c r="BY60" s="21">
        <f>[2]底表!DL60</f>
        <v>450</v>
      </c>
      <c r="BZ60" s="21">
        <f>[2]底表!DM60</f>
        <v>1.0244</v>
      </c>
      <c r="CA60" s="21">
        <f>[2]底表!DN60</f>
        <v>180</v>
      </c>
      <c r="CB60" s="21">
        <f>[2]底表!DO60</f>
        <v>165</v>
      </c>
      <c r="CC60" s="21">
        <f>[2]底表!DP60</f>
        <v>0.0909</v>
      </c>
      <c r="CD60" s="21">
        <f>[2]底表!DQ60</f>
        <v>182</v>
      </c>
      <c r="CE60" s="21">
        <f>[2]底表!DR60</f>
        <v>-0.011</v>
      </c>
      <c r="CF60" s="21">
        <f>[2]底表!DS60</f>
        <v>180</v>
      </c>
      <c r="CG60" s="21">
        <f>[2]底表!DT60</f>
        <v>165</v>
      </c>
      <c r="CH60" s="21">
        <f>[2]底表!DU60</f>
        <v>0.0909</v>
      </c>
      <c r="CI60" s="21">
        <f>[2]底表!DV60</f>
        <v>182</v>
      </c>
      <c r="CJ60" s="21">
        <f>[2]底表!DW60</f>
        <v>-0.011</v>
      </c>
      <c r="CK60" s="21">
        <f>[2]底表!DX60</f>
        <v>489</v>
      </c>
      <c r="CL60" s="21">
        <f>[2]底表!DY60</f>
        <v>375</v>
      </c>
      <c r="CM60" s="21">
        <f>[2]底表!DZ60</f>
        <v>0.304</v>
      </c>
      <c r="CN60" s="21">
        <f>[2]底表!EA60</f>
        <v>453</v>
      </c>
      <c r="CO60" s="21">
        <f>[2]底表!EB60</f>
        <v>0.0795</v>
      </c>
      <c r="CP60" s="21">
        <f>[2]底表!EC60</f>
        <v>256</v>
      </c>
      <c r="CQ60" s="21">
        <f>[2]底表!ED60</f>
        <v>294</v>
      </c>
      <c r="CR60" s="21">
        <f>[2]底表!EE60</f>
        <v>-0.1293</v>
      </c>
      <c r="CS60" s="21">
        <f>[2]底表!EF60</f>
        <v>348</v>
      </c>
      <c r="CT60" s="21">
        <f>[2]底表!EG60</f>
        <v>-0.2644</v>
      </c>
      <c r="CU60" s="21">
        <f>[2]底表!EH60</f>
        <v>0.2581</v>
      </c>
      <c r="CV60" s="21">
        <f>[2]底表!EI60</f>
        <v>-0.2279</v>
      </c>
      <c r="CW60" s="21">
        <f>[2]底表!EJ60</f>
        <v>43</v>
      </c>
      <c r="CX60" s="21">
        <f>[2]底表!EK60</f>
        <v>-30</v>
      </c>
      <c r="CY60" s="21">
        <f>[2]底表!EL60</f>
        <v>-0.4057</v>
      </c>
      <c r="CZ60" s="21">
        <f>[2]底表!EM60</f>
        <v>257</v>
      </c>
      <c r="DA60" s="21">
        <f>[2]底表!EN60</f>
        <v>296</v>
      </c>
      <c r="DB60" s="21">
        <f>[2]底表!EO60</f>
        <v>-0.1318</v>
      </c>
      <c r="DC60" s="21">
        <f>[2]底表!EP60</f>
        <v>351</v>
      </c>
      <c r="DD60" s="21">
        <f>[2]底表!EQ60</f>
        <v>-0.2678</v>
      </c>
      <c r="DE60" s="21">
        <f>[2]底表!ER60</f>
        <v>249</v>
      </c>
      <c r="DF60" s="21">
        <f>[2]底表!ES60</f>
        <v>334</v>
      </c>
      <c r="DG60" s="23">
        <f>[2]底表!ET60</f>
        <v>-0.2545</v>
      </c>
      <c r="DH60" s="21">
        <f>[2]底表!EU60</f>
        <v>536</v>
      </c>
      <c r="DI60" s="21">
        <f>[2]底表!EV60</f>
        <v>-0.5354</v>
      </c>
      <c r="DJ60" s="21">
        <f>[2]底表!EW60</f>
        <v>0.251</v>
      </c>
      <c r="DK60" s="21">
        <f>[2]底表!EX60</f>
        <v>-0.3011</v>
      </c>
      <c r="DL60" s="21">
        <f>[2]底表!EY60</f>
        <v>42</v>
      </c>
      <c r="DM60" s="21">
        <f>[2]底表!EZ60</f>
        <v>-41</v>
      </c>
      <c r="DN60" s="21">
        <f>[2]底表!FA60</f>
        <v>-0.4912</v>
      </c>
      <c r="DO60" s="21">
        <f>[2]底表!BQ60</f>
        <v>159</v>
      </c>
      <c r="DP60" s="21">
        <f>[2]底表!BR60</f>
        <v>200</v>
      </c>
      <c r="DQ60" s="24">
        <f>[2]底表!BS60</f>
        <v>-0.205</v>
      </c>
    </row>
    <row r="61" s="2" customFormat="1" ht="32" hidden="1" customHeight="1" spans="1:121">
      <c r="A61" s="27" t="str">
        <f>[2]底表!A61</f>
        <v>涉毒</v>
      </c>
      <c r="B61" s="28" t="str">
        <f>[2]底表!B61</f>
        <v>云浮</v>
      </c>
      <c r="C61" s="21">
        <f>[2]底表!AM61</f>
        <v>38</v>
      </c>
      <c r="D61" s="21">
        <f>[2]底表!AN61</f>
        <v>32</v>
      </c>
      <c r="E61" s="23">
        <f>[2]底表!AO61</f>
        <v>0.1875</v>
      </c>
      <c r="F61" s="21">
        <f>[2]底表!AP61</f>
        <v>5</v>
      </c>
      <c r="G61" s="21">
        <f>[2]底表!AQ61</f>
        <v>6.6</v>
      </c>
      <c r="H61" s="21">
        <f>[2]底表!AR61</f>
        <v>1.4074</v>
      </c>
      <c r="I61" s="21">
        <f>[2]底表!AS61</f>
        <v>0.1274</v>
      </c>
      <c r="J61" s="21">
        <f>[2]底表!AT61</f>
        <v>15</v>
      </c>
      <c r="K61" s="21">
        <f>[2]底表!AU61</f>
        <v>16</v>
      </c>
      <c r="L61" s="21">
        <f>[2]底表!AV61</f>
        <v>-0.0625</v>
      </c>
      <c r="M61" s="21">
        <f>[2]底表!AW61</f>
        <v>9</v>
      </c>
      <c r="N61" s="21">
        <f>[2]底表!AX61</f>
        <v>0.6667</v>
      </c>
      <c r="O61" s="21">
        <f>[2]底表!AY61</f>
        <v>20</v>
      </c>
      <c r="P61" s="21">
        <f>[2]底表!AZ61</f>
        <v>19</v>
      </c>
      <c r="Q61" s="21">
        <f>[2]底表!BA61</f>
        <v>0.0526</v>
      </c>
      <c r="R61" s="21">
        <f>[2]底表!BB61</f>
        <v>5</v>
      </c>
      <c r="S61" s="21">
        <f>[2]底表!BC61</f>
        <v>3</v>
      </c>
      <c r="T61" s="21">
        <f>[2]底表!BD61</f>
        <v>1.3333</v>
      </c>
      <c r="U61" s="21">
        <f>[2]底表!BE61</f>
        <v>0.1458</v>
      </c>
      <c r="V61" s="21">
        <f>[2]底表!BF61</f>
        <v>12</v>
      </c>
      <c r="W61" s="21">
        <f>[2]底表!BG61</f>
        <v>9</v>
      </c>
      <c r="X61" s="21">
        <f>[2]底表!BH61</f>
        <v>0.3333</v>
      </c>
      <c r="Y61" s="21">
        <f>[2]底表!BI61</f>
        <v>1</v>
      </c>
      <c r="Z61" s="21">
        <f>[2]底表!BJ61</f>
        <v>11</v>
      </c>
      <c r="AA61" s="21">
        <f>[2]底表!BK61</f>
        <v>0.4444</v>
      </c>
      <c r="AB61" s="21">
        <f>[2]底表!BL61</f>
        <v>18</v>
      </c>
      <c r="AC61" s="21">
        <f>[2]底表!BM61</f>
        <v>13</v>
      </c>
      <c r="AD61" s="21">
        <f>[2]底表!BN61</f>
        <v>0.3846</v>
      </c>
      <c r="AE61" s="21">
        <f>[2]底表!BO61</f>
        <v>0</v>
      </c>
      <c r="AF61" s="21" t="str">
        <f>[2]底表!BP61</f>
        <v>多18起</v>
      </c>
      <c r="AG61" s="21">
        <f>[2]底表!BT61</f>
        <v>17</v>
      </c>
      <c r="AH61" s="21">
        <f>[2]底表!BU61</f>
        <v>-0.7059</v>
      </c>
      <c r="AI61" s="21">
        <f>[2]底表!BV61</f>
        <v>0.1852</v>
      </c>
      <c r="AJ61" s="21">
        <f>[2]底表!BW61</f>
        <v>0.1052</v>
      </c>
      <c r="AK61" s="21">
        <f>[2]底表!BX61</f>
        <v>0.3333</v>
      </c>
      <c r="AL61" s="21">
        <f>[2]底表!BY61</f>
        <v>0.2083</v>
      </c>
      <c r="AM61" s="21">
        <f>[2]底表!BZ61</f>
        <v>0</v>
      </c>
      <c r="AN61" s="21">
        <f>[2]底表!CA61</f>
        <v>0</v>
      </c>
      <c r="AO61" s="21" t="str">
        <f>[2]底表!CB61</f>
        <v>持平</v>
      </c>
      <c r="AP61" s="21">
        <f>[2]底表!CC61</f>
        <v>0</v>
      </c>
      <c r="AQ61" s="21" t="str">
        <f>[2]底表!CD61</f>
        <v>持平</v>
      </c>
      <c r="AR61" s="21" t="str">
        <f>[2]底表!CE61</f>
        <v/>
      </c>
      <c r="AS61" s="21" t="str">
        <f>[2]底表!CF61</f>
        <v/>
      </c>
      <c r="AT61" s="21">
        <f>[2]底表!CG61</f>
        <v>67</v>
      </c>
      <c r="AU61" s="21">
        <f>[2]底表!CH61</f>
        <v>37</v>
      </c>
      <c r="AV61" s="21">
        <f>[2]底表!CI61</f>
        <v>0.8108</v>
      </c>
      <c r="AW61" s="21">
        <f>[2]底表!CJ61</f>
        <v>13</v>
      </c>
      <c r="AX61" s="21">
        <f>[2]底表!CK61</f>
        <v>4.1538</v>
      </c>
      <c r="AY61" s="21">
        <f>[2]底表!CL61</f>
        <v>248</v>
      </c>
      <c r="AZ61" s="21">
        <f>[2]底表!CM61</f>
        <v>100</v>
      </c>
      <c r="BA61" s="21">
        <f>[2]底表!CN61</f>
        <v>0.6767</v>
      </c>
      <c r="BB61" s="21">
        <f>[2]底表!CO61</f>
        <v>54</v>
      </c>
      <c r="BC61" s="21">
        <f>[2]底表!CP61</f>
        <v>24</v>
      </c>
      <c r="BD61" s="21">
        <f>[2]底表!CQ61</f>
        <v>1.25</v>
      </c>
      <c r="BE61" s="21">
        <f>[2]底表!CR61</f>
        <v>21</v>
      </c>
      <c r="BF61" s="21">
        <f>[2]底表!CS61</f>
        <v>1.5714</v>
      </c>
      <c r="BG61" s="21">
        <f>[2]底表!CT61</f>
        <v>0.806</v>
      </c>
      <c r="BH61" s="21">
        <f>[2]底表!CU61</f>
        <v>0.1573</v>
      </c>
      <c r="BI61" s="21">
        <f>[2]底表!CV61</f>
        <v>200</v>
      </c>
      <c r="BJ61" s="21">
        <f>[2]底表!CW61</f>
        <v>104</v>
      </c>
      <c r="BK61" s="21">
        <f>[2]底表!CX61</f>
        <v>1.0833</v>
      </c>
      <c r="BL61" s="21">
        <f>[2]底表!CY61</f>
        <v>54</v>
      </c>
      <c r="BM61" s="21">
        <f>[2]底表!CZ61</f>
        <v>25</v>
      </c>
      <c r="BN61" s="23">
        <f>[2]底表!DA61</f>
        <v>1.16</v>
      </c>
      <c r="BO61" s="21">
        <f>[2]底表!DB61</f>
        <v>21</v>
      </c>
      <c r="BP61" s="21">
        <f>[2]底表!DC61</f>
        <v>1.5714</v>
      </c>
      <c r="BQ61" s="21">
        <f>[2]底表!DD61</f>
        <v>0.806</v>
      </c>
      <c r="BR61" s="21">
        <f>[2]底表!DE61</f>
        <v>0.1303</v>
      </c>
      <c r="BS61" s="21">
        <f>[2]底表!DF61</f>
        <v>200</v>
      </c>
      <c r="BT61" s="21">
        <f>[2]底表!DG61</f>
        <v>100</v>
      </c>
      <c r="BU61" s="21">
        <f>[2]底表!DH61</f>
        <v>1</v>
      </c>
      <c r="BV61" s="21">
        <f>[2]底表!DI61</f>
        <v>48</v>
      </c>
      <c r="BW61" s="21">
        <f>[2]底表!DJ61</f>
        <v>25</v>
      </c>
      <c r="BX61" s="23">
        <f>[2]底表!DK61</f>
        <v>0.92</v>
      </c>
      <c r="BY61" s="21">
        <f>[2]底表!DL61</f>
        <v>17</v>
      </c>
      <c r="BZ61" s="21">
        <f>[2]底表!DM61</f>
        <v>1.8235</v>
      </c>
      <c r="CA61" s="21">
        <f>[2]底表!DN61</f>
        <v>8</v>
      </c>
      <c r="CB61" s="21">
        <f>[2]底表!DO61</f>
        <v>7</v>
      </c>
      <c r="CC61" s="21">
        <f>[2]底表!DP61</f>
        <v>0.1429</v>
      </c>
      <c r="CD61" s="21">
        <f>[2]底表!DQ61</f>
        <v>5</v>
      </c>
      <c r="CE61" s="21">
        <f>[2]底表!DR61</f>
        <v>0.6</v>
      </c>
      <c r="CF61" s="21">
        <f>[2]底表!DS61</f>
        <v>8</v>
      </c>
      <c r="CG61" s="21">
        <f>[2]底表!DT61</f>
        <v>7</v>
      </c>
      <c r="CH61" s="21">
        <f>[2]底表!DU61</f>
        <v>0.1429</v>
      </c>
      <c r="CI61" s="21">
        <f>[2]底表!DV61</f>
        <v>5</v>
      </c>
      <c r="CJ61" s="21">
        <f>[2]底表!DW61</f>
        <v>0.6</v>
      </c>
      <c r="CK61" s="21">
        <f>[2]底表!DX61</f>
        <v>22</v>
      </c>
      <c r="CL61" s="21">
        <f>[2]底表!DY61</f>
        <v>20</v>
      </c>
      <c r="CM61" s="21">
        <f>[2]底表!DZ61</f>
        <v>0.1</v>
      </c>
      <c r="CN61" s="21">
        <f>[2]底表!EA61</f>
        <v>22</v>
      </c>
      <c r="CO61" s="21">
        <f>[2]底表!EB61</f>
        <v>0</v>
      </c>
      <c r="CP61" s="21">
        <f>[2]底表!EC61</f>
        <v>15</v>
      </c>
      <c r="CQ61" s="21">
        <f>[2]底表!ED61</f>
        <v>9</v>
      </c>
      <c r="CR61" s="21">
        <f>[2]底表!EE61</f>
        <v>0.6667</v>
      </c>
      <c r="CS61" s="21">
        <f>[2]底表!EF61</f>
        <v>18</v>
      </c>
      <c r="CT61" s="21">
        <f>[2]底表!EG61</f>
        <v>-0.1667</v>
      </c>
      <c r="CU61" s="21">
        <f>[2]底表!EH61</f>
        <v>0.2778</v>
      </c>
      <c r="CV61" s="21">
        <f>[2]底表!EI61</f>
        <v>-0.0972</v>
      </c>
      <c r="CW61" s="21">
        <f>[2]底表!EJ61</f>
        <v>56</v>
      </c>
      <c r="CX61" s="21">
        <f>[2]底表!EK61</f>
        <v>20</v>
      </c>
      <c r="CY61" s="21">
        <f>[2]底表!EL61</f>
        <v>0.5432</v>
      </c>
      <c r="CZ61" s="21">
        <f>[2]底表!EM61</f>
        <v>15</v>
      </c>
      <c r="DA61" s="21">
        <f>[2]底表!EN61</f>
        <v>9</v>
      </c>
      <c r="DB61" s="21">
        <f>[2]底表!EO61</f>
        <v>0.6667</v>
      </c>
      <c r="DC61" s="21">
        <f>[2]底表!EP61</f>
        <v>18</v>
      </c>
      <c r="DD61" s="21">
        <f>[2]底表!EQ61</f>
        <v>-0.1667</v>
      </c>
      <c r="DE61" s="21">
        <f>[2]底表!ER61</f>
        <v>6</v>
      </c>
      <c r="DF61" s="21">
        <f>[2]底表!ES61</f>
        <v>8</v>
      </c>
      <c r="DG61" s="23">
        <f>[2]底表!ET61</f>
        <v>-0.25</v>
      </c>
      <c r="DH61" s="21">
        <f>[2]底表!EU61</f>
        <v>32</v>
      </c>
      <c r="DI61" s="21">
        <f>[2]底表!EV61</f>
        <v>-0.8125</v>
      </c>
      <c r="DJ61" s="21">
        <f>[2]底表!EW61</f>
        <v>0.1111</v>
      </c>
      <c r="DK61" s="21">
        <f>[2]底表!EX61</f>
        <v>-0.2222</v>
      </c>
      <c r="DL61" s="21">
        <f>[2]底表!EY61</f>
        <v>22</v>
      </c>
      <c r="DM61" s="21">
        <f>[2]底表!EZ61</f>
        <v>-10</v>
      </c>
      <c r="DN61" s="21">
        <f>[2]底表!FA61</f>
        <v>-0.3056</v>
      </c>
      <c r="DO61" s="21">
        <f>[2]底表!BQ61</f>
        <v>5</v>
      </c>
      <c r="DP61" s="21">
        <f>[2]底表!BR61</f>
        <v>2</v>
      </c>
      <c r="DQ61" s="24">
        <f>[2]底表!BS61</f>
        <v>1.5</v>
      </c>
    </row>
    <row r="62" s="2" customFormat="1" ht="32" hidden="1" customHeight="1" spans="1:121">
      <c r="A62" s="27" t="str">
        <f>[2]底表!A62</f>
        <v>涉毒</v>
      </c>
      <c r="B62" s="28" t="str">
        <f>[2]底表!B62</f>
        <v>云城区</v>
      </c>
      <c r="C62" s="21">
        <f>[2]底表!AM62</f>
        <v>5</v>
      </c>
      <c r="D62" s="21">
        <f>[2]底表!AN62</f>
        <v>5</v>
      </c>
      <c r="E62" s="23">
        <f>[2]底表!AO62</f>
        <v>0</v>
      </c>
      <c r="F62" s="21">
        <f>[2]底表!AP62</f>
        <v>3</v>
      </c>
      <c r="G62" s="21">
        <f>[2]底表!AQ62</f>
        <v>0.6667</v>
      </c>
      <c r="H62" s="21">
        <f>[2]底表!AR62</f>
        <v>1.25</v>
      </c>
      <c r="I62" s="21">
        <f>[2]底表!AS62</f>
        <v>-0.4167</v>
      </c>
      <c r="J62" s="21">
        <f>[2]底表!AT62</f>
        <v>3</v>
      </c>
      <c r="K62" s="21">
        <f>[2]底表!AU62</f>
        <v>3</v>
      </c>
      <c r="L62" s="21">
        <f>[2]底表!AV62</f>
        <v>0</v>
      </c>
      <c r="M62" s="21">
        <f>[2]底表!AW62</f>
        <v>2</v>
      </c>
      <c r="N62" s="21">
        <f>[2]底表!AX62</f>
        <v>0.5</v>
      </c>
      <c r="O62" s="21">
        <f>[2]底表!AY62</f>
        <v>5</v>
      </c>
      <c r="P62" s="21">
        <f>[2]底表!AZ62</f>
        <v>5</v>
      </c>
      <c r="Q62" s="21">
        <f>[2]底表!BA62</f>
        <v>0</v>
      </c>
      <c r="R62" s="21">
        <f>[2]底表!BB62</f>
        <v>3</v>
      </c>
      <c r="S62" s="21">
        <f>[2]底表!BC62</f>
        <v>0.6667</v>
      </c>
      <c r="T62" s="21">
        <f>[2]底表!BD62</f>
        <v>1.6667</v>
      </c>
      <c r="U62" s="21">
        <f>[2]底表!BE62</f>
        <v>0</v>
      </c>
      <c r="V62" s="21">
        <f>[2]底表!BF62</f>
        <v>1</v>
      </c>
      <c r="W62" s="21">
        <f>[2]底表!BG62</f>
        <v>0</v>
      </c>
      <c r="X62" s="21" t="str">
        <f>[2]底表!BH62</f>
        <v>多1起</v>
      </c>
      <c r="Y62" s="21">
        <f>[2]底表!BI62</f>
        <v>0</v>
      </c>
      <c r="Z62" s="21" t="str">
        <f>[2]底表!BJ62</f>
        <v>多1起</v>
      </c>
      <c r="AA62" s="21">
        <f>[2]底表!BK62</f>
        <v>0.25</v>
      </c>
      <c r="AB62" s="21">
        <f>[2]底表!BL62</f>
        <v>0</v>
      </c>
      <c r="AC62" s="21">
        <f>[2]底表!BM62</f>
        <v>0</v>
      </c>
      <c r="AD62" s="21" t="str">
        <f>[2]底表!BN62</f>
        <v>持平</v>
      </c>
      <c r="AE62" s="21">
        <f>[2]底表!BO62</f>
        <v>0</v>
      </c>
      <c r="AF62" s="21" t="str">
        <f>[2]底表!BP62</f>
        <v>持平</v>
      </c>
      <c r="AG62" s="21">
        <f>[2]底表!BT62</f>
        <v>7</v>
      </c>
      <c r="AH62" s="21">
        <f>[2]底表!BU62</f>
        <v>-0.8571</v>
      </c>
      <c r="AI62" s="21">
        <f>[2]底表!BV62</f>
        <v>0.25</v>
      </c>
      <c r="AJ62" s="21">
        <f>[2]底表!BW62</f>
        <v>0.25</v>
      </c>
      <c r="AK62" s="21">
        <f>[2]底表!BX62</f>
        <v>0.3333</v>
      </c>
      <c r="AL62" s="21">
        <f>[2]底表!BY62</f>
        <v>0.3333</v>
      </c>
      <c r="AM62" s="21">
        <f>[2]底表!BZ62</f>
        <v>0</v>
      </c>
      <c r="AN62" s="21">
        <f>[2]底表!CA62</f>
        <v>0</v>
      </c>
      <c r="AO62" s="21" t="str">
        <f>[2]底表!CB62</f>
        <v>持平</v>
      </c>
      <c r="AP62" s="21">
        <f>[2]底表!CC62</f>
        <v>0</v>
      </c>
      <c r="AQ62" s="21" t="str">
        <f>[2]底表!CD62</f>
        <v>持平</v>
      </c>
      <c r="AR62" s="21" t="str">
        <f>[2]底表!CE62</f>
        <v/>
      </c>
      <c r="AS62" s="21" t="str">
        <f>[2]底表!CF62</f>
        <v/>
      </c>
      <c r="AT62" s="21">
        <f>[2]底表!CG62</f>
        <v>5</v>
      </c>
      <c r="AU62" s="21">
        <f>[2]底表!CH62</f>
        <v>4</v>
      </c>
      <c r="AV62" s="21">
        <f>[2]底表!CI62</f>
        <v>0.25</v>
      </c>
      <c r="AW62" s="21">
        <f>[2]底表!CJ62</f>
        <v>3</v>
      </c>
      <c r="AX62" s="21">
        <f>[2]底表!CK62</f>
        <v>0.6667</v>
      </c>
      <c r="AY62" s="21">
        <f>[2]底表!CL62</f>
        <v>125</v>
      </c>
      <c r="AZ62" s="21">
        <f>[2]底表!CM62</f>
        <v>-8</v>
      </c>
      <c r="BA62" s="21">
        <f>[2]底表!CN62</f>
        <v>-0.0625</v>
      </c>
      <c r="BB62" s="21">
        <f>[2]底表!CO62</f>
        <v>6</v>
      </c>
      <c r="BC62" s="21">
        <f>[2]底表!CP62</f>
        <v>3</v>
      </c>
      <c r="BD62" s="21">
        <f>[2]底表!CQ62</f>
        <v>1</v>
      </c>
      <c r="BE62" s="21">
        <f>[2]底表!CR62</f>
        <v>6</v>
      </c>
      <c r="BF62" s="21">
        <f>[2]底表!CS62</f>
        <v>0</v>
      </c>
      <c r="BG62" s="21">
        <f>[2]底表!CT62</f>
        <v>1.2</v>
      </c>
      <c r="BH62" s="21">
        <f>[2]底表!CU62</f>
        <v>0.45</v>
      </c>
      <c r="BI62" s="21">
        <f>[2]底表!CV62</f>
        <v>150</v>
      </c>
      <c r="BJ62" s="21">
        <f>[2]底表!CW62</f>
        <v>50</v>
      </c>
      <c r="BK62" s="21">
        <f>[2]底表!CX62</f>
        <v>0.5</v>
      </c>
      <c r="BL62" s="21">
        <f>[2]底表!CY62</f>
        <v>6</v>
      </c>
      <c r="BM62" s="21">
        <f>[2]底表!CZ62</f>
        <v>3</v>
      </c>
      <c r="BN62" s="23">
        <f>[2]底表!DA62</f>
        <v>1</v>
      </c>
      <c r="BO62" s="21">
        <f>[2]底表!DB62</f>
        <v>6</v>
      </c>
      <c r="BP62" s="21">
        <f>[2]底表!DC62</f>
        <v>0</v>
      </c>
      <c r="BQ62" s="21">
        <f>[2]底表!DD62</f>
        <v>1.2</v>
      </c>
      <c r="BR62" s="21">
        <f>[2]底表!DE62</f>
        <v>0.45</v>
      </c>
      <c r="BS62" s="21">
        <f>[2]底表!DF62</f>
        <v>150</v>
      </c>
      <c r="BT62" s="21">
        <f>[2]底表!DG62</f>
        <v>50</v>
      </c>
      <c r="BU62" s="21">
        <f>[2]底表!DH62</f>
        <v>0.5</v>
      </c>
      <c r="BV62" s="21">
        <f>[2]底表!DI62</f>
        <v>0</v>
      </c>
      <c r="BW62" s="21">
        <f>[2]底表!DJ62</f>
        <v>0</v>
      </c>
      <c r="BX62" s="23" t="str">
        <f>[2]底表!DK62</f>
        <v>持平</v>
      </c>
      <c r="BY62" s="21">
        <f>[2]底表!DL62</f>
        <v>0</v>
      </c>
      <c r="BZ62" s="21" t="str">
        <f>[2]底表!DM62</f>
        <v>持平</v>
      </c>
      <c r="CA62" s="21">
        <f>[2]底表!DN62</f>
        <v>4</v>
      </c>
      <c r="CB62" s="21">
        <f>[2]底表!DO62</f>
        <v>0</v>
      </c>
      <c r="CC62" s="21" t="str">
        <f>[2]底表!DP62</f>
        <v>多4人</v>
      </c>
      <c r="CD62" s="21">
        <f>[2]底表!DQ62</f>
        <v>0</v>
      </c>
      <c r="CE62" s="21" t="str">
        <f>[2]底表!DR62</f>
        <v>多4人</v>
      </c>
      <c r="CF62" s="21">
        <f>[2]底表!DS62</f>
        <v>4</v>
      </c>
      <c r="CG62" s="21">
        <f>[2]底表!DT62</f>
        <v>0</v>
      </c>
      <c r="CH62" s="21" t="str">
        <f>[2]底表!DU62</f>
        <v>多4人</v>
      </c>
      <c r="CI62" s="21">
        <f>[2]底表!DV62</f>
        <v>0</v>
      </c>
      <c r="CJ62" s="21" t="str">
        <f>[2]底表!DW62</f>
        <v>多4人</v>
      </c>
      <c r="CK62" s="21">
        <f>[2]底表!DX62</f>
        <v>3</v>
      </c>
      <c r="CL62" s="21">
        <f>[2]底表!DY62</f>
        <v>3</v>
      </c>
      <c r="CM62" s="21">
        <f>[2]底表!DZ62</f>
        <v>0</v>
      </c>
      <c r="CN62" s="21">
        <f>[2]底表!EA62</f>
        <v>6</v>
      </c>
      <c r="CO62" s="21">
        <f>[2]底表!EB62</f>
        <v>-0.5</v>
      </c>
      <c r="CP62" s="21">
        <f>[2]底表!EC62</f>
        <v>3</v>
      </c>
      <c r="CQ62" s="21">
        <f>[2]底表!ED62</f>
        <v>2</v>
      </c>
      <c r="CR62" s="21">
        <f>[2]底表!EE62</f>
        <v>0.5</v>
      </c>
      <c r="CS62" s="21">
        <f>[2]底表!EF62</f>
        <v>2</v>
      </c>
      <c r="CT62" s="21">
        <f>[2]底表!EG62</f>
        <v>0.5</v>
      </c>
      <c r="CU62" s="21">
        <f>[2]底表!EH62</f>
        <v>0.5</v>
      </c>
      <c r="CV62" s="21">
        <f>[2]底表!EI62</f>
        <v>-0.1667</v>
      </c>
      <c r="CW62" s="21">
        <f>[2]底表!EJ62</f>
        <v>75</v>
      </c>
      <c r="CX62" s="21">
        <f>[2]底表!EK62</f>
        <v>8</v>
      </c>
      <c r="CY62" s="21">
        <f>[2]底表!EL62</f>
        <v>0.125</v>
      </c>
      <c r="CZ62" s="21">
        <f>[2]底表!EM62</f>
        <v>3</v>
      </c>
      <c r="DA62" s="21">
        <f>[2]底表!EN62</f>
        <v>2</v>
      </c>
      <c r="DB62" s="21">
        <f>[2]底表!EO62</f>
        <v>0.5</v>
      </c>
      <c r="DC62" s="21">
        <f>[2]底表!EP62</f>
        <v>2</v>
      </c>
      <c r="DD62" s="21">
        <f>[2]底表!EQ62</f>
        <v>0.5</v>
      </c>
      <c r="DE62" s="21">
        <f>[2]底表!ER62</f>
        <v>1</v>
      </c>
      <c r="DF62" s="21">
        <f>[2]底表!ES62</f>
        <v>4</v>
      </c>
      <c r="DG62" s="23">
        <f>[2]底表!ET62</f>
        <v>-0.75</v>
      </c>
      <c r="DH62" s="21">
        <f>[2]底表!EU62</f>
        <v>8</v>
      </c>
      <c r="DI62" s="21">
        <f>[2]底表!EV62</f>
        <v>-0.875</v>
      </c>
      <c r="DJ62" s="21">
        <f>[2]底表!EW62</f>
        <v>0.1667</v>
      </c>
      <c r="DK62" s="21">
        <f>[2]底表!EX62</f>
        <v>-1.1667</v>
      </c>
      <c r="DL62" s="21">
        <f>[2]底表!EY62</f>
        <v>25</v>
      </c>
      <c r="DM62" s="21">
        <f>[2]底表!EZ62</f>
        <v>-108</v>
      </c>
      <c r="DN62" s="21">
        <f>[2]底表!FA62</f>
        <v>-0.8125</v>
      </c>
      <c r="DO62" s="21">
        <f>[2]底表!BQ62</f>
        <v>1</v>
      </c>
      <c r="DP62" s="21">
        <f>[2]底表!BR62</f>
        <v>0</v>
      </c>
      <c r="DQ62" s="24" t="str">
        <f>[2]底表!BS62</f>
        <v>多1起</v>
      </c>
    </row>
    <row r="63" s="2" customFormat="1" ht="32" hidden="1" customHeight="1" spans="1:121">
      <c r="A63" s="27" t="str">
        <f>[2]底表!A63</f>
        <v>涉毒</v>
      </c>
      <c r="B63" s="28" t="str">
        <f>[2]底表!B63</f>
        <v>云安区</v>
      </c>
      <c r="C63" s="21">
        <f>[2]底表!AM63</f>
        <v>9</v>
      </c>
      <c r="D63" s="21">
        <f>[2]底表!AN63</f>
        <v>6</v>
      </c>
      <c r="E63" s="23">
        <f>[2]底表!AO63</f>
        <v>0.5</v>
      </c>
      <c r="F63" s="21">
        <f>[2]底表!AP63</f>
        <v>0</v>
      </c>
      <c r="G63" s="21" t="str">
        <f>[2]底表!AQ63</f>
        <v>多9起</v>
      </c>
      <c r="H63" s="21">
        <f>[2]底表!AR63</f>
        <v>1.2857</v>
      </c>
      <c r="I63" s="21">
        <f>[2]底表!AS63</f>
        <v>0.2857</v>
      </c>
      <c r="J63" s="21">
        <f>[2]底表!AT63</f>
        <v>4</v>
      </c>
      <c r="K63" s="21">
        <f>[2]底表!AU63</f>
        <v>6</v>
      </c>
      <c r="L63" s="21">
        <f>[2]底表!AV63</f>
        <v>-0.3333</v>
      </c>
      <c r="M63" s="21">
        <f>[2]底表!AW63</f>
        <v>1</v>
      </c>
      <c r="N63" s="21">
        <f>[2]底表!AX63</f>
        <v>3</v>
      </c>
      <c r="O63" s="21">
        <f>[2]底表!AY63</f>
        <v>7</v>
      </c>
      <c r="P63" s="21">
        <f>[2]底表!AZ63</f>
        <v>6</v>
      </c>
      <c r="Q63" s="21">
        <f>[2]底表!BA63</f>
        <v>0.1667</v>
      </c>
      <c r="R63" s="21">
        <f>[2]底表!BB63</f>
        <v>0</v>
      </c>
      <c r="S63" s="21" t="str">
        <f>[2]底表!BC63</f>
        <v>多7起</v>
      </c>
      <c r="T63" s="21">
        <f>[2]底表!BD63</f>
        <v>1.75</v>
      </c>
      <c r="U63" s="21">
        <f>[2]底表!BE63</f>
        <v>0.75</v>
      </c>
      <c r="V63" s="21">
        <f>[2]底表!BF63</f>
        <v>3</v>
      </c>
      <c r="W63" s="21">
        <f>[2]底表!BG63</f>
        <v>0</v>
      </c>
      <c r="X63" s="21" t="str">
        <f>[2]底表!BH63</f>
        <v>多3起</v>
      </c>
      <c r="Y63" s="21">
        <f>[2]底表!BI63</f>
        <v>0</v>
      </c>
      <c r="Z63" s="21" t="str">
        <f>[2]底表!BJ63</f>
        <v>多3起</v>
      </c>
      <c r="AA63" s="21">
        <f>[2]底表!BK63</f>
        <v>0.4286</v>
      </c>
      <c r="AB63" s="21">
        <f>[2]底表!BL63</f>
        <v>2</v>
      </c>
      <c r="AC63" s="21">
        <f>[2]底表!BM63</f>
        <v>0</v>
      </c>
      <c r="AD63" s="21" t="str">
        <f>[2]底表!BN63</f>
        <v>多2起</v>
      </c>
      <c r="AE63" s="21">
        <f>[2]底表!BO63</f>
        <v>0</v>
      </c>
      <c r="AF63" s="21" t="str">
        <f>[2]底表!BP63</f>
        <v>多2起</v>
      </c>
      <c r="AG63" s="21">
        <f>[2]底表!BT63</f>
        <v>2</v>
      </c>
      <c r="AH63" s="21">
        <f>[2]底表!BU63</f>
        <v>-0.5</v>
      </c>
      <c r="AI63" s="21">
        <f>[2]底表!BV63</f>
        <v>0.1429</v>
      </c>
      <c r="AJ63" s="21">
        <f>[2]底表!BW63</f>
        <v>0.1429</v>
      </c>
      <c r="AK63" s="21">
        <f>[2]底表!BX63</f>
        <v>0.25</v>
      </c>
      <c r="AL63" s="21">
        <f>[2]底表!BY63</f>
        <v>0.25</v>
      </c>
      <c r="AM63" s="21">
        <f>[2]底表!BZ63</f>
        <v>0</v>
      </c>
      <c r="AN63" s="21">
        <f>[2]底表!CA63</f>
        <v>0</v>
      </c>
      <c r="AO63" s="21" t="str">
        <f>[2]底表!CB63</f>
        <v>持平</v>
      </c>
      <c r="AP63" s="21">
        <f>[2]底表!CC63</f>
        <v>0</v>
      </c>
      <c r="AQ63" s="21" t="str">
        <f>[2]底表!CD63</f>
        <v>持平</v>
      </c>
      <c r="AR63" s="21" t="str">
        <f>[2]底表!CE63</f>
        <v/>
      </c>
      <c r="AS63" s="21" t="str">
        <f>[2]底表!CF63</f>
        <v/>
      </c>
      <c r="AT63" s="21">
        <f>[2]底表!CG63</f>
        <v>14</v>
      </c>
      <c r="AU63" s="21">
        <f>[2]底表!CH63</f>
        <v>9</v>
      </c>
      <c r="AV63" s="21">
        <f>[2]底表!CI63</f>
        <v>0.5556</v>
      </c>
      <c r="AW63" s="21">
        <f>[2]底表!CJ63</f>
        <v>2</v>
      </c>
      <c r="AX63" s="21">
        <f>[2]底表!CK63</f>
        <v>6</v>
      </c>
      <c r="AY63" s="21">
        <f>[2]底表!CL63</f>
        <v>200</v>
      </c>
      <c r="AZ63" s="21">
        <f>[2]底表!CM63</f>
        <v>50</v>
      </c>
      <c r="BA63" s="21">
        <f>[2]底表!CN63</f>
        <v>0.3333</v>
      </c>
      <c r="BB63" s="21">
        <f>[2]底表!CO63</f>
        <v>8</v>
      </c>
      <c r="BC63" s="21">
        <f>[2]底表!CP63</f>
        <v>6</v>
      </c>
      <c r="BD63" s="21">
        <f>[2]底表!CQ63</f>
        <v>0.3333</v>
      </c>
      <c r="BE63" s="21">
        <f>[2]底表!CR63</f>
        <v>2</v>
      </c>
      <c r="BF63" s="21">
        <f>[2]底表!CS63</f>
        <v>3</v>
      </c>
      <c r="BG63" s="21">
        <f>[2]底表!CT63</f>
        <v>0.5714</v>
      </c>
      <c r="BH63" s="21">
        <f>[2]底表!CU63</f>
        <v>-0.0952</v>
      </c>
      <c r="BI63" s="21">
        <f>[2]底表!CV63</f>
        <v>114</v>
      </c>
      <c r="BJ63" s="21">
        <f>[2]底表!CW63</f>
        <v>14</v>
      </c>
      <c r="BK63" s="21">
        <f>[2]底表!CX63</f>
        <v>0.1429</v>
      </c>
      <c r="BL63" s="21">
        <f>[2]底表!CY63</f>
        <v>8</v>
      </c>
      <c r="BM63" s="21">
        <f>[2]底表!CZ63</f>
        <v>6</v>
      </c>
      <c r="BN63" s="23">
        <f>[2]底表!DA63</f>
        <v>0.3333</v>
      </c>
      <c r="BO63" s="21">
        <f>[2]底表!DB63</f>
        <v>2</v>
      </c>
      <c r="BP63" s="21">
        <f>[2]底表!DC63</f>
        <v>3</v>
      </c>
      <c r="BQ63" s="21">
        <f>[2]底表!DD63</f>
        <v>0.5714</v>
      </c>
      <c r="BR63" s="21">
        <f>[2]底表!DE63</f>
        <v>-0.0952</v>
      </c>
      <c r="BS63" s="21">
        <f>[2]底表!DF63</f>
        <v>114</v>
      </c>
      <c r="BT63" s="21">
        <f>[2]底表!DG63</f>
        <v>14</v>
      </c>
      <c r="BU63" s="21">
        <f>[2]底表!DH63</f>
        <v>0.1429</v>
      </c>
      <c r="BV63" s="21">
        <f>[2]底表!DI63</f>
        <v>0</v>
      </c>
      <c r="BW63" s="21">
        <f>[2]底表!DJ63</f>
        <v>0</v>
      </c>
      <c r="BX63" s="23" t="str">
        <f>[2]底表!DK63</f>
        <v>持平</v>
      </c>
      <c r="BY63" s="21">
        <f>[2]底表!DL63</f>
        <v>0</v>
      </c>
      <c r="BZ63" s="21" t="str">
        <f>[2]底表!DM63</f>
        <v>持平</v>
      </c>
      <c r="CA63" s="21">
        <f>[2]底表!DN63</f>
        <v>2</v>
      </c>
      <c r="CB63" s="21">
        <f>[2]底表!DO63</f>
        <v>0</v>
      </c>
      <c r="CC63" s="21" t="str">
        <f>[2]底表!DP63</f>
        <v>多2人</v>
      </c>
      <c r="CD63" s="21">
        <f>[2]底表!DQ63</f>
        <v>0</v>
      </c>
      <c r="CE63" s="21" t="str">
        <f>[2]底表!DR63</f>
        <v>多2人</v>
      </c>
      <c r="CF63" s="21">
        <f>[2]底表!DS63</f>
        <v>2</v>
      </c>
      <c r="CG63" s="21">
        <f>[2]底表!DT63</f>
        <v>0</v>
      </c>
      <c r="CH63" s="21" t="str">
        <f>[2]底表!DU63</f>
        <v>多2人</v>
      </c>
      <c r="CI63" s="21">
        <f>[2]底表!DV63</f>
        <v>0</v>
      </c>
      <c r="CJ63" s="21" t="str">
        <f>[2]底表!DW63</f>
        <v>多2人</v>
      </c>
      <c r="CK63" s="21">
        <f>[2]底表!DX63</f>
        <v>3</v>
      </c>
      <c r="CL63" s="21">
        <f>[2]底表!DY63</f>
        <v>2</v>
      </c>
      <c r="CM63" s="21">
        <f>[2]底表!DZ63</f>
        <v>0.5</v>
      </c>
      <c r="CN63" s="21">
        <f>[2]底表!EA63</f>
        <v>3</v>
      </c>
      <c r="CO63" s="21">
        <f>[2]底表!EB63</f>
        <v>0</v>
      </c>
      <c r="CP63" s="21">
        <f>[2]底表!EC63</f>
        <v>1</v>
      </c>
      <c r="CQ63" s="21">
        <f>[2]底表!ED63</f>
        <v>2</v>
      </c>
      <c r="CR63" s="21">
        <f>[2]底表!EE63</f>
        <v>-0.5</v>
      </c>
      <c r="CS63" s="21">
        <f>[2]底表!EF63</f>
        <v>3</v>
      </c>
      <c r="CT63" s="21">
        <f>[2]底表!EG63</f>
        <v>-0.6667</v>
      </c>
      <c r="CU63" s="21">
        <f>[2]底表!EH63</f>
        <v>0.125</v>
      </c>
      <c r="CV63" s="21">
        <f>[2]底表!EI63</f>
        <v>-0.2083</v>
      </c>
      <c r="CW63" s="21">
        <f>[2]底表!EJ63</f>
        <v>14</v>
      </c>
      <c r="CX63" s="21">
        <f>[2]底表!EK63</f>
        <v>-19</v>
      </c>
      <c r="CY63" s="21">
        <f>[2]底表!EL63</f>
        <v>-0.5714</v>
      </c>
      <c r="CZ63" s="21">
        <f>[2]底表!EM63</f>
        <v>1</v>
      </c>
      <c r="DA63" s="21">
        <f>[2]底表!EN63</f>
        <v>2</v>
      </c>
      <c r="DB63" s="21">
        <f>[2]底表!EO63</f>
        <v>-0.5</v>
      </c>
      <c r="DC63" s="21">
        <f>[2]底表!EP63</f>
        <v>3</v>
      </c>
      <c r="DD63" s="21">
        <f>[2]底表!EQ63</f>
        <v>-0.6667</v>
      </c>
      <c r="DE63" s="21">
        <f>[2]底表!ER63</f>
        <v>1</v>
      </c>
      <c r="DF63" s="21">
        <f>[2]底表!ES63</f>
        <v>1</v>
      </c>
      <c r="DG63" s="23">
        <f>[2]底表!ET63</f>
        <v>0</v>
      </c>
      <c r="DH63" s="21">
        <f>[2]底表!EU63</f>
        <v>5</v>
      </c>
      <c r="DI63" s="21">
        <f>[2]底表!EV63</f>
        <v>-0.8</v>
      </c>
      <c r="DJ63" s="21">
        <f>[2]底表!EW63</f>
        <v>0.125</v>
      </c>
      <c r="DK63" s="21">
        <f>[2]底表!EX63</f>
        <v>-0.0417</v>
      </c>
      <c r="DL63" s="21">
        <f>[2]底表!EY63</f>
        <v>14</v>
      </c>
      <c r="DM63" s="21">
        <f>[2]底表!EZ63</f>
        <v>-2</v>
      </c>
      <c r="DN63" s="21">
        <f>[2]底表!FA63</f>
        <v>-0.1429</v>
      </c>
      <c r="DO63" s="21">
        <f>[2]底表!BQ63</f>
        <v>1</v>
      </c>
      <c r="DP63" s="21">
        <f>[2]底表!BR63</f>
        <v>0</v>
      </c>
      <c r="DQ63" s="24" t="str">
        <f>[2]底表!BS63</f>
        <v>多1起</v>
      </c>
    </row>
    <row r="64" s="2" customFormat="1" ht="32" hidden="1" customHeight="1" spans="1:121">
      <c r="A64" s="27" t="str">
        <f>[2]底表!A64</f>
        <v>涉毒</v>
      </c>
      <c r="B64" s="28" t="str">
        <f>[2]底表!B64</f>
        <v>新兴县</v>
      </c>
      <c r="C64" s="21">
        <f>[2]底表!AM64</f>
        <v>7</v>
      </c>
      <c r="D64" s="21">
        <f>[2]底表!AN64</f>
        <v>6</v>
      </c>
      <c r="E64" s="23">
        <f>[2]底表!AO64</f>
        <v>0.1667</v>
      </c>
      <c r="F64" s="21">
        <f>[2]底表!AP64</f>
        <v>0</v>
      </c>
      <c r="G64" s="21" t="str">
        <f>[2]底表!AQ64</f>
        <v>多7起</v>
      </c>
      <c r="H64" s="21">
        <f>[2]底表!AR64</f>
        <v>0.875</v>
      </c>
      <c r="I64" s="21">
        <f>[2]底表!AS64</f>
        <v>0.0179</v>
      </c>
      <c r="J64" s="21">
        <f>[2]底表!AT64</f>
        <v>2</v>
      </c>
      <c r="K64" s="21">
        <f>[2]底表!AU64</f>
        <v>4</v>
      </c>
      <c r="L64" s="21">
        <f>[2]底表!AV64</f>
        <v>-0.5</v>
      </c>
      <c r="M64" s="21">
        <f>[2]底表!AW64</f>
        <v>2</v>
      </c>
      <c r="N64" s="21">
        <f>[2]底表!AX64</f>
        <v>0</v>
      </c>
      <c r="O64" s="21">
        <f>[2]底表!AY64</f>
        <v>4</v>
      </c>
      <c r="P64" s="21">
        <f>[2]底表!AZ64</f>
        <v>4</v>
      </c>
      <c r="Q64" s="21">
        <f>[2]底表!BA64</f>
        <v>0</v>
      </c>
      <c r="R64" s="21">
        <f>[2]底表!BB64</f>
        <v>0</v>
      </c>
      <c r="S64" s="21" t="str">
        <f>[2]底表!BC64</f>
        <v>多4起</v>
      </c>
      <c r="T64" s="21">
        <f>[2]底表!BD64</f>
        <v>2</v>
      </c>
      <c r="U64" s="21">
        <f>[2]底表!BE64</f>
        <v>1</v>
      </c>
      <c r="V64" s="21">
        <f>[2]底表!BF64</f>
        <v>6</v>
      </c>
      <c r="W64" s="21">
        <f>[2]底表!BG64</f>
        <v>3</v>
      </c>
      <c r="X64" s="21">
        <f>[2]底表!BH64</f>
        <v>1</v>
      </c>
      <c r="Y64" s="21">
        <f>[2]底表!BI64</f>
        <v>1</v>
      </c>
      <c r="Z64" s="21">
        <f>[2]底表!BJ64</f>
        <v>5</v>
      </c>
      <c r="AA64" s="21">
        <f>[2]底表!BK64</f>
        <v>0.75</v>
      </c>
      <c r="AB64" s="21">
        <f>[2]底表!BL64</f>
        <v>3</v>
      </c>
      <c r="AC64" s="21">
        <f>[2]底表!BM64</f>
        <v>2</v>
      </c>
      <c r="AD64" s="21">
        <f>[2]底表!BN64</f>
        <v>0.5</v>
      </c>
      <c r="AE64" s="21">
        <f>[2]底表!BO64</f>
        <v>0</v>
      </c>
      <c r="AF64" s="21" t="str">
        <f>[2]底表!BP64</f>
        <v>多3起</v>
      </c>
      <c r="AG64" s="21">
        <f>[2]底表!BT64</f>
        <v>2</v>
      </c>
      <c r="AH64" s="21">
        <f>[2]底表!BU64</f>
        <v>-0.5</v>
      </c>
      <c r="AI64" s="21">
        <f>[2]底表!BV64</f>
        <v>0.125</v>
      </c>
      <c r="AJ64" s="21">
        <f>[2]底表!BW64</f>
        <v>0.125</v>
      </c>
      <c r="AK64" s="21">
        <f>[2]底表!BX64</f>
        <v>0.5</v>
      </c>
      <c r="AL64" s="21">
        <f>[2]底表!BY64</f>
        <v>0.5</v>
      </c>
      <c r="AM64" s="21">
        <f>[2]底表!BZ64</f>
        <v>0</v>
      </c>
      <c r="AN64" s="21">
        <f>[2]底表!CA64</f>
        <v>0</v>
      </c>
      <c r="AO64" s="21" t="str">
        <f>[2]底表!CB64</f>
        <v>持平</v>
      </c>
      <c r="AP64" s="21">
        <f>[2]底表!CC64</f>
        <v>0</v>
      </c>
      <c r="AQ64" s="21" t="str">
        <f>[2]底表!CD64</f>
        <v>持平</v>
      </c>
      <c r="AR64" s="21" t="str">
        <f>[2]底表!CE64</f>
        <v/>
      </c>
      <c r="AS64" s="21" t="str">
        <f>[2]底表!CF64</f>
        <v/>
      </c>
      <c r="AT64" s="21">
        <f>[2]底表!CG64</f>
        <v>14</v>
      </c>
      <c r="AU64" s="21">
        <f>[2]底表!CH64</f>
        <v>17</v>
      </c>
      <c r="AV64" s="21">
        <f>[2]底表!CI64</f>
        <v>-0.1765</v>
      </c>
      <c r="AW64" s="21">
        <f>[2]底表!CJ64</f>
        <v>2</v>
      </c>
      <c r="AX64" s="21">
        <f>[2]底表!CK64</f>
        <v>6</v>
      </c>
      <c r="AY64" s="21">
        <f>[2]底表!CL64</f>
        <v>175</v>
      </c>
      <c r="AZ64" s="21">
        <f>[2]底表!CM64</f>
        <v>-68</v>
      </c>
      <c r="BA64" s="21">
        <f>[2]底表!CN64</f>
        <v>-0.2794</v>
      </c>
      <c r="BB64" s="21">
        <f>[2]底表!CO64</f>
        <v>13</v>
      </c>
      <c r="BC64" s="21">
        <f>[2]底表!CP64</f>
        <v>8</v>
      </c>
      <c r="BD64" s="21">
        <f>[2]底表!CQ64</f>
        <v>0.625</v>
      </c>
      <c r="BE64" s="21">
        <f>[2]底表!CR64</f>
        <v>3</v>
      </c>
      <c r="BF64" s="21">
        <f>[2]底表!CS64</f>
        <v>3.3333</v>
      </c>
      <c r="BG64" s="21">
        <f>[2]底表!CT64</f>
        <v>0.9286</v>
      </c>
      <c r="BH64" s="21">
        <f>[2]底表!CU64</f>
        <v>0.458</v>
      </c>
      <c r="BI64" s="21">
        <f>[2]底表!CV64</f>
        <v>163</v>
      </c>
      <c r="BJ64" s="21">
        <f>[2]底表!CW64</f>
        <v>48</v>
      </c>
      <c r="BK64" s="21">
        <f>[2]底表!CX64</f>
        <v>0.4219</v>
      </c>
      <c r="BL64" s="21">
        <f>[2]底表!CY64</f>
        <v>13</v>
      </c>
      <c r="BM64" s="21">
        <f>[2]底表!CZ64</f>
        <v>8</v>
      </c>
      <c r="BN64" s="23">
        <f>[2]底表!DA64</f>
        <v>0.625</v>
      </c>
      <c r="BO64" s="21">
        <f>[2]底表!DB64</f>
        <v>3</v>
      </c>
      <c r="BP64" s="21">
        <f>[2]底表!DC64</f>
        <v>3.3333</v>
      </c>
      <c r="BQ64" s="21">
        <f>[2]底表!DD64</f>
        <v>0.9286</v>
      </c>
      <c r="BR64" s="21">
        <f>[2]底表!DE64</f>
        <v>0.458</v>
      </c>
      <c r="BS64" s="21">
        <f>[2]底表!DF64</f>
        <v>163</v>
      </c>
      <c r="BT64" s="21">
        <f>[2]底表!DG64</f>
        <v>48</v>
      </c>
      <c r="BU64" s="21">
        <f>[2]底表!DH64</f>
        <v>0.4219</v>
      </c>
      <c r="BV64" s="21">
        <f>[2]底表!DI64</f>
        <v>10</v>
      </c>
      <c r="BW64" s="21">
        <f>[2]底表!DJ64</f>
        <v>8</v>
      </c>
      <c r="BX64" s="23">
        <f>[2]底表!DK64</f>
        <v>0.25</v>
      </c>
      <c r="BY64" s="21">
        <f>[2]底表!DL64</f>
        <v>3</v>
      </c>
      <c r="BZ64" s="21">
        <f>[2]底表!DM64</f>
        <v>2.3333</v>
      </c>
      <c r="CA64" s="21">
        <f>[2]底表!DN64</f>
        <v>0</v>
      </c>
      <c r="CB64" s="21">
        <f>[2]底表!DO64</f>
        <v>0</v>
      </c>
      <c r="CC64" s="21" t="str">
        <f>[2]底表!DP64</f>
        <v>持平</v>
      </c>
      <c r="CD64" s="21">
        <f>[2]底表!DQ64</f>
        <v>0</v>
      </c>
      <c r="CE64" s="21" t="str">
        <f>[2]底表!DR64</f>
        <v>持平</v>
      </c>
      <c r="CF64" s="21">
        <f>[2]底表!DS64</f>
        <v>0</v>
      </c>
      <c r="CG64" s="21">
        <f>[2]底表!DT64</f>
        <v>0</v>
      </c>
      <c r="CH64" s="21" t="str">
        <f>[2]底表!DU64</f>
        <v>持平</v>
      </c>
      <c r="CI64" s="21">
        <f>[2]底表!DV64</f>
        <v>0</v>
      </c>
      <c r="CJ64" s="21" t="str">
        <f>[2]底表!DW64</f>
        <v>持平</v>
      </c>
      <c r="CK64" s="21">
        <f>[2]底表!DX64</f>
        <v>5</v>
      </c>
      <c r="CL64" s="21">
        <f>[2]底表!DY64</f>
        <v>3</v>
      </c>
      <c r="CM64" s="21">
        <f>[2]底表!DZ64</f>
        <v>0.6667</v>
      </c>
      <c r="CN64" s="21">
        <f>[2]底表!EA64</f>
        <v>2</v>
      </c>
      <c r="CO64" s="21">
        <f>[2]底表!EB64</f>
        <v>1.5</v>
      </c>
      <c r="CP64" s="21">
        <f>[2]底表!EC64</f>
        <v>3</v>
      </c>
      <c r="CQ64" s="21">
        <f>[2]底表!ED64</f>
        <v>0</v>
      </c>
      <c r="CR64" s="21" t="str">
        <f>[2]底表!EE64</f>
        <v>多3人</v>
      </c>
      <c r="CS64" s="21">
        <f>[2]底表!EF64</f>
        <v>2</v>
      </c>
      <c r="CT64" s="21">
        <f>[2]底表!EG64</f>
        <v>0.5</v>
      </c>
      <c r="CU64" s="21">
        <f>[2]底表!EH64</f>
        <v>0.2308</v>
      </c>
      <c r="CV64" s="21">
        <f>[2]底表!EI64</f>
        <v>0.2308</v>
      </c>
      <c r="CW64" s="21">
        <f>[2]底表!EJ64</f>
        <v>38</v>
      </c>
      <c r="CX64" s="21">
        <f>[2]底表!EK64</f>
        <v>38</v>
      </c>
      <c r="CY64" s="21" t="str">
        <f>[2]底表!EL64</f>
        <v/>
      </c>
      <c r="CZ64" s="21">
        <f>[2]底表!EM64</f>
        <v>3</v>
      </c>
      <c r="DA64" s="21">
        <f>[2]底表!EN64</f>
        <v>0</v>
      </c>
      <c r="DB64" s="21" t="str">
        <f>[2]底表!EO64</f>
        <v>多3人</v>
      </c>
      <c r="DC64" s="21">
        <f>[2]底表!EP64</f>
        <v>2</v>
      </c>
      <c r="DD64" s="21">
        <f>[2]底表!EQ64</f>
        <v>0.5</v>
      </c>
      <c r="DE64" s="21">
        <f>[2]底表!ER64</f>
        <v>2</v>
      </c>
      <c r="DF64" s="21">
        <f>[2]底表!ES64</f>
        <v>0</v>
      </c>
      <c r="DG64" s="23" t="str">
        <f>[2]底表!ET64</f>
        <v>多2人</v>
      </c>
      <c r="DH64" s="21">
        <f>[2]底表!EU64</f>
        <v>3</v>
      </c>
      <c r="DI64" s="21">
        <f>[2]底表!EV64</f>
        <v>-0.3333</v>
      </c>
      <c r="DJ64" s="21">
        <f>[2]底表!EW64</f>
        <v>0.1538</v>
      </c>
      <c r="DK64" s="21">
        <f>[2]底表!EX64</f>
        <v>0.1538</v>
      </c>
      <c r="DL64" s="21">
        <f>[2]底表!EY64</f>
        <v>25</v>
      </c>
      <c r="DM64" s="21">
        <f>[2]底表!EZ64</f>
        <v>25</v>
      </c>
      <c r="DN64" s="21" t="str">
        <f>[2]底表!FA64</f>
        <v/>
      </c>
      <c r="DO64" s="21">
        <f>[2]底表!BQ64</f>
        <v>1</v>
      </c>
      <c r="DP64" s="21">
        <f>[2]底表!BR64</f>
        <v>0</v>
      </c>
      <c r="DQ64" s="24" t="str">
        <f>[2]底表!BS64</f>
        <v>多1起</v>
      </c>
    </row>
    <row r="65" s="2" customFormat="1" ht="32" hidden="1" customHeight="1" spans="1:121">
      <c r="A65" s="27" t="str">
        <f>[2]底表!A65</f>
        <v>涉毒</v>
      </c>
      <c r="B65" s="28" t="str">
        <f>[2]底表!B65</f>
        <v>郁南县</v>
      </c>
      <c r="C65" s="21">
        <f>[2]底表!AM65</f>
        <v>2</v>
      </c>
      <c r="D65" s="21">
        <f>[2]底表!AN65</f>
        <v>1</v>
      </c>
      <c r="E65" s="23">
        <f>[2]底表!AO65</f>
        <v>1</v>
      </c>
      <c r="F65" s="21">
        <f>[2]底表!AP65</f>
        <v>1</v>
      </c>
      <c r="G65" s="21">
        <f>[2]底表!AQ65</f>
        <v>1</v>
      </c>
      <c r="H65" s="21">
        <f>[2]底表!AR65</f>
        <v>1</v>
      </c>
      <c r="I65" s="21">
        <f>[2]底表!AS65</f>
        <v>0.5</v>
      </c>
      <c r="J65" s="21">
        <f>[2]底表!AT65</f>
        <v>2</v>
      </c>
      <c r="K65" s="21">
        <f>[2]底表!AU65</f>
        <v>1</v>
      </c>
      <c r="L65" s="21">
        <f>[2]底表!AV65</f>
        <v>1</v>
      </c>
      <c r="M65" s="21">
        <f>[2]底表!AW65</f>
        <v>1</v>
      </c>
      <c r="N65" s="21">
        <f>[2]底表!AX65</f>
        <v>1</v>
      </c>
      <c r="O65" s="21">
        <f>[2]底表!AY65</f>
        <v>2</v>
      </c>
      <c r="P65" s="21">
        <f>[2]底表!AZ65</f>
        <v>1</v>
      </c>
      <c r="Q65" s="21">
        <f>[2]底表!BA65</f>
        <v>1</v>
      </c>
      <c r="R65" s="21">
        <f>[2]底表!BB65</f>
        <v>1</v>
      </c>
      <c r="S65" s="21">
        <f>[2]底表!BC65</f>
        <v>1</v>
      </c>
      <c r="T65" s="21">
        <f>[2]底表!BD65</f>
        <v>1</v>
      </c>
      <c r="U65" s="21">
        <f>[2]底表!BE65</f>
        <v>0</v>
      </c>
      <c r="V65" s="21">
        <f>[2]底表!BF65</f>
        <v>0</v>
      </c>
      <c r="W65" s="21">
        <f>[2]底表!BG65</f>
        <v>1</v>
      </c>
      <c r="X65" s="21" t="str">
        <f>[2]底表!BH65</f>
        <v>少1起</v>
      </c>
      <c r="Y65" s="21">
        <f>[2]底表!BI65</f>
        <v>0</v>
      </c>
      <c r="Z65" s="21" t="str">
        <f>[2]底表!BJ65</f>
        <v>持平</v>
      </c>
      <c r="AA65" s="21">
        <f>[2]底表!BK65</f>
        <v>0</v>
      </c>
      <c r="AB65" s="21">
        <f>[2]底表!BL65</f>
        <v>0</v>
      </c>
      <c r="AC65" s="21">
        <f>[2]底表!BM65</f>
        <v>0</v>
      </c>
      <c r="AD65" s="21" t="str">
        <f>[2]底表!BN65</f>
        <v>持平</v>
      </c>
      <c r="AE65" s="21">
        <f>[2]底表!BO65</f>
        <v>0</v>
      </c>
      <c r="AF65" s="21" t="str">
        <f>[2]底表!BP65</f>
        <v>持平</v>
      </c>
      <c r="AG65" s="21">
        <f>[2]底表!BT65</f>
        <v>2</v>
      </c>
      <c r="AH65" s="21" t="str">
        <f>[2]底表!BU65</f>
        <v>少2起</v>
      </c>
      <c r="AI65" s="21">
        <f>[2]底表!BV65</f>
        <v>0</v>
      </c>
      <c r="AJ65" s="21">
        <f>[2]底表!BW65</f>
        <v>-0.5</v>
      </c>
      <c r="AK65" s="21">
        <f>[2]底表!BX65</f>
        <v>0</v>
      </c>
      <c r="AL65" s="21">
        <f>[2]底表!BY65</f>
        <v>-1</v>
      </c>
      <c r="AM65" s="21">
        <f>[2]底表!BZ65</f>
        <v>0</v>
      </c>
      <c r="AN65" s="21">
        <f>[2]底表!CA65</f>
        <v>0</v>
      </c>
      <c r="AO65" s="21" t="str">
        <f>[2]底表!CB65</f>
        <v>持平</v>
      </c>
      <c r="AP65" s="21">
        <f>[2]底表!CC65</f>
        <v>0</v>
      </c>
      <c r="AQ65" s="21" t="str">
        <f>[2]底表!CD65</f>
        <v>持平</v>
      </c>
      <c r="AR65" s="21" t="str">
        <f>[2]底表!CE65</f>
        <v/>
      </c>
      <c r="AS65" s="21" t="str">
        <f>[2]底表!CF65</f>
        <v/>
      </c>
      <c r="AT65" s="21">
        <f>[2]底表!CG65</f>
        <v>5</v>
      </c>
      <c r="AU65" s="21">
        <f>[2]底表!CH65</f>
        <v>1</v>
      </c>
      <c r="AV65" s="21">
        <f>[2]底表!CI65</f>
        <v>4</v>
      </c>
      <c r="AW65" s="21">
        <f>[2]底表!CJ65</f>
        <v>0</v>
      </c>
      <c r="AX65" s="21" t="str">
        <f>[2]底表!CK65</f>
        <v>多5人</v>
      </c>
      <c r="AY65" s="21">
        <f>[2]底表!CL65</f>
        <v>250</v>
      </c>
      <c r="AZ65" s="21">
        <f>[2]底表!CM65</f>
        <v>200</v>
      </c>
      <c r="BA65" s="21">
        <f>[2]底表!CN65</f>
        <v>4</v>
      </c>
      <c r="BB65" s="21">
        <f>[2]底表!CO65</f>
        <v>6</v>
      </c>
      <c r="BC65" s="21">
        <f>[2]底表!CP65</f>
        <v>1</v>
      </c>
      <c r="BD65" s="21">
        <f>[2]底表!CQ65</f>
        <v>5</v>
      </c>
      <c r="BE65" s="21">
        <f>[2]底表!CR65</f>
        <v>2</v>
      </c>
      <c r="BF65" s="21">
        <f>[2]底表!CS65</f>
        <v>2</v>
      </c>
      <c r="BG65" s="21">
        <f>[2]底表!CT65</f>
        <v>1.2</v>
      </c>
      <c r="BH65" s="21">
        <f>[2]底表!CU65</f>
        <v>0.2</v>
      </c>
      <c r="BI65" s="21">
        <f>[2]底表!CV65</f>
        <v>300</v>
      </c>
      <c r="BJ65" s="21">
        <f>[2]底表!CW65</f>
        <v>250</v>
      </c>
      <c r="BK65" s="21">
        <f>[2]底表!CX65</f>
        <v>5</v>
      </c>
      <c r="BL65" s="21">
        <f>[2]底表!CY65</f>
        <v>6</v>
      </c>
      <c r="BM65" s="21">
        <f>[2]底表!CZ65</f>
        <v>1</v>
      </c>
      <c r="BN65" s="23">
        <f>[2]底表!DA65</f>
        <v>5</v>
      </c>
      <c r="BO65" s="21">
        <f>[2]底表!DB65</f>
        <v>2</v>
      </c>
      <c r="BP65" s="21">
        <f>[2]底表!DC65</f>
        <v>2</v>
      </c>
      <c r="BQ65" s="21">
        <f>[2]底表!DD65</f>
        <v>1.2</v>
      </c>
      <c r="BR65" s="21">
        <f>[2]底表!DE65</f>
        <v>0.2</v>
      </c>
      <c r="BS65" s="21">
        <f>[2]底表!DF65</f>
        <v>300</v>
      </c>
      <c r="BT65" s="21">
        <f>[2]底表!DG65</f>
        <v>250</v>
      </c>
      <c r="BU65" s="21">
        <f>[2]底表!DH65</f>
        <v>5</v>
      </c>
      <c r="BV65" s="21">
        <f>[2]底表!DI65</f>
        <v>5</v>
      </c>
      <c r="BW65" s="21">
        <f>[2]底表!DJ65</f>
        <v>1</v>
      </c>
      <c r="BX65" s="23">
        <f>[2]底表!DK65</f>
        <v>4</v>
      </c>
      <c r="BY65" s="21">
        <f>[2]底表!DL65</f>
        <v>2</v>
      </c>
      <c r="BZ65" s="21">
        <f>[2]底表!DM65</f>
        <v>1.5</v>
      </c>
      <c r="CA65" s="21">
        <f>[2]底表!DN65</f>
        <v>1</v>
      </c>
      <c r="CB65" s="21">
        <f>[2]底表!DO65</f>
        <v>0</v>
      </c>
      <c r="CC65" s="21" t="str">
        <f>[2]底表!DP65</f>
        <v>多1人</v>
      </c>
      <c r="CD65" s="21">
        <f>[2]底表!DQ65</f>
        <v>1</v>
      </c>
      <c r="CE65" s="21">
        <f>[2]底表!DR65</f>
        <v>0</v>
      </c>
      <c r="CF65" s="21">
        <f>[2]底表!DS65</f>
        <v>1</v>
      </c>
      <c r="CG65" s="21">
        <f>[2]底表!DT65</f>
        <v>0</v>
      </c>
      <c r="CH65" s="21" t="str">
        <f>[2]底表!DU65</f>
        <v>多1人</v>
      </c>
      <c r="CI65" s="21">
        <f>[2]底表!DV65</f>
        <v>1</v>
      </c>
      <c r="CJ65" s="21">
        <f>[2]底表!DW65</f>
        <v>0</v>
      </c>
      <c r="CK65" s="21">
        <f>[2]底表!DX65</f>
        <v>4</v>
      </c>
      <c r="CL65" s="21">
        <f>[2]底表!DY65</f>
        <v>1</v>
      </c>
      <c r="CM65" s="21">
        <f>[2]底表!DZ65</f>
        <v>3</v>
      </c>
      <c r="CN65" s="21">
        <f>[2]底表!EA65</f>
        <v>0</v>
      </c>
      <c r="CO65" s="21" t="str">
        <f>[2]底表!EB65</f>
        <v>多4人</v>
      </c>
      <c r="CP65" s="21">
        <f>[2]底表!EC65</f>
        <v>3</v>
      </c>
      <c r="CQ65" s="21">
        <f>[2]底表!ED65</f>
        <v>1</v>
      </c>
      <c r="CR65" s="21">
        <f>[2]底表!EE65</f>
        <v>2</v>
      </c>
      <c r="CS65" s="21">
        <f>[2]底表!EF65</f>
        <v>0</v>
      </c>
      <c r="CT65" s="21" t="str">
        <f>[2]底表!EG65</f>
        <v>多3人</v>
      </c>
      <c r="CU65" s="21">
        <f>[2]底表!EH65</f>
        <v>0.5</v>
      </c>
      <c r="CV65" s="21">
        <f>[2]底表!EI65</f>
        <v>-0.5</v>
      </c>
      <c r="CW65" s="21">
        <f>[2]底表!EJ65</f>
        <v>150</v>
      </c>
      <c r="CX65" s="21">
        <f>[2]底表!EK65</f>
        <v>100</v>
      </c>
      <c r="CY65" s="21">
        <f>[2]底表!EL65</f>
        <v>2</v>
      </c>
      <c r="CZ65" s="21">
        <f>[2]底表!EM65</f>
        <v>3</v>
      </c>
      <c r="DA65" s="21">
        <f>[2]底表!EN65</f>
        <v>1</v>
      </c>
      <c r="DB65" s="21">
        <f>[2]底表!EO65</f>
        <v>2</v>
      </c>
      <c r="DC65" s="21">
        <f>[2]底表!EP65</f>
        <v>0</v>
      </c>
      <c r="DD65" s="21" t="str">
        <f>[2]底表!EQ65</f>
        <v>多3人</v>
      </c>
      <c r="DE65" s="21">
        <f>[2]底表!ER65</f>
        <v>0</v>
      </c>
      <c r="DF65" s="21">
        <f>[2]底表!ES65</f>
        <v>2</v>
      </c>
      <c r="DG65" s="23" t="str">
        <f>[2]底表!ET65</f>
        <v>少2人</v>
      </c>
      <c r="DH65" s="21">
        <f>[2]底表!EU65</f>
        <v>5</v>
      </c>
      <c r="DI65" s="21" t="str">
        <f>[2]底表!EV65</f>
        <v>少5人</v>
      </c>
      <c r="DJ65" s="21">
        <f>[2]底表!EW65</f>
        <v>0</v>
      </c>
      <c r="DK65" s="21">
        <f>[2]底表!EX65</f>
        <v>-2</v>
      </c>
      <c r="DL65" s="21">
        <f>[2]底表!EY65</f>
        <v>0</v>
      </c>
      <c r="DM65" s="21">
        <f>[2]底表!EZ65</f>
        <v>-100</v>
      </c>
      <c r="DN65" s="21">
        <f>[2]底表!FA65</f>
        <v>-1</v>
      </c>
      <c r="DO65" s="21">
        <f>[2]底表!BQ65</f>
        <v>0</v>
      </c>
      <c r="DP65" s="21">
        <f>[2]底表!BR65</f>
        <v>1</v>
      </c>
      <c r="DQ65" s="24" t="str">
        <f>[2]底表!BS65</f>
        <v>少1起</v>
      </c>
    </row>
    <row r="66" s="2" customFormat="1" ht="32" hidden="1" customHeight="1" spans="1:121">
      <c r="A66" s="27" t="str">
        <f>[2]底表!A66</f>
        <v>涉毒</v>
      </c>
      <c r="B66" s="28" t="str">
        <f>[2]底表!B66</f>
        <v>罗定市</v>
      </c>
      <c r="C66" s="21">
        <f>[2]底表!AM66</f>
        <v>15</v>
      </c>
      <c r="D66" s="21">
        <f>[2]底表!AN66</f>
        <v>14</v>
      </c>
      <c r="E66" s="23">
        <f>[2]底表!AO66</f>
        <v>0.0714</v>
      </c>
      <c r="F66" s="21">
        <f>[2]底表!AP66</f>
        <v>1</v>
      </c>
      <c r="G66" s="21">
        <f>[2]底表!AQ66</f>
        <v>14</v>
      </c>
      <c r="H66" s="21">
        <f>[2]底表!AR66</f>
        <v>2.5</v>
      </c>
      <c r="I66" s="21">
        <f>[2]底表!AS66</f>
        <v>0.5</v>
      </c>
      <c r="J66" s="21">
        <f>[2]底表!AT66</f>
        <v>4</v>
      </c>
      <c r="K66" s="21">
        <f>[2]底表!AU66</f>
        <v>2</v>
      </c>
      <c r="L66" s="21">
        <f>[2]底表!AV66</f>
        <v>1</v>
      </c>
      <c r="M66" s="21">
        <f>[2]底表!AW66</f>
        <v>3</v>
      </c>
      <c r="N66" s="21">
        <f>[2]底表!AX66</f>
        <v>0.3333</v>
      </c>
      <c r="O66" s="21">
        <f>[2]底表!AY66</f>
        <v>2</v>
      </c>
      <c r="P66" s="21">
        <f>[2]底表!AZ66</f>
        <v>3</v>
      </c>
      <c r="Q66" s="21">
        <f>[2]底表!BA66</f>
        <v>-0.3333</v>
      </c>
      <c r="R66" s="21">
        <f>[2]底表!BB66</f>
        <v>1</v>
      </c>
      <c r="S66" s="21">
        <f>[2]底表!BC66</f>
        <v>1</v>
      </c>
      <c r="T66" s="21">
        <f>[2]底表!BD66</f>
        <v>0.5</v>
      </c>
      <c r="U66" s="21">
        <f>[2]底表!BE66</f>
        <v>-1</v>
      </c>
      <c r="V66" s="21">
        <f>[2]底表!BF66</f>
        <v>2</v>
      </c>
      <c r="W66" s="21">
        <f>[2]底表!BG66</f>
        <v>5</v>
      </c>
      <c r="X66" s="21">
        <f>[2]底表!BH66</f>
        <v>-0.6</v>
      </c>
      <c r="Y66" s="21">
        <f>[2]底表!BI66</f>
        <v>0</v>
      </c>
      <c r="Z66" s="21" t="str">
        <f>[2]底表!BJ66</f>
        <v>多2起</v>
      </c>
      <c r="AA66" s="21">
        <f>[2]底表!BK66</f>
        <v>0.3333</v>
      </c>
      <c r="AB66" s="21">
        <f>[2]底表!BL66</f>
        <v>13</v>
      </c>
      <c r="AC66" s="21">
        <f>[2]底表!BM66</f>
        <v>11</v>
      </c>
      <c r="AD66" s="21">
        <f>[2]底表!BN66</f>
        <v>0.1818</v>
      </c>
      <c r="AE66" s="21">
        <f>[2]底表!BO66</f>
        <v>0</v>
      </c>
      <c r="AF66" s="21" t="str">
        <f>[2]底表!BP66</f>
        <v>多13起</v>
      </c>
      <c r="AG66" s="21">
        <f>[2]底表!BT66</f>
        <v>4</v>
      </c>
      <c r="AH66" s="21">
        <f>[2]底表!BU66</f>
        <v>-0.5</v>
      </c>
      <c r="AI66" s="21">
        <f>[2]底表!BV66</f>
        <v>0.3333</v>
      </c>
      <c r="AJ66" s="21">
        <f>[2]底表!BW66</f>
        <v>0.1905</v>
      </c>
      <c r="AK66" s="21">
        <f>[2]底表!BX66</f>
        <v>0.5</v>
      </c>
      <c r="AL66" s="21">
        <f>[2]底表!BY66</f>
        <v>0</v>
      </c>
      <c r="AM66" s="21">
        <f>[2]底表!BZ66</f>
        <v>0</v>
      </c>
      <c r="AN66" s="21">
        <f>[2]底表!CA66</f>
        <v>0</v>
      </c>
      <c r="AO66" s="21" t="str">
        <f>[2]底表!CB66</f>
        <v>持平</v>
      </c>
      <c r="AP66" s="21">
        <f>[2]底表!CC66</f>
        <v>0</v>
      </c>
      <c r="AQ66" s="21" t="str">
        <f>[2]底表!CD66</f>
        <v>持平</v>
      </c>
      <c r="AR66" s="21" t="str">
        <f>[2]底表!CE66</f>
        <v/>
      </c>
      <c r="AS66" s="21" t="str">
        <f>[2]底表!CF66</f>
        <v/>
      </c>
      <c r="AT66" s="21">
        <f>[2]底表!CG66</f>
        <v>29</v>
      </c>
      <c r="AU66" s="21">
        <f>[2]底表!CH66</f>
        <v>6</v>
      </c>
      <c r="AV66" s="21">
        <f>[2]底表!CI66</f>
        <v>3.8333</v>
      </c>
      <c r="AW66" s="21">
        <f>[2]底表!CJ66</f>
        <v>6</v>
      </c>
      <c r="AX66" s="21">
        <f>[2]底表!CK66</f>
        <v>3.8333</v>
      </c>
      <c r="AY66" s="21">
        <f>[2]底表!CL66</f>
        <v>483</v>
      </c>
      <c r="AZ66" s="21">
        <f>[2]底表!CM66</f>
        <v>398</v>
      </c>
      <c r="BA66" s="21">
        <f>[2]底表!CN66</f>
        <v>4.6389</v>
      </c>
      <c r="BB66" s="21">
        <f>[2]底表!CO66</f>
        <v>21</v>
      </c>
      <c r="BC66" s="21">
        <f>[2]底表!CP66</f>
        <v>6</v>
      </c>
      <c r="BD66" s="21">
        <f>[2]底表!CQ66</f>
        <v>2.5</v>
      </c>
      <c r="BE66" s="21">
        <f>[2]底表!CR66</f>
        <v>8</v>
      </c>
      <c r="BF66" s="21">
        <f>[2]底表!CS66</f>
        <v>1.625</v>
      </c>
      <c r="BG66" s="21">
        <f>[2]底表!CT66</f>
        <v>0.7241</v>
      </c>
      <c r="BH66" s="21">
        <f>[2]底表!CU66</f>
        <v>-0.2759</v>
      </c>
      <c r="BI66" s="21">
        <f>[2]底表!CV66</f>
        <v>350</v>
      </c>
      <c r="BJ66" s="21">
        <f>[2]底表!CW66</f>
        <v>264</v>
      </c>
      <c r="BK66" s="21">
        <f>[2]底表!CX66</f>
        <v>3.0833</v>
      </c>
      <c r="BL66" s="21">
        <f>[2]底表!CY66</f>
        <v>21</v>
      </c>
      <c r="BM66" s="21">
        <f>[2]底表!CZ66</f>
        <v>7</v>
      </c>
      <c r="BN66" s="23">
        <f>[2]底表!DA66</f>
        <v>2</v>
      </c>
      <c r="BO66" s="21">
        <f>[2]底表!DB66</f>
        <v>8</v>
      </c>
      <c r="BP66" s="21">
        <f>[2]底表!DC66</f>
        <v>1.625</v>
      </c>
      <c r="BQ66" s="21">
        <f>[2]底表!DD66</f>
        <v>0.7241</v>
      </c>
      <c r="BR66" s="21">
        <f>[2]底表!DE66</f>
        <v>-0.4425</v>
      </c>
      <c r="BS66" s="21">
        <f>[2]底表!DF66</f>
        <v>350</v>
      </c>
      <c r="BT66" s="21">
        <f>[2]底表!DG66</f>
        <v>250</v>
      </c>
      <c r="BU66" s="21">
        <f>[2]底表!DH66</f>
        <v>2.5</v>
      </c>
      <c r="BV66" s="21">
        <f>[2]底表!DI66</f>
        <v>15</v>
      </c>
      <c r="BW66" s="21">
        <f>[2]底表!DJ66</f>
        <v>0</v>
      </c>
      <c r="BX66" s="23" t="str">
        <f>[2]底表!DK66</f>
        <v>多15人</v>
      </c>
      <c r="BY66" s="21">
        <f>[2]底表!DL66</f>
        <v>5</v>
      </c>
      <c r="BZ66" s="21">
        <f>[2]底表!DM66</f>
        <v>2</v>
      </c>
      <c r="CA66" s="21">
        <f>[2]底表!DN66</f>
        <v>1</v>
      </c>
      <c r="CB66" s="21">
        <f>[2]底表!DO66</f>
        <v>7</v>
      </c>
      <c r="CC66" s="21">
        <f>[2]底表!DP66</f>
        <v>-0.8571</v>
      </c>
      <c r="CD66" s="21">
        <f>[2]底表!DQ66</f>
        <v>4</v>
      </c>
      <c r="CE66" s="21">
        <f>[2]底表!DR66</f>
        <v>-0.75</v>
      </c>
      <c r="CF66" s="21">
        <f>[2]底表!DS66</f>
        <v>1</v>
      </c>
      <c r="CG66" s="21">
        <f>[2]底表!DT66</f>
        <v>7</v>
      </c>
      <c r="CH66" s="21">
        <f>[2]底表!DU66</f>
        <v>-0.8571</v>
      </c>
      <c r="CI66" s="21">
        <f>[2]底表!DV66</f>
        <v>4</v>
      </c>
      <c r="CJ66" s="21">
        <f>[2]底表!DW66</f>
        <v>-0.75</v>
      </c>
      <c r="CK66" s="21">
        <f>[2]底表!DX66</f>
        <v>7</v>
      </c>
      <c r="CL66" s="21">
        <f>[2]底表!DY66</f>
        <v>11</v>
      </c>
      <c r="CM66" s="21">
        <f>[2]底表!DZ66</f>
        <v>-0.3636</v>
      </c>
      <c r="CN66" s="21">
        <f>[2]底表!EA66</f>
        <v>11</v>
      </c>
      <c r="CO66" s="21">
        <f>[2]底表!EB66</f>
        <v>-0.3636</v>
      </c>
      <c r="CP66" s="21">
        <f>[2]底表!EC66</f>
        <v>5</v>
      </c>
      <c r="CQ66" s="21">
        <f>[2]底表!ED66</f>
        <v>4</v>
      </c>
      <c r="CR66" s="21">
        <f>[2]底表!EE66</f>
        <v>0.25</v>
      </c>
      <c r="CS66" s="21">
        <f>[2]底表!EF66</f>
        <v>11</v>
      </c>
      <c r="CT66" s="21">
        <f>[2]底表!EG66</f>
        <v>-0.5455</v>
      </c>
      <c r="CU66" s="21">
        <f>[2]底表!EH66</f>
        <v>0.2381</v>
      </c>
      <c r="CV66" s="21">
        <f>[2]底表!EI66</f>
        <v>-0.4286</v>
      </c>
      <c r="CW66" s="21">
        <f>[2]底表!EJ66</f>
        <v>83</v>
      </c>
      <c r="CX66" s="21">
        <f>[2]底表!EK66</f>
        <v>26</v>
      </c>
      <c r="CY66" s="21">
        <f>[2]底表!EL66</f>
        <v>0.4583</v>
      </c>
      <c r="CZ66" s="21">
        <f>[2]底表!EM66</f>
        <v>5</v>
      </c>
      <c r="DA66" s="21">
        <f>[2]底表!EN66</f>
        <v>4</v>
      </c>
      <c r="DB66" s="21">
        <f>[2]底表!EO66</f>
        <v>0.25</v>
      </c>
      <c r="DC66" s="21">
        <f>[2]底表!EP66</f>
        <v>11</v>
      </c>
      <c r="DD66" s="21">
        <f>[2]底表!EQ66</f>
        <v>-0.5455</v>
      </c>
      <c r="DE66" s="21">
        <f>[2]底表!ER66</f>
        <v>2</v>
      </c>
      <c r="DF66" s="21">
        <f>[2]底表!ES66</f>
        <v>1</v>
      </c>
      <c r="DG66" s="23">
        <f>[2]底表!ET66</f>
        <v>1</v>
      </c>
      <c r="DH66" s="21">
        <f>[2]底表!EU66</f>
        <v>11</v>
      </c>
      <c r="DI66" s="21">
        <f>[2]底表!EV66</f>
        <v>-0.8182</v>
      </c>
      <c r="DJ66" s="21">
        <f>[2]底表!EW66</f>
        <v>0.0952</v>
      </c>
      <c r="DK66" s="21">
        <f>[2]底表!EX66</f>
        <v>-0.0714</v>
      </c>
      <c r="DL66" s="21">
        <f>[2]底表!EY66</f>
        <v>33</v>
      </c>
      <c r="DM66" s="21">
        <f>[2]底表!EZ66</f>
        <v>19</v>
      </c>
      <c r="DN66" s="21">
        <f>[2]底表!FA66</f>
        <v>1.3333</v>
      </c>
      <c r="DO66" s="21">
        <f>[2]底表!BQ66</f>
        <v>2</v>
      </c>
      <c r="DP66" s="21">
        <f>[2]底表!BR66</f>
        <v>1</v>
      </c>
      <c r="DQ66" s="24">
        <f>[2]底表!BS66</f>
        <v>1</v>
      </c>
    </row>
    <row r="67" s="2" customFormat="1" ht="32" hidden="1" customHeight="1" spans="1:121">
      <c r="A67" s="27" t="str">
        <f>[2]底表!A67</f>
        <v>涉黑</v>
      </c>
      <c r="B67" s="28" t="str">
        <f>[2]底表!B67</f>
        <v>全省</v>
      </c>
      <c r="C67" s="21">
        <f>[2]底表!AM67</f>
        <v>2</v>
      </c>
      <c r="D67" s="21">
        <f>[2]底表!AN67</f>
        <v>2</v>
      </c>
      <c r="E67" s="23">
        <f>[2]底表!AO67</f>
        <v>0</v>
      </c>
      <c r="F67" s="21">
        <f>[2]底表!AP67</f>
        <v>3</v>
      </c>
      <c r="G67" s="21">
        <f>[2]底表!AQ67</f>
        <v>-0.3333</v>
      </c>
      <c r="H67" s="21">
        <f>[2]底表!AR67</f>
        <v>1</v>
      </c>
      <c r="I67" s="21">
        <f>[2]底表!AS67</f>
        <v>0</v>
      </c>
      <c r="J67" s="21">
        <f>[2]底表!AT67</f>
        <v>0</v>
      </c>
      <c r="K67" s="21">
        <f>[2]底表!AU67</f>
        <v>0</v>
      </c>
      <c r="L67" s="21" t="str">
        <f>[2]底表!AV67</f>
        <v>持平</v>
      </c>
      <c r="M67" s="21">
        <f>[2]底表!AW67</f>
        <v>0</v>
      </c>
      <c r="N67" s="21" t="str">
        <f>[2]底表!AX67</f>
        <v>持平</v>
      </c>
      <c r="O67" s="21">
        <f>[2]底表!AY67</f>
        <v>0</v>
      </c>
      <c r="P67" s="21">
        <f>[2]底表!AZ67</f>
        <v>0</v>
      </c>
      <c r="Q67" s="21" t="str">
        <f>[2]底表!BA67</f>
        <v>持平</v>
      </c>
      <c r="R67" s="21">
        <f>[2]底表!BB67</f>
        <v>1</v>
      </c>
      <c r="S67" s="21" t="str">
        <f>[2]底表!BC67</f>
        <v>少1起</v>
      </c>
      <c r="T67" s="21" t="str">
        <f>[2]底表!BD67</f>
        <v/>
      </c>
      <c r="U67" s="21" t="str">
        <f>[2]底表!BE67</f>
        <v/>
      </c>
      <c r="V67" s="21">
        <f>[2]底表!BF67</f>
        <v>2</v>
      </c>
      <c r="W67" s="21">
        <f>[2]底表!BG67</f>
        <v>2</v>
      </c>
      <c r="X67" s="21">
        <f>[2]底表!BH67</f>
        <v>0</v>
      </c>
      <c r="Y67" s="21">
        <f>[2]底表!BI67</f>
        <v>6</v>
      </c>
      <c r="Z67" s="21">
        <f>[2]底表!BJ67</f>
        <v>-0.6667</v>
      </c>
      <c r="AA67" s="21">
        <f>[2]底表!BK67</f>
        <v>1</v>
      </c>
      <c r="AB67" s="21">
        <f>[2]底表!BL67</f>
        <v>2</v>
      </c>
      <c r="AC67" s="21">
        <f>[2]底表!BM67</f>
        <v>2</v>
      </c>
      <c r="AD67" s="21">
        <f>[2]底表!BN67</f>
        <v>0</v>
      </c>
      <c r="AE67" s="21">
        <f>[2]底表!BO67</f>
        <v>2</v>
      </c>
      <c r="AF67" s="21">
        <f>[2]底表!BP67</f>
        <v>0</v>
      </c>
      <c r="AG67" s="21">
        <f>[2]底表!BT67</f>
        <v>0</v>
      </c>
      <c r="AH67" s="21" t="str">
        <f>[2]底表!BU67</f>
        <v>多1起</v>
      </c>
      <c r="AI67" s="21">
        <f>[2]底表!BV67</f>
        <v>0.5</v>
      </c>
      <c r="AJ67" s="21">
        <f>[2]底表!BW67</f>
        <v>-0.5</v>
      </c>
      <c r="AK67" s="21" t="str">
        <f>[2]底表!BX67</f>
        <v/>
      </c>
      <c r="AL67" s="21" t="str">
        <f>[2]底表!BY67</f>
        <v/>
      </c>
      <c r="AM67" s="21">
        <f>[2]底表!BZ67</f>
        <v>0</v>
      </c>
      <c r="AN67" s="21">
        <f>[2]底表!CA67</f>
        <v>0</v>
      </c>
      <c r="AO67" s="21" t="str">
        <f>[2]底表!CB67</f>
        <v>持平</v>
      </c>
      <c r="AP67" s="21">
        <f>[2]底表!CC67</f>
        <v>0</v>
      </c>
      <c r="AQ67" s="21" t="str">
        <f>[2]底表!CD67</f>
        <v>持平</v>
      </c>
      <c r="AR67" s="21" t="str">
        <f>[2]底表!CE67</f>
        <v/>
      </c>
      <c r="AS67" s="21" t="str">
        <f>[2]底表!CF67</f>
        <v/>
      </c>
      <c r="AT67" s="21">
        <f>[2]底表!CG67</f>
        <v>59</v>
      </c>
      <c r="AU67" s="21">
        <f>[2]底表!CH67</f>
        <v>3</v>
      </c>
      <c r="AV67" s="21">
        <f>[2]底表!CI67</f>
        <v>18.6667</v>
      </c>
      <c r="AW67" s="21">
        <f>[2]底表!CJ67</f>
        <v>70</v>
      </c>
      <c r="AX67" s="21">
        <f>[2]底表!CK67</f>
        <v>-0.1571</v>
      </c>
      <c r="AY67" s="21">
        <f>[2]底表!CL67</f>
        <v>2950</v>
      </c>
      <c r="AZ67" s="21">
        <f>[2]底表!CM67</f>
        <v>2800</v>
      </c>
      <c r="BA67" s="21">
        <f>[2]底表!CN67</f>
        <v>18.6667</v>
      </c>
      <c r="BB67" s="21">
        <f>[2]底表!CO67</f>
        <v>36</v>
      </c>
      <c r="BC67" s="21">
        <f>[2]底表!CP67</f>
        <v>1</v>
      </c>
      <c r="BD67" s="21">
        <f>[2]底表!CQ67</f>
        <v>35</v>
      </c>
      <c r="BE67" s="21">
        <f>[2]底表!CR67</f>
        <v>6</v>
      </c>
      <c r="BF67" s="21">
        <f>[2]底表!CS67</f>
        <v>5</v>
      </c>
      <c r="BG67" s="21">
        <f>[2]底表!CT67</f>
        <v>0.6102</v>
      </c>
      <c r="BH67" s="21">
        <f>[2]底表!CU67</f>
        <v>0.2768</v>
      </c>
      <c r="BI67" s="21">
        <f>[2]底表!CV67</f>
        <v>1800</v>
      </c>
      <c r="BJ67" s="21">
        <f>[2]底表!CW67</f>
        <v>1750</v>
      </c>
      <c r="BK67" s="21">
        <f>[2]底表!CX67</f>
        <v>35</v>
      </c>
      <c r="BL67" s="21">
        <f>[2]底表!CY67</f>
        <v>37</v>
      </c>
      <c r="BM67" s="21">
        <f>[2]底表!CZ67</f>
        <v>1</v>
      </c>
      <c r="BN67" s="23">
        <f>[2]底表!DA67</f>
        <v>36</v>
      </c>
      <c r="BO67" s="21">
        <f>[2]底表!DB67</f>
        <v>6</v>
      </c>
      <c r="BP67" s="21">
        <f>[2]底表!DC67</f>
        <v>5.1667</v>
      </c>
      <c r="BQ67" s="21">
        <f>[2]底表!DD67</f>
        <v>0.6271</v>
      </c>
      <c r="BR67" s="21">
        <f>[2]底表!DE67</f>
        <v>0.2938</v>
      </c>
      <c r="BS67" s="21">
        <f>[2]底表!DF67</f>
        <v>1850</v>
      </c>
      <c r="BT67" s="21">
        <f>[2]底表!DG67</f>
        <v>1800</v>
      </c>
      <c r="BU67" s="21">
        <f>[2]底表!DH67</f>
        <v>36</v>
      </c>
      <c r="BV67" s="21">
        <f>[2]底表!DI67</f>
        <v>36</v>
      </c>
      <c r="BW67" s="21">
        <f>[2]底表!DJ67</f>
        <v>6</v>
      </c>
      <c r="BX67" s="23">
        <f>[2]底表!DK67</f>
        <v>5</v>
      </c>
      <c r="BY67" s="21">
        <f>[2]底表!DL67</f>
        <v>6</v>
      </c>
      <c r="BZ67" s="21">
        <f>[2]底表!DM67</f>
        <v>5</v>
      </c>
      <c r="CA67" s="21">
        <f>[2]底表!DN67</f>
        <v>1</v>
      </c>
      <c r="CB67" s="21">
        <f>[2]底表!DO67</f>
        <v>2</v>
      </c>
      <c r="CC67" s="21">
        <f>[2]底表!DP67</f>
        <v>-0.5</v>
      </c>
      <c r="CD67" s="21">
        <f>[2]底表!DQ67</f>
        <v>10</v>
      </c>
      <c r="CE67" s="21">
        <f>[2]底表!DR67</f>
        <v>-0.9</v>
      </c>
      <c r="CF67" s="21">
        <f>[2]底表!DS67</f>
        <v>1</v>
      </c>
      <c r="CG67" s="21">
        <f>[2]底表!DT67</f>
        <v>2</v>
      </c>
      <c r="CH67" s="21">
        <f>[2]底表!DU67</f>
        <v>-0.5</v>
      </c>
      <c r="CI67" s="21">
        <f>[2]底表!DV67</f>
        <v>10</v>
      </c>
      <c r="CJ67" s="21">
        <f>[2]底表!DW67</f>
        <v>-0.9</v>
      </c>
      <c r="CK67" s="21">
        <f>[2]底表!DX67</f>
        <v>22</v>
      </c>
      <c r="CL67" s="21">
        <f>[2]底表!DY67</f>
        <v>5</v>
      </c>
      <c r="CM67" s="21">
        <f>[2]底表!DZ67</f>
        <v>3.4</v>
      </c>
      <c r="CN67" s="21">
        <f>[2]底表!EA67</f>
        <v>12</v>
      </c>
      <c r="CO67" s="21">
        <f>[2]底表!EB67</f>
        <v>0.8333</v>
      </c>
      <c r="CP67" s="21">
        <f>[2]底表!EC67</f>
        <v>6</v>
      </c>
      <c r="CQ67" s="21">
        <f>[2]底表!ED67</f>
        <v>4</v>
      </c>
      <c r="CR67" s="21">
        <f>[2]底表!EE67</f>
        <v>0.5</v>
      </c>
      <c r="CS67" s="21">
        <f>[2]底表!EF67</f>
        <v>13</v>
      </c>
      <c r="CT67" s="21">
        <f>[2]底表!EG67</f>
        <v>-0.5385</v>
      </c>
      <c r="CU67" s="21">
        <f>[2]底表!EH67</f>
        <v>0.1667</v>
      </c>
      <c r="CV67" s="21">
        <f>[2]底表!EI67</f>
        <v>-3.8333</v>
      </c>
      <c r="CW67" s="21">
        <f>[2]底表!EJ67</f>
        <v>300</v>
      </c>
      <c r="CX67" s="21">
        <f>[2]底表!EK67</f>
        <v>100</v>
      </c>
      <c r="CY67" s="21">
        <f>[2]底表!EL67</f>
        <v>0.5</v>
      </c>
      <c r="CZ67" s="21">
        <f>[2]底表!EM67</f>
        <v>7</v>
      </c>
      <c r="DA67" s="21">
        <f>[2]底表!EN67</f>
        <v>4</v>
      </c>
      <c r="DB67" s="21">
        <f>[2]底表!EO67</f>
        <v>0.75</v>
      </c>
      <c r="DC67" s="21">
        <f>[2]底表!EP67</f>
        <v>13</v>
      </c>
      <c r="DD67" s="21">
        <f>[2]底表!EQ67</f>
        <v>-0.4615</v>
      </c>
      <c r="DE67" s="21">
        <f>[2]底表!ER67</f>
        <v>2</v>
      </c>
      <c r="DF67" s="21">
        <f>[2]底表!ES67</f>
        <v>16</v>
      </c>
      <c r="DG67" s="23">
        <f>[2]底表!ET67</f>
        <v>-0.875</v>
      </c>
      <c r="DH67" s="21">
        <f>[2]底表!EU67</f>
        <v>7</v>
      </c>
      <c r="DI67" s="21">
        <f>[2]底表!EV67</f>
        <v>-0.7143</v>
      </c>
      <c r="DJ67" s="21">
        <f>[2]底表!EW67</f>
        <v>0.0556</v>
      </c>
      <c r="DK67" s="21">
        <f>[2]底表!EX67</f>
        <v>-15.9444</v>
      </c>
      <c r="DL67" s="21">
        <f>[2]底表!EY67</f>
        <v>100</v>
      </c>
      <c r="DM67" s="21">
        <f>[2]底表!EZ67</f>
        <v>-700</v>
      </c>
      <c r="DN67" s="21">
        <f>[2]底表!FA67</f>
        <v>-0.875</v>
      </c>
      <c r="DO67" s="21">
        <f>[2]底表!BQ67</f>
        <v>1</v>
      </c>
      <c r="DP67" s="21">
        <f>[2]底表!BR67</f>
        <v>2</v>
      </c>
      <c r="DQ67" s="24">
        <f>[2]底表!BS67</f>
        <v>-0.5</v>
      </c>
    </row>
    <row r="68" s="2" customFormat="1" ht="32" hidden="1" customHeight="1" spans="1:121">
      <c r="A68" s="27" t="str">
        <f>[2]底表!A68</f>
        <v>涉黑</v>
      </c>
      <c r="B68" s="28" t="str">
        <f>[2]底表!B68</f>
        <v>云浮</v>
      </c>
      <c r="C68" s="21">
        <f>[2]底表!AM68</f>
        <v>0</v>
      </c>
      <c r="D68" s="21">
        <f>[2]底表!AN68</f>
        <v>0</v>
      </c>
      <c r="E68" s="23" t="str">
        <f>[2]底表!AO68</f>
        <v>持平</v>
      </c>
      <c r="F68" s="21">
        <f>[2]底表!AP68</f>
        <v>0</v>
      </c>
      <c r="G68" s="21" t="str">
        <f>[2]底表!AQ68</f>
        <v>持平</v>
      </c>
      <c r="H68" s="21" t="str">
        <f>[2]底表!AR68</f>
        <v/>
      </c>
      <c r="I68" s="21" t="str">
        <f>[2]底表!AS68</f>
        <v/>
      </c>
      <c r="J68" s="21">
        <f>[2]底表!AT68</f>
        <v>0</v>
      </c>
      <c r="K68" s="21">
        <f>[2]底表!AU68</f>
        <v>0</v>
      </c>
      <c r="L68" s="21" t="str">
        <f>[2]底表!AV68</f>
        <v>持平</v>
      </c>
      <c r="M68" s="21">
        <f>[2]底表!AW68</f>
        <v>0</v>
      </c>
      <c r="N68" s="21" t="str">
        <f>[2]底表!AX68</f>
        <v>持平</v>
      </c>
      <c r="O68" s="21">
        <f>[2]底表!AY68</f>
        <v>0</v>
      </c>
      <c r="P68" s="21">
        <f>[2]底表!AZ68</f>
        <v>0</v>
      </c>
      <c r="Q68" s="21" t="str">
        <f>[2]底表!BA68</f>
        <v>持平</v>
      </c>
      <c r="R68" s="21">
        <f>[2]底表!BB68</f>
        <v>0</v>
      </c>
      <c r="S68" s="21" t="str">
        <f>[2]底表!BC68</f>
        <v>持平</v>
      </c>
      <c r="T68" s="21" t="str">
        <f>[2]底表!BD68</f>
        <v/>
      </c>
      <c r="U68" s="21" t="str">
        <f>[2]底表!BE68</f>
        <v/>
      </c>
      <c r="V68" s="21">
        <f>[2]底表!BF68</f>
        <v>0</v>
      </c>
      <c r="W68" s="21">
        <f>[2]底表!BG68</f>
        <v>0</v>
      </c>
      <c r="X68" s="21" t="str">
        <f>[2]底表!BH68</f>
        <v>持平</v>
      </c>
      <c r="Y68" s="21">
        <f>[2]底表!BI68</f>
        <v>0</v>
      </c>
      <c r="Z68" s="21" t="str">
        <f>[2]底表!BJ68</f>
        <v>持平</v>
      </c>
      <c r="AA68" s="21" t="str">
        <f>[2]底表!BK68</f>
        <v/>
      </c>
      <c r="AB68" s="21">
        <f>[2]底表!BL68</f>
        <v>0</v>
      </c>
      <c r="AC68" s="21">
        <f>[2]底表!BM68</f>
        <v>0</v>
      </c>
      <c r="AD68" s="21" t="str">
        <f>[2]底表!BN68</f>
        <v>持平</v>
      </c>
      <c r="AE68" s="21">
        <f>[2]底表!BO68</f>
        <v>0</v>
      </c>
      <c r="AF68" s="21" t="str">
        <f>[2]底表!BP68</f>
        <v>持平</v>
      </c>
      <c r="AG68" s="21">
        <f>[2]底表!BT68</f>
        <v>0</v>
      </c>
      <c r="AH68" s="21" t="str">
        <f>[2]底表!BU68</f>
        <v>持平</v>
      </c>
      <c r="AI68" s="21" t="str">
        <f>[2]底表!BV68</f>
        <v/>
      </c>
      <c r="AJ68" s="21" t="str">
        <f>[2]底表!BW68</f>
        <v/>
      </c>
      <c r="AK68" s="21" t="str">
        <f>[2]底表!BX68</f>
        <v/>
      </c>
      <c r="AL68" s="21" t="str">
        <f>[2]底表!BY68</f>
        <v/>
      </c>
      <c r="AM68" s="21">
        <f>[2]底表!BZ68</f>
        <v>0</v>
      </c>
      <c r="AN68" s="21">
        <f>[2]底表!CA68</f>
        <v>0</v>
      </c>
      <c r="AO68" s="21" t="str">
        <f>[2]底表!CB68</f>
        <v>持平</v>
      </c>
      <c r="AP68" s="21">
        <f>[2]底表!CC68</f>
        <v>0</v>
      </c>
      <c r="AQ68" s="21" t="str">
        <f>[2]底表!CD68</f>
        <v>持平</v>
      </c>
      <c r="AR68" s="21" t="str">
        <f>[2]底表!CE68</f>
        <v/>
      </c>
      <c r="AS68" s="21" t="str">
        <f>[2]底表!CF68</f>
        <v/>
      </c>
      <c r="AT68" s="21">
        <f>[2]底表!CG68</f>
        <v>0</v>
      </c>
      <c r="AU68" s="21">
        <f>[2]底表!CH68</f>
        <v>0</v>
      </c>
      <c r="AV68" s="21" t="str">
        <f>[2]底表!CI68</f>
        <v>持平</v>
      </c>
      <c r="AW68" s="21">
        <f>[2]底表!CJ68</f>
        <v>0</v>
      </c>
      <c r="AX68" s="21" t="str">
        <f>[2]底表!CK68</f>
        <v>持平</v>
      </c>
      <c r="AY68" s="21" t="str">
        <f>[2]底表!CL68</f>
        <v/>
      </c>
      <c r="AZ68" s="21" t="str">
        <f>[2]底表!CM68</f>
        <v/>
      </c>
      <c r="BA68" s="21" t="str">
        <f>[2]底表!CN68</f>
        <v/>
      </c>
      <c r="BB68" s="21">
        <f>[2]底表!CO68</f>
        <v>0</v>
      </c>
      <c r="BC68" s="21">
        <f>[2]底表!CP68</f>
        <v>0</v>
      </c>
      <c r="BD68" s="21" t="str">
        <f>[2]底表!CQ68</f>
        <v>持平</v>
      </c>
      <c r="BE68" s="21">
        <f>[2]底表!CR68</f>
        <v>0</v>
      </c>
      <c r="BF68" s="21" t="str">
        <f>[2]底表!CS68</f>
        <v>持平</v>
      </c>
      <c r="BG68" s="21" t="str">
        <f>[2]底表!CT68</f>
        <v/>
      </c>
      <c r="BH68" s="21" t="str">
        <f>[2]底表!CU68</f>
        <v/>
      </c>
      <c r="BI68" s="21" t="str">
        <f>[2]底表!CV68</f>
        <v/>
      </c>
      <c r="BJ68" s="21" t="str">
        <f>[2]底表!CW68</f>
        <v/>
      </c>
      <c r="BK68" s="21" t="str">
        <f>[2]底表!CX68</f>
        <v/>
      </c>
      <c r="BL68" s="21">
        <f>[2]底表!CY68</f>
        <v>0</v>
      </c>
      <c r="BM68" s="21">
        <f>[2]底表!CZ68</f>
        <v>0</v>
      </c>
      <c r="BN68" s="23" t="str">
        <f>[2]底表!DA68</f>
        <v>持平</v>
      </c>
      <c r="BO68" s="21">
        <f>[2]底表!DB68</f>
        <v>0</v>
      </c>
      <c r="BP68" s="21" t="str">
        <f>[2]底表!DC68</f>
        <v>持平</v>
      </c>
      <c r="BQ68" s="21" t="str">
        <f>[2]底表!DD68</f>
        <v/>
      </c>
      <c r="BR68" s="21" t="str">
        <f>[2]底表!DE68</f>
        <v/>
      </c>
      <c r="BS68" s="21" t="str">
        <f>[2]底表!DF68</f>
        <v/>
      </c>
      <c r="BT68" s="21" t="str">
        <f>[2]底表!DG68</f>
        <v/>
      </c>
      <c r="BU68" s="21" t="str">
        <f>[2]底表!DH68</f>
        <v/>
      </c>
      <c r="BV68" s="21">
        <f>[2]底表!DI68</f>
        <v>0</v>
      </c>
      <c r="BW68" s="21">
        <f>[2]底表!DJ68</f>
        <v>0</v>
      </c>
      <c r="BX68" s="23" t="str">
        <f>[2]底表!DK68</f>
        <v>持平</v>
      </c>
      <c r="BY68" s="21">
        <f>[2]底表!DL68</f>
        <v>0</v>
      </c>
      <c r="BZ68" s="21" t="str">
        <f>[2]底表!DM68</f>
        <v>持平</v>
      </c>
      <c r="CA68" s="21">
        <f>[2]底表!DN68</f>
        <v>0</v>
      </c>
      <c r="CB68" s="21">
        <f>[2]底表!DO68</f>
        <v>0</v>
      </c>
      <c r="CC68" s="21" t="str">
        <f>[2]底表!DP68</f>
        <v>持平</v>
      </c>
      <c r="CD68" s="21">
        <f>[2]底表!DQ68</f>
        <v>0</v>
      </c>
      <c r="CE68" s="21" t="str">
        <f>[2]底表!DR68</f>
        <v>持平</v>
      </c>
      <c r="CF68" s="21">
        <f>[2]底表!DS68</f>
        <v>0</v>
      </c>
      <c r="CG68" s="21">
        <f>[2]底表!DT68</f>
        <v>0</v>
      </c>
      <c r="CH68" s="21" t="str">
        <f>[2]底表!DU68</f>
        <v>持平</v>
      </c>
      <c r="CI68" s="21">
        <f>[2]底表!DV68</f>
        <v>0</v>
      </c>
      <c r="CJ68" s="21" t="str">
        <f>[2]底表!DW68</f>
        <v>持平</v>
      </c>
      <c r="CK68" s="21">
        <f>[2]底表!DX68</f>
        <v>0</v>
      </c>
      <c r="CL68" s="21">
        <f>[2]底表!DY68</f>
        <v>0</v>
      </c>
      <c r="CM68" s="21" t="str">
        <f>[2]底表!DZ68</f>
        <v>持平</v>
      </c>
      <c r="CN68" s="21">
        <f>[2]底表!EA68</f>
        <v>0</v>
      </c>
      <c r="CO68" s="21" t="str">
        <f>[2]底表!EB68</f>
        <v>持平</v>
      </c>
      <c r="CP68" s="21">
        <f>[2]底表!EC68</f>
        <v>0</v>
      </c>
      <c r="CQ68" s="21">
        <f>[2]底表!ED68</f>
        <v>0</v>
      </c>
      <c r="CR68" s="21" t="str">
        <f>[2]底表!EE68</f>
        <v>持平</v>
      </c>
      <c r="CS68" s="21">
        <f>[2]底表!EF68</f>
        <v>0</v>
      </c>
      <c r="CT68" s="21" t="str">
        <f>[2]底表!EG68</f>
        <v>持平</v>
      </c>
      <c r="CU68" s="21" t="str">
        <f>[2]底表!EH68</f>
        <v/>
      </c>
      <c r="CV68" s="21" t="str">
        <f>[2]底表!EI68</f>
        <v/>
      </c>
      <c r="CW68" s="21" t="str">
        <f>[2]底表!EJ68</f>
        <v/>
      </c>
      <c r="CX68" s="21" t="str">
        <f>[2]底表!EK68</f>
        <v/>
      </c>
      <c r="CY68" s="21" t="str">
        <f>[2]底表!EL68</f>
        <v/>
      </c>
      <c r="CZ68" s="21">
        <f>[2]底表!EM68</f>
        <v>0</v>
      </c>
      <c r="DA68" s="21">
        <f>[2]底表!EN68</f>
        <v>0</v>
      </c>
      <c r="DB68" s="21" t="str">
        <f>[2]底表!EO68</f>
        <v>持平</v>
      </c>
      <c r="DC68" s="21">
        <f>[2]底表!EP68</f>
        <v>0</v>
      </c>
      <c r="DD68" s="21" t="str">
        <f>[2]底表!EQ68</f>
        <v>持平</v>
      </c>
      <c r="DE68" s="21">
        <f>[2]底表!ER68</f>
        <v>0</v>
      </c>
      <c r="DF68" s="21">
        <f>[2]底表!ES68</f>
        <v>0</v>
      </c>
      <c r="DG68" s="23" t="str">
        <f>[2]底表!ET68</f>
        <v>持平</v>
      </c>
      <c r="DH68" s="21">
        <f>[2]底表!EU68</f>
        <v>0</v>
      </c>
      <c r="DI68" s="21" t="str">
        <f>[2]底表!EV68</f>
        <v>持平</v>
      </c>
      <c r="DJ68" s="21" t="str">
        <f>[2]底表!EW68</f>
        <v/>
      </c>
      <c r="DK68" s="21" t="str">
        <f>[2]底表!EX68</f>
        <v/>
      </c>
      <c r="DL68" s="21" t="str">
        <f>[2]底表!EY68</f>
        <v/>
      </c>
      <c r="DM68" s="21" t="str">
        <f>[2]底表!EZ68</f>
        <v/>
      </c>
      <c r="DN68" s="21" t="str">
        <f>[2]底表!FA68</f>
        <v/>
      </c>
      <c r="DO68" s="21">
        <f>[2]底表!BQ68</f>
        <v>0</v>
      </c>
      <c r="DP68" s="21">
        <f>[2]底表!BR68</f>
        <v>0</v>
      </c>
      <c r="DQ68" s="24" t="str">
        <f>[2]底表!BS68</f>
        <v>持平</v>
      </c>
    </row>
    <row r="69" s="2" customFormat="1" ht="32" hidden="1" customHeight="1" spans="1:121">
      <c r="A69" s="27" t="str">
        <f>[2]底表!A69</f>
        <v>涉黑</v>
      </c>
      <c r="B69" s="28" t="str">
        <f>[2]底表!B69</f>
        <v>云城区</v>
      </c>
      <c r="C69" s="21">
        <f>[2]底表!AM69</f>
        <v>0</v>
      </c>
      <c r="D69" s="21">
        <f>[2]底表!AN69</f>
        <v>0</v>
      </c>
      <c r="E69" s="23" t="str">
        <f>[2]底表!AO69</f>
        <v>持平</v>
      </c>
      <c r="F69" s="21">
        <f>[2]底表!AP69</f>
        <v>0</v>
      </c>
      <c r="G69" s="21" t="str">
        <f>[2]底表!AQ69</f>
        <v>持平</v>
      </c>
      <c r="H69" s="21" t="str">
        <f>[2]底表!AR69</f>
        <v/>
      </c>
      <c r="I69" s="21" t="str">
        <f>[2]底表!AS69</f>
        <v/>
      </c>
      <c r="J69" s="21">
        <f>[2]底表!AT69</f>
        <v>0</v>
      </c>
      <c r="K69" s="21">
        <f>[2]底表!AU69</f>
        <v>0</v>
      </c>
      <c r="L69" s="21" t="str">
        <f>[2]底表!AV69</f>
        <v>持平</v>
      </c>
      <c r="M69" s="21">
        <f>[2]底表!AW69</f>
        <v>0</v>
      </c>
      <c r="N69" s="21" t="str">
        <f>[2]底表!AX69</f>
        <v>持平</v>
      </c>
      <c r="O69" s="21">
        <f>[2]底表!AY69</f>
        <v>0</v>
      </c>
      <c r="P69" s="21">
        <f>[2]底表!AZ69</f>
        <v>0</v>
      </c>
      <c r="Q69" s="21" t="str">
        <f>[2]底表!BA69</f>
        <v>持平</v>
      </c>
      <c r="R69" s="21">
        <f>[2]底表!BB69</f>
        <v>0</v>
      </c>
      <c r="S69" s="21" t="str">
        <f>[2]底表!BC69</f>
        <v>持平</v>
      </c>
      <c r="T69" s="21" t="str">
        <f>[2]底表!BD69</f>
        <v/>
      </c>
      <c r="U69" s="21" t="str">
        <f>[2]底表!BE69</f>
        <v/>
      </c>
      <c r="V69" s="21">
        <f>[2]底表!BF69</f>
        <v>0</v>
      </c>
      <c r="W69" s="21">
        <f>[2]底表!BG69</f>
        <v>0</v>
      </c>
      <c r="X69" s="21" t="str">
        <f>[2]底表!BH69</f>
        <v>持平</v>
      </c>
      <c r="Y69" s="21">
        <f>[2]底表!BI69</f>
        <v>0</v>
      </c>
      <c r="Z69" s="21" t="str">
        <f>[2]底表!BJ69</f>
        <v>持平</v>
      </c>
      <c r="AA69" s="21" t="str">
        <f>[2]底表!BK69</f>
        <v/>
      </c>
      <c r="AB69" s="21">
        <f>[2]底表!BL69</f>
        <v>0</v>
      </c>
      <c r="AC69" s="21">
        <f>[2]底表!BM69</f>
        <v>0</v>
      </c>
      <c r="AD69" s="21" t="str">
        <f>[2]底表!BN69</f>
        <v>持平</v>
      </c>
      <c r="AE69" s="21">
        <f>[2]底表!BO69</f>
        <v>0</v>
      </c>
      <c r="AF69" s="21" t="str">
        <f>[2]底表!BP69</f>
        <v>持平</v>
      </c>
      <c r="AG69" s="21">
        <f>[2]底表!BT69</f>
        <v>0</v>
      </c>
      <c r="AH69" s="21" t="str">
        <f>[2]底表!BU69</f>
        <v>持平</v>
      </c>
      <c r="AI69" s="21" t="str">
        <f>[2]底表!BV69</f>
        <v/>
      </c>
      <c r="AJ69" s="21" t="str">
        <f>[2]底表!BW69</f>
        <v/>
      </c>
      <c r="AK69" s="21" t="str">
        <f>[2]底表!BX69</f>
        <v/>
      </c>
      <c r="AL69" s="21" t="str">
        <f>[2]底表!BY69</f>
        <v/>
      </c>
      <c r="AM69" s="21">
        <f>[2]底表!BZ69</f>
        <v>0</v>
      </c>
      <c r="AN69" s="21">
        <f>[2]底表!CA69</f>
        <v>0</v>
      </c>
      <c r="AO69" s="21" t="str">
        <f>[2]底表!CB69</f>
        <v>持平</v>
      </c>
      <c r="AP69" s="21">
        <f>[2]底表!CC69</f>
        <v>0</v>
      </c>
      <c r="AQ69" s="21" t="str">
        <f>[2]底表!CD69</f>
        <v>持平</v>
      </c>
      <c r="AR69" s="21" t="str">
        <f>[2]底表!CE69</f>
        <v/>
      </c>
      <c r="AS69" s="21" t="str">
        <f>[2]底表!CF69</f>
        <v/>
      </c>
      <c r="AT69" s="21">
        <f>[2]底表!CG69</f>
        <v>0</v>
      </c>
      <c r="AU69" s="21">
        <f>[2]底表!CH69</f>
        <v>0</v>
      </c>
      <c r="AV69" s="21" t="str">
        <f>[2]底表!CI69</f>
        <v>持平</v>
      </c>
      <c r="AW69" s="21">
        <f>[2]底表!CJ69</f>
        <v>0</v>
      </c>
      <c r="AX69" s="21" t="str">
        <f>[2]底表!CK69</f>
        <v>持平</v>
      </c>
      <c r="AY69" s="21" t="str">
        <f>[2]底表!CL69</f>
        <v/>
      </c>
      <c r="AZ69" s="21" t="str">
        <f>[2]底表!CM69</f>
        <v/>
      </c>
      <c r="BA69" s="21" t="str">
        <f>[2]底表!CN69</f>
        <v/>
      </c>
      <c r="BB69" s="21">
        <f>[2]底表!CO69</f>
        <v>0</v>
      </c>
      <c r="BC69" s="21">
        <f>[2]底表!CP69</f>
        <v>0</v>
      </c>
      <c r="BD69" s="21" t="str">
        <f>[2]底表!CQ69</f>
        <v>持平</v>
      </c>
      <c r="BE69" s="21">
        <f>[2]底表!CR69</f>
        <v>0</v>
      </c>
      <c r="BF69" s="21" t="str">
        <f>[2]底表!CS69</f>
        <v>持平</v>
      </c>
      <c r="BG69" s="21" t="str">
        <f>[2]底表!CT69</f>
        <v/>
      </c>
      <c r="BH69" s="21" t="str">
        <f>[2]底表!CU69</f>
        <v/>
      </c>
      <c r="BI69" s="21" t="str">
        <f>[2]底表!CV69</f>
        <v/>
      </c>
      <c r="BJ69" s="21" t="str">
        <f>[2]底表!CW69</f>
        <v/>
      </c>
      <c r="BK69" s="21" t="str">
        <f>[2]底表!CX69</f>
        <v/>
      </c>
      <c r="BL69" s="21">
        <f>[2]底表!CY69</f>
        <v>0</v>
      </c>
      <c r="BM69" s="21">
        <f>[2]底表!CZ69</f>
        <v>0</v>
      </c>
      <c r="BN69" s="23" t="str">
        <f>[2]底表!DA69</f>
        <v>持平</v>
      </c>
      <c r="BO69" s="21">
        <f>[2]底表!DB69</f>
        <v>0</v>
      </c>
      <c r="BP69" s="21" t="str">
        <f>[2]底表!DC69</f>
        <v>持平</v>
      </c>
      <c r="BQ69" s="21" t="str">
        <f>[2]底表!DD69</f>
        <v/>
      </c>
      <c r="BR69" s="21" t="str">
        <f>[2]底表!DE69</f>
        <v/>
      </c>
      <c r="BS69" s="21" t="str">
        <f>[2]底表!DF69</f>
        <v/>
      </c>
      <c r="BT69" s="21" t="str">
        <f>[2]底表!DG69</f>
        <v/>
      </c>
      <c r="BU69" s="21" t="str">
        <f>[2]底表!DH69</f>
        <v/>
      </c>
      <c r="BV69" s="21">
        <f>[2]底表!DI69</f>
        <v>0</v>
      </c>
      <c r="BW69" s="21">
        <f>[2]底表!DJ69</f>
        <v>0</v>
      </c>
      <c r="BX69" s="23" t="str">
        <f>[2]底表!DK69</f>
        <v>持平</v>
      </c>
      <c r="BY69" s="21">
        <f>[2]底表!DL69</f>
        <v>0</v>
      </c>
      <c r="BZ69" s="21" t="str">
        <f>[2]底表!DM69</f>
        <v>持平</v>
      </c>
      <c r="CA69" s="21">
        <f>[2]底表!DN69</f>
        <v>0</v>
      </c>
      <c r="CB69" s="21">
        <f>[2]底表!DO69</f>
        <v>0</v>
      </c>
      <c r="CC69" s="21" t="str">
        <f>[2]底表!DP69</f>
        <v>持平</v>
      </c>
      <c r="CD69" s="21">
        <f>[2]底表!DQ69</f>
        <v>0</v>
      </c>
      <c r="CE69" s="21" t="str">
        <f>[2]底表!DR69</f>
        <v>持平</v>
      </c>
      <c r="CF69" s="21">
        <f>[2]底表!DS69</f>
        <v>0</v>
      </c>
      <c r="CG69" s="21">
        <f>[2]底表!DT69</f>
        <v>0</v>
      </c>
      <c r="CH69" s="21" t="str">
        <f>[2]底表!DU69</f>
        <v>持平</v>
      </c>
      <c r="CI69" s="21">
        <f>[2]底表!DV69</f>
        <v>0</v>
      </c>
      <c r="CJ69" s="21" t="str">
        <f>[2]底表!DW69</f>
        <v>持平</v>
      </c>
      <c r="CK69" s="21">
        <f>[2]底表!DX69</f>
        <v>0</v>
      </c>
      <c r="CL69" s="21">
        <f>[2]底表!DY69</f>
        <v>0</v>
      </c>
      <c r="CM69" s="21" t="str">
        <f>[2]底表!DZ69</f>
        <v>持平</v>
      </c>
      <c r="CN69" s="21">
        <f>[2]底表!EA69</f>
        <v>0</v>
      </c>
      <c r="CO69" s="21" t="str">
        <f>[2]底表!EB69</f>
        <v>持平</v>
      </c>
      <c r="CP69" s="21">
        <f>[2]底表!EC69</f>
        <v>0</v>
      </c>
      <c r="CQ69" s="21">
        <f>[2]底表!ED69</f>
        <v>0</v>
      </c>
      <c r="CR69" s="21" t="str">
        <f>[2]底表!EE69</f>
        <v>持平</v>
      </c>
      <c r="CS69" s="21">
        <f>[2]底表!EF69</f>
        <v>0</v>
      </c>
      <c r="CT69" s="21" t="str">
        <f>[2]底表!EG69</f>
        <v>持平</v>
      </c>
      <c r="CU69" s="21" t="str">
        <f>[2]底表!EH69</f>
        <v/>
      </c>
      <c r="CV69" s="21" t="str">
        <f>[2]底表!EI69</f>
        <v/>
      </c>
      <c r="CW69" s="21" t="str">
        <f>[2]底表!EJ69</f>
        <v/>
      </c>
      <c r="CX69" s="21" t="str">
        <f>[2]底表!EK69</f>
        <v/>
      </c>
      <c r="CY69" s="21" t="str">
        <f>[2]底表!EL69</f>
        <v/>
      </c>
      <c r="CZ69" s="21">
        <f>[2]底表!EM69</f>
        <v>0</v>
      </c>
      <c r="DA69" s="21">
        <f>[2]底表!EN69</f>
        <v>0</v>
      </c>
      <c r="DB69" s="21" t="str">
        <f>[2]底表!EO69</f>
        <v>持平</v>
      </c>
      <c r="DC69" s="21">
        <f>[2]底表!EP69</f>
        <v>0</v>
      </c>
      <c r="DD69" s="21" t="str">
        <f>[2]底表!EQ69</f>
        <v>持平</v>
      </c>
      <c r="DE69" s="21">
        <f>[2]底表!ER69</f>
        <v>0</v>
      </c>
      <c r="DF69" s="21">
        <f>[2]底表!ES69</f>
        <v>0</v>
      </c>
      <c r="DG69" s="23" t="str">
        <f>[2]底表!ET69</f>
        <v>持平</v>
      </c>
      <c r="DH69" s="21">
        <f>[2]底表!EU69</f>
        <v>0</v>
      </c>
      <c r="DI69" s="21" t="str">
        <f>[2]底表!EV69</f>
        <v>持平</v>
      </c>
      <c r="DJ69" s="21" t="str">
        <f>[2]底表!EW69</f>
        <v/>
      </c>
      <c r="DK69" s="21" t="str">
        <f>[2]底表!EX69</f>
        <v/>
      </c>
      <c r="DL69" s="21" t="str">
        <f>[2]底表!EY69</f>
        <v/>
      </c>
      <c r="DM69" s="21" t="str">
        <f>[2]底表!EZ69</f>
        <v/>
      </c>
      <c r="DN69" s="21" t="str">
        <f>[2]底表!FA69</f>
        <v/>
      </c>
      <c r="DO69" s="21">
        <f>[2]底表!BQ69</f>
        <v>0</v>
      </c>
      <c r="DP69" s="21">
        <f>[2]底表!BR69</f>
        <v>0</v>
      </c>
      <c r="DQ69" s="24" t="str">
        <f>[2]底表!BS69</f>
        <v>持平</v>
      </c>
    </row>
    <row r="70" s="2" customFormat="1" ht="32" hidden="1" customHeight="1" spans="1:121">
      <c r="A70" s="27" t="str">
        <f>[2]底表!A70</f>
        <v>涉黑</v>
      </c>
      <c r="B70" s="28" t="str">
        <f>[2]底表!B70</f>
        <v>云安区</v>
      </c>
      <c r="C70" s="21">
        <f>[2]底表!AM70</f>
        <v>0</v>
      </c>
      <c r="D70" s="21">
        <f>[2]底表!AN70</f>
        <v>0</v>
      </c>
      <c r="E70" s="23" t="str">
        <f>[2]底表!AO70</f>
        <v>持平</v>
      </c>
      <c r="F70" s="21">
        <f>[2]底表!AP70</f>
        <v>0</v>
      </c>
      <c r="G70" s="21" t="str">
        <f>[2]底表!AQ70</f>
        <v>持平</v>
      </c>
      <c r="H70" s="21" t="str">
        <f>[2]底表!AR70</f>
        <v/>
      </c>
      <c r="I70" s="21" t="str">
        <f>[2]底表!AS70</f>
        <v/>
      </c>
      <c r="J70" s="21">
        <f>[2]底表!AT70</f>
        <v>0</v>
      </c>
      <c r="K70" s="21">
        <f>[2]底表!AU70</f>
        <v>0</v>
      </c>
      <c r="L70" s="21" t="str">
        <f>[2]底表!AV70</f>
        <v>持平</v>
      </c>
      <c r="M70" s="21">
        <f>[2]底表!AW70</f>
        <v>0</v>
      </c>
      <c r="N70" s="21" t="str">
        <f>[2]底表!AX70</f>
        <v>持平</v>
      </c>
      <c r="O70" s="21">
        <f>[2]底表!AY70</f>
        <v>0</v>
      </c>
      <c r="P70" s="21">
        <f>[2]底表!AZ70</f>
        <v>0</v>
      </c>
      <c r="Q70" s="21" t="str">
        <f>[2]底表!BA70</f>
        <v>持平</v>
      </c>
      <c r="R70" s="21">
        <f>[2]底表!BB70</f>
        <v>0</v>
      </c>
      <c r="S70" s="21" t="str">
        <f>[2]底表!BC70</f>
        <v>持平</v>
      </c>
      <c r="T70" s="21" t="str">
        <f>[2]底表!BD70</f>
        <v/>
      </c>
      <c r="U70" s="21" t="str">
        <f>[2]底表!BE70</f>
        <v/>
      </c>
      <c r="V70" s="21">
        <f>[2]底表!BF70</f>
        <v>0</v>
      </c>
      <c r="W70" s="21">
        <f>[2]底表!BG70</f>
        <v>0</v>
      </c>
      <c r="X70" s="21" t="str">
        <f>[2]底表!BH70</f>
        <v>持平</v>
      </c>
      <c r="Y70" s="21">
        <f>[2]底表!BI70</f>
        <v>0</v>
      </c>
      <c r="Z70" s="21" t="str">
        <f>[2]底表!BJ70</f>
        <v>持平</v>
      </c>
      <c r="AA70" s="21" t="str">
        <f>[2]底表!BK70</f>
        <v/>
      </c>
      <c r="AB70" s="21">
        <f>[2]底表!BL70</f>
        <v>0</v>
      </c>
      <c r="AC70" s="21">
        <f>[2]底表!BM70</f>
        <v>0</v>
      </c>
      <c r="AD70" s="21" t="str">
        <f>[2]底表!BN70</f>
        <v>持平</v>
      </c>
      <c r="AE70" s="21">
        <f>[2]底表!BO70</f>
        <v>0</v>
      </c>
      <c r="AF70" s="21" t="str">
        <f>[2]底表!BP70</f>
        <v>持平</v>
      </c>
      <c r="AG70" s="21">
        <f>[2]底表!BT70</f>
        <v>0</v>
      </c>
      <c r="AH70" s="21" t="str">
        <f>[2]底表!BU70</f>
        <v>持平</v>
      </c>
      <c r="AI70" s="21" t="str">
        <f>[2]底表!BV70</f>
        <v/>
      </c>
      <c r="AJ70" s="21" t="str">
        <f>[2]底表!BW70</f>
        <v/>
      </c>
      <c r="AK70" s="21" t="str">
        <f>[2]底表!BX70</f>
        <v/>
      </c>
      <c r="AL70" s="21" t="str">
        <f>[2]底表!BY70</f>
        <v/>
      </c>
      <c r="AM70" s="21">
        <f>[2]底表!BZ70</f>
        <v>0</v>
      </c>
      <c r="AN70" s="21">
        <f>[2]底表!CA70</f>
        <v>0</v>
      </c>
      <c r="AO70" s="21" t="str">
        <f>[2]底表!CB70</f>
        <v>持平</v>
      </c>
      <c r="AP70" s="21">
        <f>[2]底表!CC70</f>
        <v>0</v>
      </c>
      <c r="AQ70" s="21" t="str">
        <f>[2]底表!CD70</f>
        <v>持平</v>
      </c>
      <c r="AR70" s="21" t="str">
        <f>[2]底表!CE70</f>
        <v/>
      </c>
      <c r="AS70" s="21" t="str">
        <f>[2]底表!CF70</f>
        <v/>
      </c>
      <c r="AT70" s="21">
        <f>[2]底表!CG70</f>
        <v>0</v>
      </c>
      <c r="AU70" s="21">
        <f>[2]底表!CH70</f>
        <v>0</v>
      </c>
      <c r="AV70" s="21" t="str">
        <f>[2]底表!CI70</f>
        <v>持平</v>
      </c>
      <c r="AW70" s="21">
        <f>[2]底表!CJ70</f>
        <v>0</v>
      </c>
      <c r="AX70" s="21" t="str">
        <f>[2]底表!CK70</f>
        <v>持平</v>
      </c>
      <c r="AY70" s="21" t="str">
        <f>[2]底表!CL70</f>
        <v/>
      </c>
      <c r="AZ70" s="21" t="str">
        <f>[2]底表!CM70</f>
        <v/>
      </c>
      <c r="BA70" s="21" t="str">
        <f>[2]底表!CN70</f>
        <v/>
      </c>
      <c r="BB70" s="21">
        <f>[2]底表!CO70</f>
        <v>0</v>
      </c>
      <c r="BC70" s="21">
        <f>[2]底表!CP70</f>
        <v>0</v>
      </c>
      <c r="BD70" s="21" t="str">
        <f>[2]底表!CQ70</f>
        <v>持平</v>
      </c>
      <c r="BE70" s="21">
        <f>[2]底表!CR70</f>
        <v>0</v>
      </c>
      <c r="BF70" s="21" t="str">
        <f>[2]底表!CS70</f>
        <v>持平</v>
      </c>
      <c r="BG70" s="21" t="str">
        <f>[2]底表!CT70</f>
        <v/>
      </c>
      <c r="BH70" s="21" t="str">
        <f>[2]底表!CU70</f>
        <v/>
      </c>
      <c r="BI70" s="21" t="str">
        <f>[2]底表!CV70</f>
        <v/>
      </c>
      <c r="BJ70" s="21" t="str">
        <f>[2]底表!CW70</f>
        <v/>
      </c>
      <c r="BK70" s="21" t="str">
        <f>[2]底表!CX70</f>
        <v/>
      </c>
      <c r="BL70" s="21">
        <f>[2]底表!CY70</f>
        <v>0</v>
      </c>
      <c r="BM70" s="21">
        <f>[2]底表!CZ70</f>
        <v>0</v>
      </c>
      <c r="BN70" s="23" t="str">
        <f>[2]底表!DA70</f>
        <v>持平</v>
      </c>
      <c r="BO70" s="21">
        <f>[2]底表!DB70</f>
        <v>0</v>
      </c>
      <c r="BP70" s="21" t="str">
        <f>[2]底表!DC70</f>
        <v>持平</v>
      </c>
      <c r="BQ70" s="21" t="str">
        <f>[2]底表!DD70</f>
        <v/>
      </c>
      <c r="BR70" s="21" t="str">
        <f>[2]底表!DE70</f>
        <v/>
      </c>
      <c r="BS70" s="21" t="str">
        <f>[2]底表!DF70</f>
        <v/>
      </c>
      <c r="BT70" s="21" t="str">
        <f>[2]底表!DG70</f>
        <v/>
      </c>
      <c r="BU70" s="21" t="str">
        <f>[2]底表!DH70</f>
        <v/>
      </c>
      <c r="BV70" s="21">
        <f>[2]底表!DI70</f>
        <v>0</v>
      </c>
      <c r="BW70" s="21">
        <f>[2]底表!DJ70</f>
        <v>0</v>
      </c>
      <c r="BX70" s="23" t="str">
        <f>[2]底表!DK70</f>
        <v>持平</v>
      </c>
      <c r="BY70" s="21">
        <f>[2]底表!DL70</f>
        <v>0</v>
      </c>
      <c r="BZ70" s="21" t="str">
        <f>[2]底表!DM70</f>
        <v>持平</v>
      </c>
      <c r="CA70" s="21">
        <f>[2]底表!DN70</f>
        <v>0</v>
      </c>
      <c r="CB70" s="21">
        <f>[2]底表!DO70</f>
        <v>0</v>
      </c>
      <c r="CC70" s="21" t="str">
        <f>[2]底表!DP70</f>
        <v>持平</v>
      </c>
      <c r="CD70" s="21">
        <f>[2]底表!DQ70</f>
        <v>0</v>
      </c>
      <c r="CE70" s="21" t="str">
        <f>[2]底表!DR70</f>
        <v>持平</v>
      </c>
      <c r="CF70" s="21">
        <f>[2]底表!DS70</f>
        <v>0</v>
      </c>
      <c r="CG70" s="21">
        <f>[2]底表!DT70</f>
        <v>0</v>
      </c>
      <c r="CH70" s="21" t="str">
        <f>[2]底表!DU70</f>
        <v>持平</v>
      </c>
      <c r="CI70" s="21">
        <f>[2]底表!DV70</f>
        <v>0</v>
      </c>
      <c r="CJ70" s="21" t="str">
        <f>[2]底表!DW70</f>
        <v>持平</v>
      </c>
      <c r="CK70" s="21">
        <f>[2]底表!DX70</f>
        <v>0</v>
      </c>
      <c r="CL70" s="21">
        <f>[2]底表!DY70</f>
        <v>0</v>
      </c>
      <c r="CM70" s="21" t="str">
        <f>[2]底表!DZ70</f>
        <v>持平</v>
      </c>
      <c r="CN70" s="21">
        <f>[2]底表!EA70</f>
        <v>0</v>
      </c>
      <c r="CO70" s="21" t="str">
        <f>[2]底表!EB70</f>
        <v>持平</v>
      </c>
      <c r="CP70" s="21">
        <f>[2]底表!EC70</f>
        <v>0</v>
      </c>
      <c r="CQ70" s="21">
        <f>[2]底表!ED70</f>
        <v>0</v>
      </c>
      <c r="CR70" s="21" t="str">
        <f>[2]底表!EE70</f>
        <v>持平</v>
      </c>
      <c r="CS70" s="21">
        <f>[2]底表!EF70</f>
        <v>0</v>
      </c>
      <c r="CT70" s="21" t="str">
        <f>[2]底表!EG70</f>
        <v>持平</v>
      </c>
      <c r="CU70" s="21" t="str">
        <f>[2]底表!EH70</f>
        <v/>
      </c>
      <c r="CV70" s="21" t="str">
        <f>[2]底表!EI70</f>
        <v/>
      </c>
      <c r="CW70" s="21" t="str">
        <f>[2]底表!EJ70</f>
        <v/>
      </c>
      <c r="CX70" s="21" t="str">
        <f>[2]底表!EK70</f>
        <v/>
      </c>
      <c r="CY70" s="21" t="str">
        <f>[2]底表!EL70</f>
        <v/>
      </c>
      <c r="CZ70" s="21">
        <f>[2]底表!EM70</f>
        <v>0</v>
      </c>
      <c r="DA70" s="21">
        <f>[2]底表!EN70</f>
        <v>0</v>
      </c>
      <c r="DB70" s="21" t="str">
        <f>[2]底表!EO70</f>
        <v>持平</v>
      </c>
      <c r="DC70" s="21">
        <f>[2]底表!EP70</f>
        <v>0</v>
      </c>
      <c r="DD70" s="21" t="str">
        <f>[2]底表!EQ70</f>
        <v>持平</v>
      </c>
      <c r="DE70" s="21">
        <f>[2]底表!ER70</f>
        <v>0</v>
      </c>
      <c r="DF70" s="21">
        <f>[2]底表!ES70</f>
        <v>0</v>
      </c>
      <c r="DG70" s="23" t="str">
        <f>[2]底表!ET70</f>
        <v>持平</v>
      </c>
      <c r="DH70" s="21">
        <f>[2]底表!EU70</f>
        <v>0</v>
      </c>
      <c r="DI70" s="21" t="str">
        <f>[2]底表!EV70</f>
        <v>持平</v>
      </c>
      <c r="DJ70" s="21" t="str">
        <f>[2]底表!EW70</f>
        <v/>
      </c>
      <c r="DK70" s="21" t="str">
        <f>[2]底表!EX70</f>
        <v/>
      </c>
      <c r="DL70" s="21" t="str">
        <f>[2]底表!EY70</f>
        <v/>
      </c>
      <c r="DM70" s="21" t="str">
        <f>[2]底表!EZ70</f>
        <v/>
      </c>
      <c r="DN70" s="21" t="str">
        <f>[2]底表!FA70</f>
        <v/>
      </c>
      <c r="DO70" s="21">
        <f>[2]底表!BQ70</f>
        <v>0</v>
      </c>
      <c r="DP70" s="21">
        <f>[2]底表!BR70</f>
        <v>0</v>
      </c>
      <c r="DQ70" s="24" t="str">
        <f>[2]底表!BS70</f>
        <v>持平</v>
      </c>
    </row>
    <row r="71" s="2" customFormat="1" ht="32" hidden="1" customHeight="1" spans="1:121">
      <c r="A71" s="27" t="str">
        <f>[2]底表!A71</f>
        <v>涉黑</v>
      </c>
      <c r="B71" s="28" t="str">
        <f>[2]底表!B71</f>
        <v>新兴县</v>
      </c>
      <c r="C71" s="21">
        <f>[2]底表!AM71</f>
        <v>0</v>
      </c>
      <c r="D71" s="21">
        <f>[2]底表!AN71</f>
        <v>0</v>
      </c>
      <c r="E71" s="23" t="str">
        <f>[2]底表!AO71</f>
        <v>持平</v>
      </c>
      <c r="F71" s="21">
        <f>[2]底表!AP71</f>
        <v>0</v>
      </c>
      <c r="G71" s="21" t="str">
        <f>[2]底表!AQ71</f>
        <v>持平</v>
      </c>
      <c r="H71" s="21" t="str">
        <f>[2]底表!AR71</f>
        <v/>
      </c>
      <c r="I71" s="21" t="str">
        <f>[2]底表!AS71</f>
        <v/>
      </c>
      <c r="J71" s="21">
        <f>[2]底表!AT71</f>
        <v>0</v>
      </c>
      <c r="K71" s="21">
        <f>[2]底表!AU71</f>
        <v>0</v>
      </c>
      <c r="L71" s="21" t="str">
        <f>[2]底表!AV71</f>
        <v>持平</v>
      </c>
      <c r="M71" s="21">
        <f>[2]底表!AW71</f>
        <v>0</v>
      </c>
      <c r="N71" s="21" t="str">
        <f>[2]底表!AX71</f>
        <v>持平</v>
      </c>
      <c r="O71" s="21">
        <f>[2]底表!AY71</f>
        <v>0</v>
      </c>
      <c r="P71" s="21">
        <f>[2]底表!AZ71</f>
        <v>0</v>
      </c>
      <c r="Q71" s="21" t="str">
        <f>[2]底表!BA71</f>
        <v>持平</v>
      </c>
      <c r="R71" s="21">
        <f>[2]底表!BB71</f>
        <v>0</v>
      </c>
      <c r="S71" s="21" t="str">
        <f>[2]底表!BC71</f>
        <v>持平</v>
      </c>
      <c r="T71" s="21" t="str">
        <f>[2]底表!BD71</f>
        <v/>
      </c>
      <c r="U71" s="21" t="str">
        <f>[2]底表!BE71</f>
        <v/>
      </c>
      <c r="V71" s="21">
        <f>[2]底表!BF71</f>
        <v>0</v>
      </c>
      <c r="W71" s="21">
        <f>[2]底表!BG71</f>
        <v>0</v>
      </c>
      <c r="X71" s="21" t="str">
        <f>[2]底表!BH71</f>
        <v>持平</v>
      </c>
      <c r="Y71" s="21">
        <f>[2]底表!BI71</f>
        <v>0</v>
      </c>
      <c r="Z71" s="21" t="str">
        <f>[2]底表!BJ71</f>
        <v>持平</v>
      </c>
      <c r="AA71" s="21" t="str">
        <f>[2]底表!BK71</f>
        <v/>
      </c>
      <c r="AB71" s="21">
        <f>[2]底表!BL71</f>
        <v>0</v>
      </c>
      <c r="AC71" s="21">
        <f>[2]底表!BM71</f>
        <v>0</v>
      </c>
      <c r="AD71" s="21" t="str">
        <f>[2]底表!BN71</f>
        <v>持平</v>
      </c>
      <c r="AE71" s="21">
        <f>[2]底表!BO71</f>
        <v>0</v>
      </c>
      <c r="AF71" s="21" t="str">
        <f>[2]底表!BP71</f>
        <v>持平</v>
      </c>
      <c r="AG71" s="21">
        <f>[2]底表!BT71</f>
        <v>0</v>
      </c>
      <c r="AH71" s="21" t="str">
        <f>[2]底表!BU71</f>
        <v>持平</v>
      </c>
      <c r="AI71" s="21" t="str">
        <f>[2]底表!BV71</f>
        <v/>
      </c>
      <c r="AJ71" s="21" t="str">
        <f>[2]底表!BW71</f>
        <v/>
      </c>
      <c r="AK71" s="21" t="str">
        <f>[2]底表!BX71</f>
        <v/>
      </c>
      <c r="AL71" s="21" t="str">
        <f>[2]底表!BY71</f>
        <v/>
      </c>
      <c r="AM71" s="21">
        <f>[2]底表!BZ71</f>
        <v>0</v>
      </c>
      <c r="AN71" s="21">
        <f>[2]底表!CA71</f>
        <v>0</v>
      </c>
      <c r="AO71" s="21" t="str">
        <f>[2]底表!CB71</f>
        <v>持平</v>
      </c>
      <c r="AP71" s="21">
        <f>[2]底表!CC71</f>
        <v>0</v>
      </c>
      <c r="AQ71" s="21" t="str">
        <f>[2]底表!CD71</f>
        <v>持平</v>
      </c>
      <c r="AR71" s="21" t="str">
        <f>[2]底表!CE71</f>
        <v/>
      </c>
      <c r="AS71" s="21" t="str">
        <f>[2]底表!CF71</f>
        <v/>
      </c>
      <c r="AT71" s="21">
        <f>[2]底表!CG71</f>
        <v>0</v>
      </c>
      <c r="AU71" s="21">
        <f>[2]底表!CH71</f>
        <v>0</v>
      </c>
      <c r="AV71" s="21" t="str">
        <f>[2]底表!CI71</f>
        <v>持平</v>
      </c>
      <c r="AW71" s="21">
        <f>[2]底表!CJ71</f>
        <v>0</v>
      </c>
      <c r="AX71" s="21" t="str">
        <f>[2]底表!CK71</f>
        <v>持平</v>
      </c>
      <c r="AY71" s="21" t="str">
        <f>[2]底表!CL71</f>
        <v/>
      </c>
      <c r="AZ71" s="21" t="str">
        <f>[2]底表!CM71</f>
        <v/>
      </c>
      <c r="BA71" s="21" t="str">
        <f>[2]底表!CN71</f>
        <v/>
      </c>
      <c r="BB71" s="21">
        <f>[2]底表!CO71</f>
        <v>0</v>
      </c>
      <c r="BC71" s="21">
        <f>[2]底表!CP71</f>
        <v>0</v>
      </c>
      <c r="BD71" s="21" t="str">
        <f>[2]底表!CQ71</f>
        <v>持平</v>
      </c>
      <c r="BE71" s="21">
        <f>[2]底表!CR71</f>
        <v>0</v>
      </c>
      <c r="BF71" s="21" t="str">
        <f>[2]底表!CS71</f>
        <v>持平</v>
      </c>
      <c r="BG71" s="21" t="str">
        <f>[2]底表!CT71</f>
        <v/>
      </c>
      <c r="BH71" s="21" t="str">
        <f>[2]底表!CU71</f>
        <v/>
      </c>
      <c r="BI71" s="21" t="str">
        <f>[2]底表!CV71</f>
        <v/>
      </c>
      <c r="BJ71" s="21" t="str">
        <f>[2]底表!CW71</f>
        <v/>
      </c>
      <c r="BK71" s="21" t="str">
        <f>[2]底表!CX71</f>
        <v/>
      </c>
      <c r="BL71" s="21">
        <f>[2]底表!CY71</f>
        <v>0</v>
      </c>
      <c r="BM71" s="21">
        <f>[2]底表!CZ71</f>
        <v>0</v>
      </c>
      <c r="BN71" s="23" t="str">
        <f>[2]底表!DA71</f>
        <v>持平</v>
      </c>
      <c r="BO71" s="21">
        <f>[2]底表!DB71</f>
        <v>0</v>
      </c>
      <c r="BP71" s="21" t="str">
        <f>[2]底表!DC71</f>
        <v>持平</v>
      </c>
      <c r="BQ71" s="21" t="str">
        <f>[2]底表!DD71</f>
        <v/>
      </c>
      <c r="BR71" s="21" t="str">
        <f>[2]底表!DE71</f>
        <v/>
      </c>
      <c r="BS71" s="21" t="str">
        <f>[2]底表!DF71</f>
        <v/>
      </c>
      <c r="BT71" s="21" t="str">
        <f>[2]底表!DG71</f>
        <v/>
      </c>
      <c r="BU71" s="21" t="str">
        <f>[2]底表!DH71</f>
        <v/>
      </c>
      <c r="BV71" s="21">
        <f>[2]底表!DI71</f>
        <v>0</v>
      </c>
      <c r="BW71" s="21">
        <f>[2]底表!DJ71</f>
        <v>0</v>
      </c>
      <c r="BX71" s="23" t="str">
        <f>[2]底表!DK71</f>
        <v>持平</v>
      </c>
      <c r="BY71" s="21">
        <f>[2]底表!DL71</f>
        <v>0</v>
      </c>
      <c r="BZ71" s="21" t="str">
        <f>[2]底表!DM71</f>
        <v>持平</v>
      </c>
      <c r="CA71" s="21">
        <f>[2]底表!DN71</f>
        <v>0</v>
      </c>
      <c r="CB71" s="21">
        <f>[2]底表!DO71</f>
        <v>0</v>
      </c>
      <c r="CC71" s="21" t="str">
        <f>[2]底表!DP71</f>
        <v>持平</v>
      </c>
      <c r="CD71" s="21">
        <f>[2]底表!DQ71</f>
        <v>0</v>
      </c>
      <c r="CE71" s="21" t="str">
        <f>[2]底表!DR71</f>
        <v>持平</v>
      </c>
      <c r="CF71" s="21">
        <f>[2]底表!DS71</f>
        <v>0</v>
      </c>
      <c r="CG71" s="21">
        <f>[2]底表!DT71</f>
        <v>0</v>
      </c>
      <c r="CH71" s="21" t="str">
        <f>[2]底表!DU71</f>
        <v>持平</v>
      </c>
      <c r="CI71" s="21">
        <f>[2]底表!DV71</f>
        <v>0</v>
      </c>
      <c r="CJ71" s="21" t="str">
        <f>[2]底表!DW71</f>
        <v>持平</v>
      </c>
      <c r="CK71" s="21">
        <f>[2]底表!DX71</f>
        <v>0</v>
      </c>
      <c r="CL71" s="21">
        <f>[2]底表!DY71</f>
        <v>0</v>
      </c>
      <c r="CM71" s="21" t="str">
        <f>[2]底表!DZ71</f>
        <v>持平</v>
      </c>
      <c r="CN71" s="21">
        <f>[2]底表!EA71</f>
        <v>0</v>
      </c>
      <c r="CO71" s="21" t="str">
        <f>[2]底表!EB71</f>
        <v>持平</v>
      </c>
      <c r="CP71" s="21">
        <f>[2]底表!EC71</f>
        <v>0</v>
      </c>
      <c r="CQ71" s="21">
        <f>[2]底表!ED71</f>
        <v>0</v>
      </c>
      <c r="CR71" s="21" t="str">
        <f>[2]底表!EE71</f>
        <v>持平</v>
      </c>
      <c r="CS71" s="21">
        <f>[2]底表!EF71</f>
        <v>0</v>
      </c>
      <c r="CT71" s="21" t="str">
        <f>[2]底表!EG71</f>
        <v>持平</v>
      </c>
      <c r="CU71" s="21" t="str">
        <f>[2]底表!EH71</f>
        <v/>
      </c>
      <c r="CV71" s="21" t="str">
        <f>[2]底表!EI71</f>
        <v/>
      </c>
      <c r="CW71" s="21" t="str">
        <f>[2]底表!EJ71</f>
        <v/>
      </c>
      <c r="CX71" s="21" t="str">
        <f>[2]底表!EK71</f>
        <v/>
      </c>
      <c r="CY71" s="21" t="str">
        <f>[2]底表!EL71</f>
        <v/>
      </c>
      <c r="CZ71" s="21">
        <f>[2]底表!EM71</f>
        <v>0</v>
      </c>
      <c r="DA71" s="21">
        <f>[2]底表!EN71</f>
        <v>0</v>
      </c>
      <c r="DB71" s="21" t="str">
        <f>[2]底表!EO71</f>
        <v>持平</v>
      </c>
      <c r="DC71" s="21">
        <f>[2]底表!EP71</f>
        <v>0</v>
      </c>
      <c r="DD71" s="21" t="str">
        <f>[2]底表!EQ71</f>
        <v>持平</v>
      </c>
      <c r="DE71" s="21">
        <f>[2]底表!ER71</f>
        <v>0</v>
      </c>
      <c r="DF71" s="21">
        <f>[2]底表!ES71</f>
        <v>0</v>
      </c>
      <c r="DG71" s="23" t="str">
        <f>[2]底表!ET71</f>
        <v>持平</v>
      </c>
      <c r="DH71" s="21">
        <f>[2]底表!EU71</f>
        <v>0</v>
      </c>
      <c r="DI71" s="21" t="str">
        <f>[2]底表!EV71</f>
        <v>持平</v>
      </c>
      <c r="DJ71" s="21" t="str">
        <f>[2]底表!EW71</f>
        <v/>
      </c>
      <c r="DK71" s="21" t="str">
        <f>[2]底表!EX71</f>
        <v/>
      </c>
      <c r="DL71" s="21" t="str">
        <f>[2]底表!EY71</f>
        <v/>
      </c>
      <c r="DM71" s="21" t="str">
        <f>[2]底表!EZ71</f>
        <v/>
      </c>
      <c r="DN71" s="21" t="str">
        <f>[2]底表!FA71</f>
        <v/>
      </c>
      <c r="DO71" s="21">
        <f>[2]底表!BQ71</f>
        <v>0</v>
      </c>
      <c r="DP71" s="21">
        <f>[2]底表!BR71</f>
        <v>0</v>
      </c>
      <c r="DQ71" s="24" t="str">
        <f>[2]底表!BS71</f>
        <v>持平</v>
      </c>
    </row>
    <row r="72" s="2" customFormat="1" ht="32" hidden="1" customHeight="1" spans="1:121">
      <c r="A72" s="27" t="str">
        <f>[2]底表!A72</f>
        <v>涉黑</v>
      </c>
      <c r="B72" s="28" t="str">
        <f>[2]底表!B72</f>
        <v>郁南县</v>
      </c>
      <c r="C72" s="21">
        <f>[2]底表!AM72</f>
        <v>0</v>
      </c>
      <c r="D72" s="21">
        <f>[2]底表!AN72</f>
        <v>0</v>
      </c>
      <c r="E72" s="23" t="str">
        <f>[2]底表!AO72</f>
        <v>持平</v>
      </c>
      <c r="F72" s="21">
        <f>[2]底表!AP72</f>
        <v>0</v>
      </c>
      <c r="G72" s="21" t="str">
        <f>[2]底表!AQ72</f>
        <v>持平</v>
      </c>
      <c r="H72" s="21" t="str">
        <f>[2]底表!AR72</f>
        <v/>
      </c>
      <c r="I72" s="21" t="str">
        <f>[2]底表!AS72</f>
        <v/>
      </c>
      <c r="J72" s="21">
        <f>[2]底表!AT72</f>
        <v>0</v>
      </c>
      <c r="K72" s="21">
        <f>[2]底表!AU72</f>
        <v>0</v>
      </c>
      <c r="L72" s="21" t="str">
        <f>[2]底表!AV72</f>
        <v>持平</v>
      </c>
      <c r="M72" s="21">
        <f>[2]底表!AW72</f>
        <v>0</v>
      </c>
      <c r="N72" s="21" t="str">
        <f>[2]底表!AX72</f>
        <v>持平</v>
      </c>
      <c r="O72" s="21">
        <f>[2]底表!AY72</f>
        <v>0</v>
      </c>
      <c r="P72" s="21">
        <f>[2]底表!AZ72</f>
        <v>0</v>
      </c>
      <c r="Q72" s="21" t="str">
        <f>[2]底表!BA72</f>
        <v>持平</v>
      </c>
      <c r="R72" s="21">
        <f>[2]底表!BB72</f>
        <v>0</v>
      </c>
      <c r="S72" s="21" t="str">
        <f>[2]底表!BC72</f>
        <v>持平</v>
      </c>
      <c r="T72" s="21" t="str">
        <f>[2]底表!BD72</f>
        <v/>
      </c>
      <c r="U72" s="21" t="str">
        <f>[2]底表!BE72</f>
        <v/>
      </c>
      <c r="V72" s="21">
        <f>[2]底表!BF72</f>
        <v>0</v>
      </c>
      <c r="W72" s="21">
        <f>[2]底表!BG72</f>
        <v>0</v>
      </c>
      <c r="X72" s="21" t="str">
        <f>[2]底表!BH72</f>
        <v>持平</v>
      </c>
      <c r="Y72" s="21">
        <f>[2]底表!BI72</f>
        <v>0</v>
      </c>
      <c r="Z72" s="21" t="str">
        <f>[2]底表!BJ72</f>
        <v>持平</v>
      </c>
      <c r="AA72" s="21" t="str">
        <f>[2]底表!BK72</f>
        <v/>
      </c>
      <c r="AB72" s="21">
        <f>[2]底表!BL72</f>
        <v>0</v>
      </c>
      <c r="AC72" s="21">
        <f>[2]底表!BM72</f>
        <v>0</v>
      </c>
      <c r="AD72" s="21" t="str">
        <f>[2]底表!BN72</f>
        <v>持平</v>
      </c>
      <c r="AE72" s="21">
        <f>[2]底表!BO72</f>
        <v>0</v>
      </c>
      <c r="AF72" s="21" t="str">
        <f>[2]底表!BP72</f>
        <v>持平</v>
      </c>
      <c r="AG72" s="21">
        <f>[2]底表!BT72</f>
        <v>0</v>
      </c>
      <c r="AH72" s="21" t="str">
        <f>[2]底表!BU72</f>
        <v>持平</v>
      </c>
      <c r="AI72" s="21" t="str">
        <f>[2]底表!BV72</f>
        <v/>
      </c>
      <c r="AJ72" s="21" t="str">
        <f>[2]底表!BW72</f>
        <v/>
      </c>
      <c r="AK72" s="21" t="str">
        <f>[2]底表!BX72</f>
        <v/>
      </c>
      <c r="AL72" s="21" t="str">
        <f>[2]底表!BY72</f>
        <v/>
      </c>
      <c r="AM72" s="21">
        <f>[2]底表!BZ72</f>
        <v>0</v>
      </c>
      <c r="AN72" s="21">
        <f>[2]底表!CA72</f>
        <v>0</v>
      </c>
      <c r="AO72" s="21" t="str">
        <f>[2]底表!CB72</f>
        <v>持平</v>
      </c>
      <c r="AP72" s="21">
        <f>[2]底表!CC72</f>
        <v>0</v>
      </c>
      <c r="AQ72" s="21" t="str">
        <f>[2]底表!CD72</f>
        <v>持平</v>
      </c>
      <c r="AR72" s="21" t="str">
        <f>[2]底表!CE72</f>
        <v/>
      </c>
      <c r="AS72" s="21" t="str">
        <f>[2]底表!CF72</f>
        <v/>
      </c>
      <c r="AT72" s="21">
        <f>[2]底表!CG72</f>
        <v>0</v>
      </c>
      <c r="AU72" s="21">
        <f>[2]底表!CH72</f>
        <v>0</v>
      </c>
      <c r="AV72" s="21" t="str">
        <f>[2]底表!CI72</f>
        <v>持平</v>
      </c>
      <c r="AW72" s="21">
        <f>[2]底表!CJ72</f>
        <v>0</v>
      </c>
      <c r="AX72" s="21" t="str">
        <f>[2]底表!CK72</f>
        <v>持平</v>
      </c>
      <c r="AY72" s="21" t="str">
        <f>[2]底表!CL72</f>
        <v/>
      </c>
      <c r="AZ72" s="21" t="str">
        <f>[2]底表!CM72</f>
        <v/>
      </c>
      <c r="BA72" s="21" t="str">
        <f>[2]底表!CN72</f>
        <v/>
      </c>
      <c r="BB72" s="21">
        <f>[2]底表!CO72</f>
        <v>0</v>
      </c>
      <c r="BC72" s="21">
        <f>[2]底表!CP72</f>
        <v>0</v>
      </c>
      <c r="BD72" s="21" t="str">
        <f>[2]底表!CQ72</f>
        <v>持平</v>
      </c>
      <c r="BE72" s="21">
        <f>[2]底表!CR72</f>
        <v>0</v>
      </c>
      <c r="BF72" s="21" t="str">
        <f>[2]底表!CS72</f>
        <v>持平</v>
      </c>
      <c r="BG72" s="21" t="str">
        <f>[2]底表!CT72</f>
        <v/>
      </c>
      <c r="BH72" s="21" t="str">
        <f>[2]底表!CU72</f>
        <v/>
      </c>
      <c r="BI72" s="21" t="str">
        <f>[2]底表!CV72</f>
        <v/>
      </c>
      <c r="BJ72" s="21" t="str">
        <f>[2]底表!CW72</f>
        <v/>
      </c>
      <c r="BK72" s="21" t="str">
        <f>[2]底表!CX72</f>
        <v/>
      </c>
      <c r="BL72" s="21">
        <f>[2]底表!CY72</f>
        <v>0</v>
      </c>
      <c r="BM72" s="21">
        <f>[2]底表!CZ72</f>
        <v>0</v>
      </c>
      <c r="BN72" s="23" t="str">
        <f>[2]底表!DA72</f>
        <v>持平</v>
      </c>
      <c r="BO72" s="21">
        <f>[2]底表!DB72</f>
        <v>0</v>
      </c>
      <c r="BP72" s="21" t="str">
        <f>[2]底表!DC72</f>
        <v>持平</v>
      </c>
      <c r="BQ72" s="21" t="str">
        <f>[2]底表!DD72</f>
        <v/>
      </c>
      <c r="BR72" s="21" t="str">
        <f>[2]底表!DE72</f>
        <v/>
      </c>
      <c r="BS72" s="21" t="str">
        <f>[2]底表!DF72</f>
        <v/>
      </c>
      <c r="BT72" s="21" t="str">
        <f>[2]底表!DG72</f>
        <v/>
      </c>
      <c r="BU72" s="21" t="str">
        <f>[2]底表!DH72</f>
        <v/>
      </c>
      <c r="BV72" s="21">
        <f>[2]底表!DI72</f>
        <v>0</v>
      </c>
      <c r="BW72" s="21">
        <f>[2]底表!DJ72</f>
        <v>0</v>
      </c>
      <c r="BX72" s="23" t="str">
        <f>[2]底表!DK72</f>
        <v>持平</v>
      </c>
      <c r="BY72" s="21">
        <f>[2]底表!DL72</f>
        <v>0</v>
      </c>
      <c r="BZ72" s="21" t="str">
        <f>[2]底表!DM72</f>
        <v>持平</v>
      </c>
      <c r="CA72" s="21">
        <f>[2]底表!DN72</f>
        <v>0</v>
      </c>
      <c r="CB72" s="21">
        <f>[2]底表!DO72</f>
        <v>0</v>
      </c>
      <c r="CC72" s="21" t="str">
        <f>[2]底表!DP72</f>
        <v>持平</v>
      </c>
      <c r="CD72" s="21">
        <f>[2]底表!DQ72</f>
        <v>0</v>
      </c>
      <c r="CE72" s="21" t="str">
        <f>[2]底表!DR72</f>
        <v>持平</v>
      </c>
      <c r="CF72" s="21">
        <f>[2]底表!DS72</f>
        <v>0</v>
      </c>
      <c r="CG72" s="21">
        <f>[2]底表!DT72</f>
        <v>0</v>
      </c>
      <c r="CH72" s="21" t="str">
        <f>[2]底表!DU72</f>
        <v>持平</v>
      </c>
      <c r="CI72" s="21">
        <f>[2]底表!DV72</f>
        <v>0</v>
      </c>
      <c r="CJ72" s="21" t="str">
        <f>[2]底表!DW72</f>
        <v>持平</v>
      </c>
      <c r="CK72" s="21">
        <f>[2]底表!DX72</f>
        <v>0</v>
      </c>
      <c r="CL72" s="21">
        <f>[2]底表!DY72</f>
        <v>0</v>
      </c>
      <c r="CM72" s="21" t="str">
        <f>[2]底表!DZ72</f>
        <v>持平</v>
      </c>
      <c r="CN72" s="21">
        <f>[2]底表!EA72</f>
        <v>0</v>
      </c>
      <c r="CO72" s="21" t="str">
        <f>[2]底表!EB72</f>
        <v>持平</v>
      </c>
      <c r="CP72" s="21">
        <f>[2]底表!EC72</f>
        <v>0</v>
      </c>
      <c r="CQ72" s="21">
        <f>[2]底表!ED72</f>
        <v>0</v>
      </c>
      <c r="CR72" s="21" t="str">
        <f>[2]底表!EE72</f>
        <v>持平</v>
      </c>
      <c r="CS72" s="21">
        <f>[2]底表!EF72</f>
        <v>0</v>
      </c>
      <c r="CT72" s="21" t="str">
        <f>[2]底表!EG72</f>
        <v>持平</v>
      </c>
      <c r="CU72" s="21" t="str">
        <f>[2]底表!EH72</f>
        <v/>
      </c>
      <c r="CV72" s="21" t="str">
        <f>[2]底表!EI72</f>
        <v/>
      </c>
      <c r="CW72" s="21" t="str">
        <f>[2]底表!EJ72</f>
        <v/>
      </c>
      <c r="CX72" s="21" t="str">
        <f>[2]底表!EK72</f>
        <v/>
      </c>
      <c r="CY72" s="21" t="str">
        <f>[2]底表!EL72</f>
        <v/>
      </c>
      <c r="CZ72" s="21">
        <f>[2]底表!EM72</f>
        <v>0</v>
      </c>
      <c r="DA72" s="21">
        <f>[2]底表!EN72</f>
        <v>0</v>
      </c>
      <c r="DB72" s="21" t="str">
        <f>[2]底表!EO72</f>
        <v>持平</v>
      </c>
      <c r="DC72" s="21">
        <f>[2]底表!EP72</f>
        <v>0</v>
      </c>
      <c r="DD72" s="21" t="str">
        <f>[2]底表!EQ72</f>
        <v>持平</v>
      </c>
      <c r="DE72" s="21">
        <f>[2]底表!ER72</f>
        <v>0</v>
      </c>
      <c r="DF72" s="21">
        <f>[2]底表!ES72</f>
        <v>0</v>
      </c>
      <c r="DG72" s="23" t="str">
        <f>[2]底表!ET72</f>
        <v>持平</v>
      </c>
      <c r="DH72" s="21">
        <f>[2]底表!EU72</f>
        <v>0</v>
      </c>
      <c r="DI72" s="21" t="str">
        <f>[2]底表!EV72</f>
        <v>持平</v>
      </c>
      <c r="DJ72" s="21" t="str">
        <f>[2]底表!EW72</f>
        <v/>
      </c>
      <c r="DK72" s="21" t="str">
        <f>[2]底表!EX72</f>
        <v/>
      </c>
      <c r="DL72" s="21" t="str">
        <f>[2]底表!EY72</f>
        <v/>
      </c>
      <c r="DM72" s="21" t="str">
        <f>[2]底表!EZ72</f>
        <v/>
      </c>
      <c r="DN72" s="21" t="str">
        <f>[2]底表!FA72</f>
        <v/>
      </c>
      <c r="DO72" s="21">
        <f>[2]底表!BQ72</f>
        <v>0</v>
      </c>
      <c r="DP72" s="21">
        <f>[2]底表!BR72</f>
        <v>0</v>
      </c>
      <c r="DQ72" s="24" t="str">
        <f>[2]底表!BS72</f>
        <v>持平</v>
      </c>
    </row>
    <row r="73" s="2" customFormat="1" ht="32" hidden="1" customHeight="1" spans="1:121">
      <c r="A73" s="27" t="str">
        <f>[2]底表!A73</f>
        <v>涉黑</v>
      </c>
      <c r="B73" s="28" t="str">
        <f>[2]底表!B73</f>
        <v>罗定市</v>
      </c>
      <c r="C73" s="21">
        <f>[2]底表!AM73</f>
        <v>0</v>
      </c>
      <c r="D73" s="21">
        <f>[2]底表!AN73</f>
        <v>0</v>
      </c>
      <c r="E73" s="23" t="str">
        <f>[2]底表!AO73</f>
        <v>持平</v>
      </c>
      <c r="F73" s="21">
        <f>[2]底表!AP73</f>
        <v>0</v>
      </c>
      <c r="G73" s="21" t="str">
        <f>[2]底表!AQ73</f>
        <v>持平</v>
      </c>
      <c r="H73" s="21" t="str">
        <f>[2]底表!AR73</f>
        <v/>
      </c>
      <c r="I73" s="21" t="str">
        <f>[2]底表!AS73</f>
        <v/>
      </c>
      <c r="J73" s="21">
        <f>[2]底表!AT73</f>
        <v>0</v>
      </c>
      <c r="K73" s="21">
        <f>[2]底表!AU73</f>
        <v>0</v>
      </c>
      <c r="L73" s="21" t="str">
        <f>[2]底表!AV73</f>
        <v>持平</v>
      </c>
      <c r="M73" s="21">
        <f>[2]底表!AW73</f>
        <v>0</v>
      </c>
      <c r="N73" s="21" t="str">
        <f>[2]底表!AX73</f>
        <v>持平</v>
      </c>
      <c r="O73" s="21">
        <f>[2]底表!AY73</f>
        <v>0</v>
      </c>
      <c r="P73" s="21">
        <f>[2]底表!AZ73</f>
        <v>0</v>
      </c>
      <c r="Q73" s="21" t="str">
        <f>[2]底表!BA73</f>
        <v>持平</v>
      </c>
      <c r="R73" s="21">
        <f>[2]底表!BB73</f>
        <v>0</v>
      </c>
      <c r="S73" s="21" t="str">
        <f>[2]底表!BC73</f>
        <v>持平</v>
      </c>
      <c r="T73" s="21" t="str">
        <f>[2]底表!BD73</f>
        <v/>
      </c>
      <c r="U73" s="21" t="str">
        <f>[2]底表!BE73</f>
        <v/>
      </c>
      <c r="V73" s="21">
        <f>[2]底表!BF73</f>
        <v>0</v>
      </c>
      <c r="W73" s="21">
        <f>[2]底表!BG73</f>
        <v>0</v>
      </c>
      <c r="X73" s="21" t="str">
        <f>[2]底表!BH73</f>
        <v>持平</v>
      </c>
      <c r="Y73" s="21">
        <f>[2]底表!BI73</f>
        <v>0</v>
      </c>
      <c r="Z73" s="21" t="str">
        <f>[2]底表!BJ73</f>
        <v>持平</v>
      </c>
      <c r="AA73" s="21" t="str">
        <f>[2]底表!BK73</f>
        <v/>
      </c>
      <c r="AB73" s="21">
        <f>[2]底表!BL73</f>
        <v>0</v>
      </c>
      <c r="AC73" s="21">
        <f>[2]底表!BM73</f>
        <v>0</v>
      </c>
      <c r="AD73" s="21" t="str">
        <f>[2]底表!BN73</f>
        <v>持平</v>
      </c>
      <c r="AE73" s="21">
        <f>[2]底表!BO73</f>
        <v>0</v>
      </c>
      <c r="AF73" s="21" t="str">
        <f>[2]底表!BP73</f>
        <v>持平</v>
      </c>
      <c r="AG73" s="21">
        <f>[2]底表!BT73</f>
        <v>0</v>
      </c>
      <c r="AH73" s="21" t="str">
        <f>[2]底表!BU73</f>
        <v>持平</v>
      </c>
      <c r="AI73" s="21" t="str">
        <f>[2]底表!BV73</f>
        <v/>
      </c>
      <c r="AJ73" s="21" t="str">
        <f>[2]底表!BW73</f>
        <v/>
      </c>
      <c r="AK73" s="21" t="str">
        <f>[2]底表!BX73</f>
        <v/>
      </c>
      <c r="AL73" s="21" t="str">
        <f>[2]底表!BY73</f>
        <v/>
      </c>
      <c r="AM73" s="21">
        <f>[2]底表!BZ73</f>
        <v>0</v>
      </c>
      <c r="AN73" s="21">
        <f>[2]底表!CA73</f>
        <v>0</v>
      </c>
      <c r="AO73" s="21" t="str">
        <f>[2]底表!CB73</f>
        <v>持平</v>
      </c>
      <c r="AP73" s="21">
        <f>[2]底表!CC73</f>
        <v>0</v>
      </c>
      <c r="AQ73" s="21" t="str">
        <f>[2]底表!CD73</f>
        <v>持平</v>
      </c>
      <c r="AR73" s="21" t="str">
        <f>[2]底表!CE73</f>
        <v/>
      </c>
      <c r="AS73" s="21" t="str">
        <f>[2]底表!CF73</f>
        <v/>
      </c>
      <c r="AT73" s="21">
        <f>[2]底表!CG73</f>
        <v>0</v>
      </c>
      <c r="AU73" s="21">
        <f>[2]底表!CH73</f>
        <v>0</v>
      </c>
      <c r="AV73" s="21" t="str">
        <f>[2]底表!CI73</f>
        <v>持平</v>
      </c>
      <c r="AW73" s="21">
        <f>[2]底表!CJ73</f>
        <v>0</v>
      </c>
      <c r="AX73" s="21" t="str">
        <f>[2]底表!CK73</f>
        <v>持平</v>
      </c>
      <c r="AY73" s="21" t="str">
        <f>[2]底表!CL73</f>
        <v/>
      </c>
      <c r="AZ73" s="21" t="str">
        <f>[2]底表!CM73</f>
        <v/>
      </c>
      <c r="BA73" s="21" t="str">
        <f>[2]底表!CN73</f>
        <v/>
      </c>
      <c r="BB73" s="21">
        <f>[2]底表!CO73</f>
        <v>0</v>
      </c>
      <c r="BC73" s="21">
        <f>[2]底表!CP73</f>
        <v>0</v>
      </c>
      <c r="BD73" s="21" t="str">
        <f>[2]底表!CQ73</f>
        <v>持平</v>
      </c>
      <c r="BE73" s="21">
        <f>[2]底表!CR73</f>
        <v>0</v>
      </c>
      <c r="BF73" s="21" t="str">
        <f>[2]底表!CS73</f>
        <v>持平</v>
      </c>
      <c r="BG73" s="21" t="str">
        <f>[2]底表!CT73</f>
        <v/>
      </c>
      <c r="BH73" s="21" t="str">
        <f>[2]底表!CU73</f>
        <v/>
      </c>
      <c r="BI73" s="21" t="str">
        <f>[2]底表!CV73</f>
        <v/>
      </c>
      <c r="BJ73" s="21" t="str">
        <f>[2]底表!CW73</f>
        <v/>
      </c>
      <c r="BK73" s="21" t="str">
        <f>[2]底表!CX73</f>
        <v/>
      </c>
      <c r="BL73" s="21">
        <f>[2]底表!CY73</f>
        <v>0</v>
      </c>
      <c r="BM73" s="21">
        <f>[2]底表!CZ73</f>
        <v>0</v>
      </c>
      <c r="BN73" s="23" t="str">
        <f>[2]底表!DA73</f>
        <v>持平</v>
      </c>
      <c r="BO73" s="21">
        <f>[2]底表!DB73</f>
        <v>0</v>
      </c>
      <c r="BP73" s="21" t="str">
        <f>[2]底表!DC73</f>
        <v>持平</v>
      </c>
      <c r="BQ73" s="21" t="str">
        <f>[2]底表!DD73</f>
        <v/>
      </c>
      <c r="BR73" s="21" t="str">
        <f>[2]底表!DE73</f>
        <v/>
      </c>
      <c r="BS73" s="21" t="str">
        <f>[2]底表!DF73</f>
        <v/>
      </c>
      <c r="BT73" s="21" t="str">
        <f>[2]底表!DG73</f>
        <v/>
      </c>
      <c r="BU73" s="21" t="str">
        <f>[2]底表!DH73</f>
        <v/>
      </c>
      <c r="BV73" s="21">
        <f>[2]底表!DI73</f>
        <v>0</v>
      </c>
      <c r="BW73" s="21">
        <f>[2]底表!DJ73</f>
        <v>0</v>
      </c>
      <c r="BX73" s="23" t="str">
        <f>[2]底表!DK73</f>
        <v>持平</v>
      </c>
      <c r="BY73" s="21">
        <f>[2]底表!DL73</f>
        <v>0</v>
      </c>
      <c r="BZ73" s="21" t="str">
        <f>[2]底表!DM73</f>
        <v>持平</v>
      </c>
      <c r="CA73" s="21">
        <f>[2]底表!DN73</f>
        <v>0</v>
      </c>
      <c r="CB73" s="21">
        <f>[2]底表!DO73</f>
        <v>0</v>
      </c>
      <c r="CC73" s="21" t="str">
        <f>[2]底表!DP73</f>
        <v>持平</v>
      </c>
      <c r="CD73" s="21">
        <f>[2]底表!DQ73</f>
        <v>0</v>
      </c>
      <c r="CE73" s="21" t="str">
        <f>[2]底表!DR73</f>
        <v>持平</v>
      </c>
      <c r="CF73" s="21">
        <f>[2]底表!DS73</f>
        <v>0</v>
      </c>
      <c r="CG73" s="21">
        <f>[2]底表!DT73</f>
        <v>0</v>
      </c>
      <c r="CH73" s="21" t="str">
        <f>[2]底表!DU73</f>
        <v>持平</v>
      </c>
      <c r="CI73" s="21">
        <f>[2]底表!DV73</f>
        <v>0</v>
      </c>
      <c r="CJ73" s="21" t="str">
        <f>[2]底表!DW73</f>
        <v>持平</v>
      </c>
      <c r="CK73" s="21">
        <f>[2]底表!DX73</f>
        <v>0</v>
      </c>
      <c r="CL73" s="21">
        <f>[2]底表!DY73</f>
        <v>0</v>
      </c>
      <c r="CM73" s="21" t="str">
        <f>[2]底表!DZ73</f>
        <v>持平</v>
      </c>
      <c r="CN73" s="21">
        <f>[2]底表!EA73</f>
        <v>0</v>
      </c>
      <c r="CO73" s="21" t="str">
        <f>[2]底表!EB73</f>
        <v>持平</v>
      </c>
      <c r="CP73" s="21">
        <f>[2]底表!EC73</f>
        <v>0</v>
      </c>
      <c r="CQ73" s="21">
        <f>[2]底表!ED73</f>
        <v>0</v>
      </c>
      <c r="CR73" s="21" t="str">
        <f>[2]底表!EE73</f>
        <v>持平</v>
      </c>
      <c r="CS73" s="21">
        <f>[2]底表!EF73</f>
        <v>0</v>
      </c>
      <c r="CT73" s="21" t="str">
        <f>[2]底表!EG73</f>
        <v>持平</v>
      </c>
      <c r="CU73" s="21" t="str">
        <f>[2]底表!EH73</f>
        <v/>
      </c>
      <c r="CV73" s="21" t="str">
        <f>[2]底表!EI73</f>
        <v/>
      </c>
      <c r="CW73" s="21" t="str">
        <f>[2]底表!EJ73</f>
        <v/>
      </c>
      <c r="CX73" s="21" t="str">
        <f>[2]底表!EK73</f>
        <v/>
      </c>
      <c r="CY73" s="21" t="str">
        <f>[2]底表!EL73</f>
        <v/>
      </c>
      <c r="CZ73" s="21">
        <f>[2]底表!EM73</f>
        <v>0</v>
      </c>
      <c r="DA73" s="21">
        <f>[2]底表!EN73</f>
        <v>0</v>
      </c>
      <c r="DB73" s="21" t="str">
        <f>[2]底表!EO73</f>
        <v>持平</v>
      </c>
      <c r="DC73" s="21">
        <f>[2]底表!EP73</f>
        <v>0</v>
      </c>
      <c r="DD73" s="21" t="str">
        <f>[2]底表!EQ73</f>
        <v>持平</v>
      </c>
      <c r="DE73" s="21">
        <f>[2]底表!ER73</f>
        <v>0</v>
      </c>
      <c r="DF73" s="21">
        <f>[2]底表!ES73</f>
        <v>0</v>
      </c>
      <c r="DG73" s="23" t="str">
        <f>[2]底表!ET73</f>
        <v>持平</v>
      </c>
      <c r="DH73" s="21">
        <f>[2]底表!EU73</f>
        <v>0</v>
      </c>
      <c r="DI73" s="21" t="str">
        <f>[2]底表!EV73</f>
        <v>持平</v>
      </c>
      <c r="DJ73" s="21" t="str">
        <f>[2]底表!EW73</f>
        <v/>
      </c>
      <c r="DK73" s="21" t="str">
        <f>[2]底表!EX73</f>
        <v/>
      </c>
      <c r="DL73" s="21" t="str">
        <f>[2]底表!EY73</f>
        <v/>
      </c>
      <c r="DM73" s="21" t="str">
        <f>[2]底表!EZ73</f>
        <v/>
      </c>
      <c r="DN73" s="21" t="str">
        <f>[2]底表!FA73</f>
        <v/>
      </c>
      <c r="DO73" s="21">
        <f>[2]底表!BQ73</f>
        <v>0</v>
      </c>
      <c r="DP73" s="21">
        <f>[2]底表!BR73</f>
        <v>0</v>
      </c>
      <c r="DQ73" s="24" t="str">
        <f>[2]底表!BS73</f>
        <v>持平</v>
      </c>
    </row>
    <row r="74" s="2" customFormat="1" ht="32" hidden="1" customHeight="1" spans="1:121">
      <c r="A74" s="27" t="str">
        <f>[2]底表!A74</f>
        <v>涉恶</v>
      </c>
      <c r="B74" s="28" t="str">
        <f>[2]底表!B74</f>
        <v>全省</v>
      </c>
      <c r="C74" s="21">
        <f>[2]底表!AM74</f>
        <v>1023</v>
      </c>
      <c r="D74" s="21">
        <f>[2]底表!AN74</f>
        <v>711</v>
      </c>
      <c r="E74" s="23">
        <f>[2]底表!AO74</f>
        <v>0.4388</v>
      </c>
      <c r="F74" s="21">
        <f>[2]底表!AP74</f>
        <v>1540</v>
      </c>
      <c r="G74" s="21">
        <f>[2]底表!AQ74</f>
        <v>-0.3357</v>
      </c>
      <c r="H74" s="21">
        <f>[2]底表!AR74</f>
        <v>0.8561</v>
      </c>
      <c r="I74" s="21">
        <f>[2]底表!AS74</f>
        <v>0.2447</v>
      </c>
      <c r="J74" s="21">
        <f>[2]底表!AT74</f>
        <v>763</v>
      </c>
      <c r="K74" s="21">
        <f>[2]底表!AU74</f>
        <v>675</v>
      </c>
      <c r="L74" s="21">
        <f>[2]底表!AV74</f>
        <v>0.1304</v>
      </c>
      <c r="M74" s="21">
        <f>[2]底表!AW74</f>
        <v>1144</v>
      </c>
      <c r="N74" s="21">
        <f>[2]底表!AX74</f>
        <v>-0.333</v>
      </c>
      <c r="O74" s="21">
        <f>[2]底表!AY74</f>
        <v>557</v>
      </c>
      <c r="P74" s="21">
        <f>[2]底表!AZ74</f>
        <v>396</v>
      </c>
      <c r="Q74" s="21">
        <f>[2]底表!BA74</f>
        <v>0.4066</v>
      </c>
      <c r="R74" s="21">
        <f>[2]底表!BB74</f>
        <v>1131</v>
      </c>
      <c r="S74" s="21">
        <f>[2]底表!BC74</f>
        <v>-0.5075</v>
      </c>
      <c r="T74" s="21">
        <f>[2]底表!BD74</f>
        <v>0.73</v>
      </c>
      <c r="U74" s="21">
        <f>[2]底表!BE74</f>
        <v>0.1433</v>
      </c>
      <c r="V74" s="21">
        <f>[2]底表!BF74</f>
        <v>432</v>
      </c>
      <c r="W74" s="21">
        <f>[2]底表!BG74</f>
        <v>488</v>
      </c>
      <c r="X74" s="21">
        <f>[2]底表!BH74</f>
        <v>-0.1148</v>
      </c>
      <c r="Y74" s="21">
        <f>[2]底表!BI74</f>
        <v>129</v>
      </c>
      <c r="Z74" s="21">
        <f>[2]底表!BJ74</f>
        <v>2.3488</v>
      </c>
      <c r="AA74" s="21">
        <f>[2]底表!BK74</f>
        <v>0.3615</v>
      </c>
      <c r="AB74" s="21">
        <f>[2]底表!BL74</f>
        <v>466</v>
      </c>
      <c r="AC74" s="21">
        <f>[2]底表!BM74</f>
        <v>315</v>
      </c>
      <c r="AD74" s="21">
        <f>[2]底表!BN74</f>
        <v>0.4794</v>
      </c>
      <c r="AE74" s="21">
        <f>[2]底表!BO74</f>
        <v>409</v>
      </c>
      <c r="AF74" s="21">
        <f>[2]底表!BP74</f>
        <v>0.1394</v>
      </c>
      <c r="AG74" s="21">
        <f>[2]底表!BT74</f>
        <v>963</v>
      </c>
      <c r="AH74" s="21">
        <f>[2]底表!BU74</f>
        <v>-0.4569</v>
      </c>
      <c r="AI74" s="21">
        <f>[2]底表!BV74</f>
        <v>0.4377</v>
      </c>
      <c r="AJ74" s="21">
        <f>[2]底表!BW74</f>
        <v>0.0516</v>
      </c>
      <c r="AK74" s="21">
        <f>[2]底表!BX74</f>
        <v>0.6855</v>
      </c>
      <c r="AL74" s="21">
        <f>[2]底表!BY74</f>
        <v>0.0203</v>
      </c>
      <c r="AM74" s="21">
        <f>[2]底表!BZ74</f>
        <v>2</v>
      </c>
      <c r="AN74" s="21">
        <f>[2]底表!CA74</f>
        <v>3</v>
      </c>
      <c r="AO74" s="21">
        <f>[2]底表!CB74</f>
        <v>-0.3333</v>
      </c>
      <c r="AP74" s="21">
        <f>[2]底表!CC74</f>
        <v>46</v>
      </c>
      <c r="AQ74" s="21">
        <f>[2]底表!CD74</f>
        <v>-0.9565</v>
      </c>
      <c r="AR74" s="21" t="str">
        <f>[2]底表!CE74</f>
        <v/>
      </c>
      <c r="AS74" s="21" t="str">
        <f>[2]底表!CF74</f>
        <v/>
      </c>
      <c r="AT74" s="21">
        <f>[2]底表!CG74</f>
        <v>5266</v>
      </c>
      <c r="AU74" s="21">
        <f>[2]底表!CH74</f>
        <v>3403</v>
      </c>
      <c r="AV74" s="21">
        <f>[2]底表!CI74</f>
        <v>0.5475</v>
      </c>
      <c r="AW74" s="21">
        <f>[2]底表!CJ74</f>
        <v>4060</v>
      </c>
      <c r="AX74" s="21">
        <f>[2]底表!CK74</f>
        <v>0.297</v>
      </c>
      <c r="AY74" s="21">
        <f>[2]底表!CL74</f>
        <v>441</v>
      </c>
      <c r="AZ74" s="21">
        <f>[2]底表!CM74</f>
        <v>148</v>
      </c>
      <c r="BA74" s="21">
        <f>[2]底表!CN74</f>
        <v>0.506</v>
      </c>
      <c r="BB74" s="21">
        <f>[2]底表!CO74</f>
        <v>4186</v>
      </c>
      <c r="BC74" s="21">
        <f>[2]底表!CP74</f>
        <v>2141</v>
      </c>
      <c r="BD74" s="21">
        <f>[2]底表!CQ74</f>
        <v>0.9552</v>
      </c>
      <c r="BE74" s="21">
        <f>[2]底表!CR74</f>
        <v>3210</v>
      </c>
      <c r="BF74" s="21">
        <f>[2]底表!CS74</f>
        <v>0.304</v>
      </c>
      <c r="BG74" s="21">
        <f>[2]底表!CT74</f>
        <v>0.7949</v>
      </c>
      <c r="BH74" s="21">
        <f>[2]底表!CU74</f>
        <v>0.1658</v>
      </c>
      <c r="BI74" s="21">
        <f>[2]底表!CV74</f>
        <v>350</v>
      </c>
      <c r="BJ74" s="21">
        <f>[2]底表!CW74</f>
        <v>166</v>
      </c>
      <c r="BK74" s="21">
        <f>[2]底表!CX74</f>
        <v>0.9028</v>
      </c>
      <c r="BL74" s="21">
        <f>[2]底表!CY74</f>
        <v>4489</v>
      </c>
      <c r="BM74" s="21">
        <f>[2]底表!CZ74</f>
        <v>2439</v>
      </c>
      <c r="BN74" s="23">
        <f>[2]底表!DA74</f>
        <v>0.8405</v>
      </c>
      <c r="BO74" s="21">
        <f>[2]底表!DB74</f>
        <v>3586</v>
      </c>
      <c r="BP74" s="21">
        <f>[2]底表!DC74</f>
        <v>0.2518</v>
      </c>
      <c r="BQ74" s="21">
        <f>[2]底表!DD74</f>
        <v>0.8524</v>
      </c>
      <c r="BR74" s="21">
        <f>[2]底表!DE74</f>
        <v>0.1357</v>
      </c>
      <c r="BS74" s="21">
        <f>[2]底表!DF74</f>
        <v>376</v>
      </c>
      <c r="BT74" s="21">
        <f>[2]底表!DG74</f>
        <v>166</v>
      </c>
      <c r="BU74" s="21">
        <f>[2]底表!DH74</f>
        <v>0.7912</v>
      </c>
      <c r="BV74" s="21">
        <f>[2]底表!DI74</f>
        <v>4065</v>
      </c>
      <c r="BW74" s="21">
        <f>[2]底表!DJ74</f>
        <v>2346</v>
      </c>
      <c r="BX74" s="23">
        <f>[2]底表!DK74</f>
        <v>0.7327</v>
      </c>
      <c r="BY74" s="21">
        <f>[2]底表!DL74</f>
        <v>3415</v>
      </c>
      <c r="BZ74" s="21">
        <f>[2]底表!DM74</f>
        <v>0.1903</v>
      </c>
      <c r="CA74" s="21">
        <f>[2]底表!DN74</f>
        <v>1826</v>
      </c>
      <c r="CB74" s="21">
        <f>[2]底表!DO74</f>
        <v>1432</v>
      </c>
      <c r="CC74" s="21">
        <f>[2]底表!DP74</f>
        <v>0.2751</v>
      </c>
      <c r="CD74" s="21">
        <f>[2]底表!DQ74</f>
        <v>1786</v>
      </c>
      <c r="CE74" s="21">
        <f>[2]底表!DR74</f>
        <v>0.0224</v>
      </c>
      <c r="CF74" s="21">
        <f>[2]底表!DS74</f>
        <v>1826</v>
      </c>
      <c r="CG74" s="21">
        <f>[2]底表!DT74</f>
        <v>1433</v>
      </c>
      <c r="CH74" s="21">
        <f>[2]底表!DU74</f>
        <v>0.2742</v>
      </c>
      <c r="CI74" s="21">
        <f>[2]底表!DV74</f>
        <v>1786</v>
      </c>
      <c r="CJ74" s="21">
        <f>[2]底表!DW74</f>
        <v>0.0224</v>
      </c>
      <c r="CK74" s="21">
        <f>[2]底表!DX74</f>
        <v>2312</v>
      </c>
      <c r="CL74" s="21">
        <f>[2]底表!DY74</f>
        <v>1702</v>
      </c>
      <c r="CM74" s="21">
        <f>[2]底表!DZ74</f>
        <v>0.3584</v>
      </c>
      <c r="CN74" s="21">
        <f>[2]底表!EA74</f>
        <v>1996</v>
      </c>
      <c r="CO74" s="21">
        <f>[2]底表!EB74</f>
        <v>0.1583</v>
      </c>
      <c r="CP74" s="21">
        <f>[2]底表!EC74</f>
        <v>1030</v>
      </c>
      <c r="CQ74" s="21">
        <f>[2]底表!ED74</f>
        <v>1084</v>
      </c>
      <c r="CR74" s="21">
        <f>[2]底表!EE74</f>
        <v>-0.0498</v>
      </c>
      <c r="CS74" s="21">
        <f>[2]底表!EF74</f>
        <v>1214</v>
      </c>
      <c r="CT74" s="21">
        <f>[2]底表!EG74</f>
        <v>-0.1516</v>
      </c>
      <c r="CU74" s="21">
        <f>[2]底表!EH74</f>
        <v>0.2461</v>
      </c>
      <c r="CV74" s="21">
        <f>[2]底表!EI74</f>
        <v>-0.2602</v>
      </c>
      <c r="CW74" s="21">
        <f>[2]底表!EJ74</f>
        <v>86</v>
      </c>
      <c r="CX74" s="21">
        <f>[2]底表!EK74</f>
        <v>-7</v>
      </c>
      <c r="CY74" s="21">
        <f>[2]底表!EL74</f>
        <v>-0.0753</v>
      </c>
      <c r="CZ74" s="21">
        <f>[2]底表!EM74</f>
        <v>1056</v>
      </c>
      <c r="DA74" s="21">
        <f>[2]底表!EN74</f>
        <v>1092</v>
      </c>
      <c r="DB74" s="21">
        <f>[2]底表!EO74</f>
        <v>-0.033</v>
      </c>
      <c r="DC74" s="21">
        <f>[2]底表!EP74</f>
        <v>1235</v>
      </c>
      <c r="DD74" s="21">
        <f>[2]底表!EQ74</f>
        <v>-0.1449</v>
      </c>
      <c r="DE74" s="21">
        <f>[2]底表!ER74</f>
        <v>1417</v>
      </c>
      <c r="DF74" s="21">
        <f>[2]底表!ES74</f>
        <v>1181</v>
      </c>
      <c r="DG74" s="23">
        <f>[2]底表!ET74</f>
        <v>0.1998</v>
      </c>
      <c r="DH74" s="21">
        <f>[2]底表!EU74</f>
        <v>2360</v>
      </c>
      <c r="DI74" s="21">
        <f>[2]底表!EV74</f>
        <v>-0.3996</v>
      </c>
      <c r="DJ74" s="21">
        <f>[2]底表!EW74</f>
        <v>0.3385</v>
      </c>
      <c r="DK74" s="21">
        <f>[2]底表!EX74</f>
        <v>-0.2131</v>
      </c>
      <c r="DL74" s="21">
        <f>[2]底表!EY74</f>
        <v>119</v>
      </c>
      <c r="DM74" s="21">
        <f>[2]底表!EZ74</f>
        <v>17</v>
      </c>
      <c r="DN74" s="21">
        <f>[2]底表!FA74</f>
        <v>0.1677</v>
      </c>
      <c r="DO74" s="21">
        <f>[2]底表!BQ74</f>
        <v>523</v>
      </c>
      <c r="DP74" s="21">
        <f>[2]底表!BR74</f>
        <v>449</v>
      </c>
      <c r="DQ74" s="24">
        <f>[2]底表!BS74</f>
        <v>0.1648</v>
      </c>
    </row>
    <row r="75" s="2" customFormat="1" ht="32" hidden="1" customHeight="1" spans="1:121">
      <c r="A75" s="27" t="str">
        <f>[2]底表!A75</f>
        <v>涉恶</v>
      </c>
      <c r="B75" s="28" t="str">
        <f>[2]底表!B75</f>
        <v>云浮</v>
      </c>
      <c r="C75" s="21">
        <f>[2]底表!AM75</f>
        <v>10</v>
      </c>
      <c r="D75" s="21">
        <f>[2]底表!AN75</f>
        <v>7</v>
      </c>
      <c r="E75" s="23">
        <f>[2]底表!AO75</f>
        <v>0.4286</v>
      </c>
      <c r="F75" s="21">
        <f>[2]底表!AP75</f>
        <v>14</v>
      </c>
      <c r="G75" s="21">
        <f>[2]底表!AQ75</f>
        <v>-0.2857</v>
      </c>
      <c r="H75" s="21">
        <f>[2]底表!AR75</f>
        <v>0.7692</v>
      </c>
      <c r="I75" s="21">
        <f>[2]底表!AS75</f>
        <v>0.0692</v>
      </c>
      <c r="J75" s="21">
        <f>[2]底表!AT75</f>
        <v>4</v>
      </c>
      <c r="K75" s="21">
        <f>[2]底表!AU75</f>
        <v>6</v>
      </c>
      <c r="L75" s="21">
        <f>[2]底表!AV75</f>
        <v>-0.3333</v>
      </c>
      <c r="M75" s="21">
        <f>[2]底表!AW75</f>
        <v>9</v>
      </c>
      <c r="N75" s="21">
        <f>[2]底表!AX75</f>
        <v>-0.5556</v>
      </c>
      <c r="O75" s="21">
        <f>[2]底表!AY75</f>
        <v>3</v>
      </c>
      <c r="P75" s="21">
        <f>[2]底表!AZ75</f>
        <v>3</v>
      </c>
      <c r="Q75" s="21">
        <f>[2]底表!BA75</f>
        <v>0</v>
      </c>
      <c r="R75" s="21">
        <f>[2]底表!BB75</f>
        <v>10</v>
      </c>
      <c r="S75" s="21">
        <f>[2]底表!BC75</f>
        <v>-0.7</v>
      </c>
      <c r="T75" s="21">
        <f>[2]底表!BD75</f>
        <v>0.75</v>
      </c>
      <c r="U75" s="21">
        <f>[2]底表!BE75</f>
        <v>0.25</v>
      </c>
      <c r="V75" s="21">
        <f>[2]底表!BF75</f>
        <v>9</v>
      </c>
      <c r="W75" s="21">
        <f>[2]底表!BG75</f>
        <v>4</v>
      </c>
      <c r="X75" s="21">
        <f>[2]底表!BH75</f>
        <v>1.25</v>
      </c>
      <c r="Y75" s="21">
        <f>[2]底表!BI75</f>
        <v>1</v>
      </c>
      <c r="Z75" s="21">
        <f>[2]底表!BJ75</f>
        <v>8</v>
      </c>
      <c r="AA75" s="21">
        <f>[2]底表!BK75</f>
        <v>0.6923</v>
      </c>
      <c r="AB75" s="21">
        <f>[2]底表!BL75</f>
        <v>7</v>
      </c>
      <c r="AC75" s="21">
        <f>[2]底表!BM75</f>
        <v>4</v>
      </c>
      <c r="AD75" s="21">
        <f>[2]底表!BN75</f>
        <v>0.75</v>
      </c>
      <c r="AE75" s="21">
        <f>[2]底表!BO75</f>
        <v>4</v>
      </c>
      <c r="AF75" s="21">
        <f>[2]底表!BP75</f>
        <v>0.75</v>
      </c>
      <c r="AG75" s="21">
        <f>[2]底表!BT75</f>
        <v>12</v>
      </c>
      <c r="AH75" s="21">
        <f>[2]底表!BU75</f>
        <v>-0.75</v>
      </c>
      <c r="AI75" s="21">
        <f>[2]底表!BV75</f>
        <v>0.2308</v>
      </c>
      <c r="AJ75" s="21">
        <f>[2]底表!BW75</f>
        <v>-0.5692</v>
      </c>
      <c r="AK75" s="21">
        <f>[2]底表!BX75</f>
        <v>0.75</v>
      </c>
      <c r="AL75" s="21">
        <f>[2]底表!BY75</f>
        <v>-0.5833</v>
      </c>
      <c r="AM75" s="21">
        <f>[2]底表!BZ75</f>
        <v>0</v>
      </c>
      <c r="AN75" s="21">
        <f>[2]底表!CA75</f>
        <v>0</v>
      </c>
      <c r="AO75" s="21" t="str">
        <f>[2]底表!CB75</f>
        <v>持平</v>
      </c>
      <c r="AP75" s="21">
        <f>[2]底表!CC75</f>
        <v>0</v>
      </c>
      <c r="AQ75" s="21" t="str">
        <f>[2]底表!CD75</f>
        <v>持平</v>
      </c>
      <c r="AR75" s="21" t="str">
        <f>[2]底表!CE75</f>
        <v/>
      </c>
      <c r="AS75" s="21" t="str">
        <f>[2]底表!CF75</f>
        <v/>
      </c>
      <c r="AT75" s="21">
        <f>[2]底表!CG75</f>
        <v>80</v>
      </c>
      <c r="AU75" s="21">
        <f>[2]底表!CH75</f>
        <v>36</v>
      </c>
      <c r="AV75" s="21">
        <f>[2]底表!CI75</f>
        <v>1.2222</v>
      </c>
      <c r="AW75" s="21">
        <f>[2]底表!CJ75</f>
        <v>113</v>
      </c>
      <c r="AX75" s="21">
        <f>[2]底表!CK75</f>
        <v>-0.292</v>
      </c>
      <c r="AY75" s="21">
        <f>[2]底表!CL75</f>
        <v>615</v>
      </c>
      <c r="AZ75" s="21">
        <f>[2]底表!CM75</f>
        <v>255</v>
      </c>
      <c r="BA75" s="21">
        <f>[2]底表!CN75</f>
        <v>0.7094</v>
      </c>
      <c r="BB75" s="21">
        <f>[2]底表!CO75</f>
        <v>54</v>
      </c>
      <c r="BC75" s="21">
        <f>[2]底表!CP75</f>
        <v>61</v>
      </c>
      <c r="BD75" s="21">
        <f>[2]底表!CQ75</f>
        <v>-0.1148</v>
      </c>
      <c r="BE75" s="21">
        <f>[2]底表!CR75</f>
        <v>119</v>
      </c>
      <c r="BF75" s="21">
        <f>[2]底表!CS75</f>
        <v>-0.5462</v>
      </c>
      <c r="BG75" s="21">
        <f>[2]底表!CT75</f>
        <v>0.675</v>
      </c>
      <c r="BH75" s="21">
        <f>[2]底表!CU75</f>
        <v>-1.0194</v>
      </c>
      <c r="BI75" s="21">
        <f>[2]底表!CV75</f>
        <v>415</v>
      </c>
      <c r="BJ75" s="21">
        <f>[2]底表!CW75</f>
        <v>-195</v>
      </c>
      <c r="BK75" s="21">
        <f>[2]底表!CX75</f>
        <v>-0.319</v>
      </c>
      <c r="BL75" s="21">
        <f>[2]底表!CY75</f>
        <v>56</v>
      </c>
      <c r="BM75" s="21">
        <f>[2]底表!CZ75</f>
        <v>64</v>
      </c>
      <c r="BN75" s="23">
        <f>[2]底表!DA75</f>
        <v>-0.125</v>
      </c>
      <c r="BO75" s="21">
        <f>[2]底表!DB75</f>
        <v>121</v>
      </c>
      <c r="BP75" s="21">
        <f>[2]底表!DC75</f>
        <v>-0.5372</v>
      </c>
      <c r="BQ75" s="21">
        <f>[2]底表!DD75</f>
        <v>0.7</v>
      </c>
      <c r="BR75" s="21">
        <f>[2]底表!DE75</f>
        <v>-1.0778</v>
      </c>
      <c r="BS75" s="21">
        <f>[2]底表!DF75</f>
        <v>431</v>
      </c>
      <c r="BT75" s="21">
        <f>[2]底表!DG75</f>
        <v>-209</v>
      </c>
      <c r="BU75" s="21">
        <f>[2]底表!DH75</f>
        <v>-0.3269</v>
      </c>
      <c r="BV75" s="21">
        <f>[2]底表!DI75</f>
        <v>37</v>
      </c>
      <c r="BW75" s="21">
        <f>[2]底表!DJ75</f>
        <v>55</v>
      </c>
      <c r="BX75" s="23">
        <f>[2]底表!DK75</f>
        <v>-0.3273</v>
      </c>
      <c r="BY75" s="21">
        <f>[2]底表!DL75</f>
        <v>107</v>
      </c>
      <c r="BZ75" s="21">
        <f>[2]底表!DM75</f>
        <v>-0.6542</v>
      </c>
      <c r="CA75" s="21">
        <f>[2]底表!DN75</f>
        <v>36</v>
      </c>
      <c r="CB75" s="21">
        <f>[2]底表!DO75</f>
        <v>8</v>
      </c>
      <c r="CC75" s="21">
        <f>[2]底表!DP75</f>
        <v>3.5</v>
      </c>
      <c r="CD75" s="21">
        <f>[2]底表!DQ75</f>
        <v>29</v>
      </c>
      <c r="CE75" s="21">
        <f>[2]底表!DR75</f>
        <v>0.2414</v>
      </c>
      <c r="CF75" s="21">
        <f>[2]底表!DS75</f>
        <v>36</v>
      </c>
      <c r="CG75" s="21">
        <f>[2]底表!DT75</f>
        <v>8</v>
      </c>
      <c r="CH75" s="21">
        <f>[2]底表!DU75</f>
        <v>3.5</v>
      </c>
      <c r="CI75" s="21">
        <f>[2]底表!DV75</f>
        <v>29</v>
      </c>
      <c r="CJ75" s="21">
        <f>[2]底表!DW75</f>
        <v>0.2414</v>
      </c>
      <c r="CK75" s="21">
        <f>[2]底表!DX75</f>
        <v>31</v>
      </c>
      <c r="CL75" s="21">
        <f>[2]底表!DY75</f>
        <v>3</v>
      </c>
      <c r="CM75" s="21">
        <f>[2]底表!DZ75</f>
        <v>9.3333</v>
      </c>
      <c r="CN75" s="21">
        <f>[2]底表!EA75</f>
        <v>24</v>
      </c>
      <c r="CO75" s="21">
        <f>[2]底表!EB75</f>
        <v>0.2917</v>
      </c>
      <c r="CP75" s="21">
        <f>[2]底表!EC75</f>
        <v>19</v>
      </c>
      <c r="CQ75" s="21">
        <f>[2]底表!ED75</f>
        <v>2</v>
      </c>
      <c r="CR75" s="21">
        <f>[2]底表!EE75</f>
        <v>8.5</v>
      </c>
      <c r="CS75" s="21">
        <f>[2]底表!EF75</f>
        <v>14</v>
      </c>
      <c r="CT75" s="21">
        <f>[2]底表!EG75</f>
        <v>0.3571</v>
      </c>
      <c r="CU75" s="21">
        <f>[2]底表!EH75</f>
        <v>0.3519</v>
      </c>
      <c r="CV75" s="21">
        <f>[2]底表!EI75</f>
        <v>0.3191</v>
      </c>
      <c r="CW75" s="21">
        <f>[2]底表!EJ75</f>
        <v>146</v>
      </c>
      <c r="CX75" s="21">
        <f>[2]底表!EK75</f>
        <v>126</v>
      </c>
      <c r="CY75" s="21">
        <f>[2]底表!EL75</f>
        <v>6.3077</v>
      </c>
      <c r="CZ75" s="21">
        <f>[2]底表!EM75</f>
        <v>19</v>
      </c>
      <c r="DA75" s="21">
        <f>[2]底表!EN75</f>
        <v>2</v>
      </c>
      <c r="DB75" s="21">
        <f>[2]底表!EO75</f>
        <v>8.5</v>
      </c>
      <c r="DC75" s="21">
        <f>[2]底表!EP75</f>
        <v>14</v>
      </c>
      <c r="DD75" s="21">
        <f>[2]底表!EQ75</f>
        <v>0.3571</v>
      </c>
      <c r="DE75" s="21">
        <f>[2]底表!ER75</f>
        <v>5</v>
      </c>
      <c r="DF75" s="21">
        <f>[2]底表!ES75</f>
        <v>10</v>
      </c>
      <c r="DG75" s="23">
        <f>[2]底表!ET75</f>
        <v>-0.5</v>
      </c>
      <c r="DH75" s="21">
        <f>[2]底表!EU75</f>
        <v>24</v>
      </c>
      <c r="DI75" s="21">
        <f>[2]底表!EV75</f>
        <v>-0.7917</v>
      </c>
      <c r="DJ75" s="21">
        <f>[2]底表!EW75</f>
        <v>0.0926</v>
      </c>
      <c r="DK75" s="21">
        <f>[2]底表!EX75</f>
        <v>-0.0713</v>
      </c>
      <c r="DL75" s="21">
        <f>[2]底表!EY75</f>
        <v>38</v>
      </c>
      <c r="DM75" s="21">
        <f>[2]底表!EZ75</f>
        <v>-62</v>
      </c>
      <c r="DN75" s="21">
        <f>[2]底表!FA75</f>
        <v>-0.6154</v>
      </c>
      <c r="DO75" s="21">
        <f>[2]底表!BQ75</f>
        <v>3</v>
      </c>
      <c r="DP75" s="21">
        <f>[2]底表!BR75</f>
        <v>8</v>
      </c>
      <c r="DQ75" s="24">
        <f>[2]底表!BS75</f>
        <v>-0.625</v>
      </c>
    </row>
    <row r="76" s="2" customFormat="1" ht="32" hidden="1" customHeight="1" spans="1:121">
      <c r="A76" s="27" t="str">
        <f>[2]底表!A76</f>
        <v>涉恶</v>
      </c>
      <c r="B76" s="28" t="str">
        <f>[2]底表!B76</f>
        <v>云城区</v>
      </c>
      <c r="C76" s="21">
        <f>[2]底表!AM76</f>
        <v>1</v>
      </c>
      <c r="D76" s="21">
        <f>[2]底表!AN76</f>
        <v>1</v>
      </c>
      <c r="E76" s="23">
        <f>[2]底表!AO76</f>
        <v>0</v>
      </c>
      <c r="F76" s="21">
        <f>[2]底表!AP76</f>
        <v>0</v>
      </c>
      <c r="G76" s="21" t="str">
        <f>[2]底表!AQ76</f>
        <v>多1起</v>
      </c>
      <c r="H76" s="21">
        <f>[2]底表!AR76</f>
        <v>0.5</v>
      </c>
      <c r="I76" s="21">
        <f>[2]底表!AS76</f>
        <v>0</v>
      </c>
      <c r="J76" s="21">
        <f>[2]底表!AT76</f>
        <v>1</v>
      </c>
      <c r="K76" s="21">
        <f>[2]底表!AU76</f>
        <v>1</v>
      </c>
      <c r="L76" s="21">
        <f>[2]底表!AV76</f>
        <v>0</v>
      </c>
      <c r="M76" s="21">
        <f>[2]底表!AW76</f>
        <v>0</v>
      </c>
      <c r="N76" s="21" t="str">
        <f>[2]底表!AX76</f>
        <v>多1起</v>
      </c>
      <c r="O76" s="21">
        <f>[2]底表!AY76</f>
        <v>1</v>
      </c>
      <c r="P76" s="21">
        <f>[2]底表!AZ76</f>
        <v>1</v>
      </c>
      <c r="Q76" s="21">
        <f>[2]底表!BA76</f>
        <v>0</v>
      </c>
      <c r="R76" s="21">
        <f>[2]底表!BB76</f>
        <v>0</v>
      </c>
      <c r="S76" s="21" t="str">
        <f>[2]底表!BC76</f>
        <v>多1起</v>
      </c>
      <c r="T76" s="21">
        <f>[2]底表!BD76</f>
        <v>1</v>
      </c>
      <c r="U76" s="21">
        <f>[2]底表!BE76</f>
        <v>0</v>
      </c>
      <c r="V76" s="21">
        <f>[2]底表!BF76</f>
        <v>1</v>
      </c>
      <c r="W76" s="21">
        <f>[2]底表!BG76</f>
        <v>1</v>
      </c>
      <c r="X76" s="21">
        <f>[2]底表!BH76</f>
        <v>0</v>
      </c>
      <c r="Y76" s="21">
        <f>[2]底表!BI76</f>
        <v>0</v>
      </c>
      <c r="Z76" s="21" t="str">
        <f>[2]底表!BJ76</f>
        <v>多1起</v>
      </c>
      <c r="AA76" s="21">
        <f>[2]底表!BK76</f>
        <v>0.5</v>
      </c>
      <c r="AB76" s="21">
        <f>[2]底表!BL76</f>
        <v>0</v>
      </c>
      <c r="AC76" s="21">
        <f>[2]底表!BM76</f>
        <v>0</v>
      </c>
      <c r="AD76" s="21" t="str">
        <f>[2]底表!BN76</f>
        <v>持平</v>
      </c>
      <c r="AE76" s="21">
        <f>[2]底表!BO76</f>
        <v>0</v>
      </c>
      <c r="AF76" s="21" t="str">
        <f>[2]底表!BP76</f>
        <v>持平</v>
      </c>
      <c r="AG76" s="21">
        <f>[2]底表!BT76</f>
        <v>1</v>
      </c>
      <c r="AH76" s="21" t="str">
        <f>[2]底表!BU76</f>
        <v>少1起</v>
      </c>
      <c r="AI76" s="21">
        <f>[2]底表!BV76</f>
        <v>0</v>
      </c>
      <c r="AJ76" s="21">
        <f>[2]底表!BW76</f>
        <v>-0.5</v>
      </c>
      <c r="AK76" s="21">
        <f>[2]底表!BX76</f>
        <v>0</v>
      </c>
      <c r="AL76" s="21">
        <f>[2]底表!BY76</f>
        <v>-1</v>
      </c>
      <c r="AM76" s="21">
        <f>[2]底表!BZ76</f>
        <v>0</v>
      </c>
      <c r="AN76" s="21">
        <f>[2]底表!CA76</f>
        <v>0</v>
      </c>
      <c r="AO76" s="21" t="str">
        <f>[2]底表!CB76</f>
        <v>持平</v>
      </c>
      <c r="AP76" s="21">
        <f>[2]底表!CC76</f>
        <v>0</v>
      </c>
      <c r="AQ76" s="21" t="str">
        <f>[2]底表!CD76</f>
        <v>持平</v>
      </c>
      <c r="AR76" s="21" t="str">
        <f>[2]底表!CE76</f>
        <v/>
      </c>
      <c r="AS76" s="21" t="str">
        <f>[2]底表!CF76</f>
        <v/>
      </c>
      <c r="AT76" s="21">
        <f>[2]底表!CG76</f>
        <v>44</v>
      </c>
      <c r="AU76" s="21">
        <f>[2]底表!CH76</f>
        <v>9</v>
      </c>
      <c r="AV76" s="21">
        <f>[2]底表!CI76</f>
        <v>3.8889</v>
      </c>
      <c r="AW76" s="21">
        <f>[2]底表!CJ76</f>
        <v>30</v>
      </c>
      <c r="AX76" s="21">
        <f>[2]底表!CK76</f>
        <v>0.4667</v>
      </c>
      <c r="AY76" s="21">
        <f>[2]底表!CL76</f>
        <v>2200</v>
      </c>
      <c r="AZ76" s="21">
        <f>[2]底表!CM76</f>
        <v>1750</v>
      </c>
      <c r="BA76" s="21">
        <f>[2]底表!CN76</f>
        <v>3.8889</v>
      </c>
      <c r="BB76" s="21">
        <f>[2]底表!CO76</f>
        <v>15</v>
      </c>
      <c r="BC76" s="21">
        <f>[2]底表!CP76</f>
        <v>6</v>
      </c>
      <c r="BD76" s="21">
        <f>[2]底表!CQ76</f>
        <v>1.5</v>
      </c>
      <c r="BE76" s="21">
        <f>[2]底表!CR76</f>
        <v>0</v>
      </c>
      <c r="BF76" s="21" t="str">
        <f>[2]底表!CS76</f>
        <v>多15人</v>
      </c>
      <c r="BG76" s="21">
        <f>[2]底表!CT76</f>
        <v>0.3409</v>
      </c>
      <c r="BH76" s="21">
        <f>[2]底表!CU76</f>
        <v>-0.3258</v>
      </c>
      <c r="BI76" s="21">
        <f>[2]底表!CV76</f>
        <v>750</v>
      </c>
      <c r="BJ76" s="21">
        <f>[2]底表!CW76</f>
        <v>450</v>
      </c>
      <c r="BK76" s="21">
        <f>[2]底表!CX76</f>
        <v>1.5</v>
      </c>
      <c r="BL76" s="21">
        <f>[2]底表!CY76</f>
        <v>15</v>
      </c>
      <c r="BM76" s="21">
        <f>[2]底表!CZ76</f>
        <v>6</v>
      </c>
      <c r="BN76" s="23">
        <f>[2]底表!DA76</f>
        <v>1.5</v>
      </c>
      <c r="BO76" s="21">
        <f>[2]底表!DB76</f>
        <v>0</v>
      </c>
      <c r="BP76" s="21" t="str">
        <f>[2]底表!DC76</f>
        <v>多15人</v>
      </c>
      <c r="BQ76" s="21">
        <f>[2]底表!DD76</f>
        <v>0.3409</v>
      </c>
      <c r="BR76" s="21">
        <f>[2]底表!DE76</f>
        <v>-0.3258</v>
      </c>
      <c r="BS76" s="21">
        <f>[2]底表!DF76</f>
        <v>750</v>
      </c>
      <c r="BT76" s="21">
        <f>[2]底表!DG76</f>
        <v>450</v>
      </c>
      <c r="BU76" s="21">
        <f>[2]底表!DH76</f>
        <v>1.5</v>
      </c>
      <c r="BV76" s="21">
        <f>[2]底表!DI76</f>
        <v>0</v>
      </c>
      <c r="BW76" s="21">
        <f>[2]底表!DJ76</f>
        <v>0</v>
      </c>
      <c r="BX76" s="23" t="str">
        <f>[2]底表!DK76</f>
        <v>持平</v>
      </c>
      <c r="BY76" s="21">
        <f>[2]底表!DL76</f>
        <v>0</v>
      </c>
      <c r="BZ76" s="21" t="str">
        <f>[2]底表!DM76</f>
        <v>持平</v>
      </c>
      <c r="CA76" s="21">
        <f>[2]底表!DN76</f>
        <v>0</v>
      </c>
      <c r="CB76" s="21">
        <f>[2]底表!DO76</f>
        <v>0</v>
      </c>
      <c r="CC76" s="21" t="str">
        <f>[2]底表!DP76</f>
        <v>持平</v>
      </c>
      <c r="CD76" s="21">
        <f>[2]底表!DQ76</f>
        <v>0</v>
      </c>
      <c r="CE76" s="21" t="str">
        <f>[2]底表!DR76</f>
        <v>持平</v>
      </c>
      <c r="CF76" s="21">
        <f>[2]底表!DS76</f>
        <v>0</v>
      </c>
      <c r="CG76" s="21">
        <f>[2]底表!DT76</f>
        <v>0</v>
      </c>
      <c r="CH76" s="21" t="str">
        <f>[2]底表!DU76</f>
        <v>持平</v>
      </c>
      <c r="CI76" s="21">
        <f>[2]底表!DV76</f>
        <v>0</v>
      </c>
      <c r="CJ76" s="21" t="str">
        <f>[2]底表!DW76</f>
        <v>持平</v>
      </c>
      <c r="CK76" s="21">
        <f>[2]底表!DX76</f>
        <v>11</v>
      </c>
      <c r="CL76" s="21">
        <f>[2]底表!DY76</f>
        <v>1</v>
      </c>
      <c r="CM76" s="21">
        <f>[2]底表!DZ76</f>
        <v>10</v>
      </c>
      <c r="CN76" s="21">
        <f>[2]底表!EA76</f>
        <v>0</v>
      </c>
      <c r="CO76" s="21" t="str">
        <f>[2]底表!EB76</f>
        <v>多11人</v>
      </c>
      <c r="CP76" s="21">
        <f>[2]底表!EC76</f>
        <v>5</v>
      </c>
      <c r="CQ76" s="21">
        <f>[2]底表!ED76</f>
        <v>0</v>
      </c>
      <c r="CR76" s="21" t="str">
        <f>[2]底表!EE76</f>
        <v>多5人</v>
      </c>
      <c r="CS76" s="21">
        <f>[2]底表!EF76</f>
        <v>0</v>
      </c>
      <c r="CT76" s="21" t="str">
        <f>[2]底表!EG76</f>
        <v>多5人</v>
      </c>
      <c r="CU76" s="21">
        <f>[2]底表!EH76</f>
        <v>0.3333</v>
      </c>
      <c r="CV76" s="21">
        <f>[2]底表!EI76</f>
        <v>0.3333</v>
      </c>
      <c r="CW76" s="21">
        <f>[2]底表!EJ76</f>
        <v>250</v>
      </c>
      <c r="CX76" s="21">
        <f>[2]底表!EK76</f>
        <v>250</v>
      </c>
      <c r="CY76" s="21" t="str">
        <f>[2]底表!EL76</f>
        <v/>
      </c>
      <c r="CZ76" s="21">
        <f>[2]底表!EM76</f>
        <v>5</v>
      </c>
      <c r="DA76" s="21">
        <f>[2]底表!EN76</f>
        <v>0</v>
      </c>
      <c r="DB76" s="21" t="str">
        <f>[2]底表!EO76</f>
        <v>多5人</v>
      </c>
      <c r="DC76" s="21">
        <f>[2]底表!EP76</f>
        <v>0</v>
      </c>
      <c r="DD76" s="21" t="str">
        <f>[2]底表!EQ76</f>
        <v>多5人</v>
      </c>
      <c r="DE76" s="21">
        <f>[2]底表!ER76</f>
        <v>0</v>
      </c>
      <c r="DF76" s="21">
        <f>[2]底表!ES76</f>
        <v>2</v>
      </c>
      <c r="DG76" s="23" t="str">
        <f>[2]底表!ET76</f>
        <v>少2人</v>
      </c>
      <c r="DH76" s="21">
        <f>[2]底表!EU76</f>
        <v>1</v>
      </c>
      <c r="DI76" s="21" t="str">
        <f>[2]底表!EV76</f>
        <v>少1人</v>
      </c>
      <c r="DJ76" s="21">
        <f>[2]底表!EW76</f>
        <v>0</v>
      </c>
      <c r="DK76" s="21">
        <f>[2]底表!EX76</f>
        <v>-0.3333</v>
      </c>
      <c r="DL76" s="21">
        <f>[2]底表!EY76</f>
        <v>0</v>
      </c>
      <c r="DM76" s="21">
        <f>[2]底表!EZ76</f>
        <v>-100</v>
      </c>
      <c r="DN76" s="21">
        <f>[2]底表!FA76</f>
        <v>-1</v>
      </c>
      <c r="DO76" s="21">
        <f>[2]底表!BQ76</f>
        <v>0</v>
      </c>
      <c r="DP76" s="21">
        <f>[2]底表!BR76</f>
        <v>1</v>
      </c>
      <c r="DQ76" s="24" t="str">
        <f>[2]底表!BS76</f>
        <v>少1起</v>
      </c>
    </row>
    <row r="77" s="2" customFormat="1" ht="32" hidden="1" customHeight="1" spans="1:121">
      <c r="A77" s="27" t="str">
        <f>[2]底表!A77</f>
        <v>涉恶</v>
      </c>
      <c r="B77" s="28" t="str">
        <f>[2]底表!B77</f>
        <v>云安区</v>
      </c>
      <c r="C77" s="21">
        <f>[2]底表!AM77</f>
        <v>2</v>
      </c>
      <c r="D77" s="21">
        <f>[2]底表!AN77</f>
        <v>1</v>
      </c>
      <c r="E77" s="23">
        <f>[2]底表!AO77</f>
        <v>1</v>
      </c>
      <c r="F77" s="21">
        <f>[2]底表!AP77</f>
        <v>1</v>
      </c>
      <c r="G77" s="21">
        <f>[2]底表!AQ77</f>
        <v>1</v>
      </c>
      <c r="H77" s="21">
        <f>[2]底表!AR77</f>
        <v>1</v>
      </c>
      <c r="I77" s="21">
        <f>[2]底表!AS77</f>
        <v>0</v>
      </c>
      <c r="J77" s="21">
        <f>[2]底表!AT77</f>
        <v>0</v>
      </c>
      <c r="K77" s="21">
        <f>[2]底表!AU77</f>
        <v>1</v>
      </c>
      <c r="L77" s="21" t="str">
        <f>[2]底表!AV77</f>
        <v>少1起</v>
      </c>
      <c r="M77" s="21">
        <f>[2]底表!AW77</f>
        <v>1</v>
      </c>
      <c r="N77" s="21" t="str">
        <f>[2]底表!AX77</f>
        <v>少1起</v>
      </c>
      <c r="O77" s="21">
        <f>[2]底表!AY77</f>
        <v>0</v>
      </c>
      <c r="P77" s="21">
        <f>[2]底表!AZ77</f>
        <v>1</v>
      </c>
      <c r="Q77" s="21" t="str">
        <f>[2]底表!BA77</f>
        <v>少1起</v>
      </c>
      <c r="R77" s="21">
        <f>[2]底表!BB77</f>
        <v>1</v>
      </c>
      <c r="S77" s="21" t="str">
        <f>[2]底表!BC77</f>
        <v>少1起</v>
      </c>
      <c r="T77" s="21" t="str">
        <f>[2]底表!BD77</f>
        <v/>
      </c>
      <c r="U77" s="21" t="str">
        <f>[2]底表!BE77</f>
        <v/>
      </c>
      <c r="V77" s="21">
        <f>[2]底表!BF77</f>
        <v>2</v>
      </c>
      <c r="W77" s="21">
        <f>[2]底表!BG77</f>
        <v>0</v>
      </c>
      <c r="X77" s="21" t="str">
        <f>[2]底表!BH77</f>
        <v>多2起</v>
      </c>
      <c r="Y77" s="21">
        <f>[2]底表!BI77</f>
        <v>0</v>
      </c>
      <c r="Z77" s="21" t="str">
        <f>[2]底表!BJ77</f>
        <v>多2起</v>
      </c>
      <c r="AA77" s="21">
        <f>[2]底表!BK77</f>
        <v>1</v>
      </c>
      <c r="AB77" s="21">
        <f>[2]底表!BL77</f>
        <v>2</v>
      </c>
      <c r="AC77" s="21">
        <f>[2]底表!BM77</f>
        <v>0</v>
      </c>
      <c r="AD77" s="21" t="str">
        <f>[2]底表!BN77</f>
        <v>多2起</v>
      </c>
      <c r="AE77" s="21">
        <f>[2]底表!BO77</f>
        <v>0</v>
      </c>
      <c r="AF77" s="21" t="str">
        <f>[2]底表!BP77</f>
        <v>多2起</v>
      </c>
      <c r="AG77" s="21">
        <f>[2]底表!BT77</f>
        <v>2</v>
      </c>
      <c r="AH77" s="21">
        <f>[2]底表!BU77</f>
        <v>-0.5</v>
      </c>
      <c r="AI77" s="21">
        <f>[2]底表!BV77</f>
        <v>0.5</v>
      </c>
      <c r="AJ77" s="21">
        <f>[2]底表!BW77</f>
        <v>-1.5</v>
      </c>
      <c r="AK77" s="21" t="str">
        <f>[2]底表!BX77</f>
        <v/>
      </c>
      <c r="AL77" s="21" t="str">
        <f>[2]底表!BY77</f>
        <v/>
      </c>
      <c r="AM77" s="21">
        <f>[2]底表!BZ77</f>
        <v>0</v>
      </c>
      <c r="AN77" s="21">
        <f>[2]底表!CA77</f>
        <v>0</v>
      </c>
      <c r="AO77" s="21" t="str">
        <f>[2]底表!CB77</f>
        <v>持平</v>
      </c>
      <c r="AP77" s="21">
        <f>[2]底表!CC77</f>
        <v>0</v>
      </c>
      <c r="AQ77" s="21" t="str">
        <f>[2]底表!CD77</f>
        <v>持平</v>
      </c>
      <c r="AR77" s="21" t="str">
        <f>[2]底表!CE77</f>
        <v/>
      </c>
      <c r="AS77" s="21" t="str">
        <f>[2]底表!CF77</f>
        <v/>
      </c>
      <c r="AT77" s="21">
        <f>[2]底表!CG77</f>
        <v>14</v>
      </c>
      <c r="AU77" s="21">
        <f>[2]底表!CH77</f>
        <v>0</v>
      </c>
      <c r="AV77" s="21" t="str">
        <f>[2]底表!CI77</f>
        <v>多14人</v>
      </c>
      <c r="AW77" s="21">
        <f>[2]底表!CJ77</f>
        <v>57</v>
      </c>
      <c r="AX77" s="21">
        <f>[2]底表!CK77</f>
        <v>-0.7544</v>
      </c>
      <c r="AY77" s="21">
        <f>[2]底表!CL77</f>
        <v>700</v>
      </c>
      <c r="AZ77" s="21">
        <f>[2]底表!CM77</f>
        <v>700</v>
      </c>
      <c r="BA77" s="21" t="str">
        <f>[2]底表!CN77</f>
        <v/>
      </c>
      <c r="BB77" s="21">
        <f>[2]底表!CO77</f>
        <v>8</v>
      </c>
      <c r="BC77" s="21">
        <f>[2]底表!CP77</f>
        <v>1</v>
      </c>
      <c r="BD77" s="21">
        <f>[2]底表!CQ77</f>
        <v>7</v>
      </c>
      <c r="BE77" s="21">
        <f>[2]底表!CR77</f>
        <v>18</v>
      </c>
      <c r="BF77" s="21">
        <f>[2]底表!CS77</f>
        <v>-0.5556</v>
      </c>
      <c r="BG77" s="21">
        <f>[2]底表!CT77</f>
        <v>0.5714</v>
      </c>
      <c r="BH77" s="21" t="str">
        <f>[2]底表!CU77</f>
        <v/>
      </c>
      <c r="BI77" s="21">
        <f>[2]底表!CV77</f>
        <v>400</v>
      </c>
      <c r="BJ77" s="21">
        <f>[2]底表!CW77</f>
        <v>300</v>
      </c>
      <c r="BK77" s="21">
        <f>[2]底表!CX77</f>
        <v>3</v>
      </c>
      <c r="BL77" s="21">
        <f>[2]底表!CY77</f>
        <v>8</v>
      </c>
      <c r="BM77" s="21">
        <f>[2]底表!CZ77</f>
        <v>1</v>
      </c>
      <c r="BN77" s="23">
        <f>[2]底表!DA77</f>
        <v>7</v>
      </c>
      <c r="BO77" s="21">
        <f>[2]底表!DB77</f>
        <v>20</v>
      </c>
      <c r="BP77" s="21">
        <f>[2]底表!DC77</f>
        <v>-0.6</v>
      </c>
      <c r="BQ77" s="21">
        <f>[2]底表!DD77</f>
        <v>0.5714</v>
      </c>
      <c r="BR77" s="21" t="str">
        <f>[2]底表!DE77</f>
        <v/>
      </c>
      <c r="BS77" s="21">
        <f>[2]底表!DF77</f>
        <v>400</v>
      </c>
      <c r="BT77" s="21">
        <f>[2]底表!DG77</f>
        <v>300</v>
      </c>
      <c r="BU77" s="21">
        <f>[2]底表!DH77</f>
        <v>3</v>
      </c>
      <c r="BV77" s="21">
        <f>[2]底表!DI77</f>
        <v>0</v>
      </c>
      <c r="BW77" s="21">
        <f>[2]底表!DJ77</f>
        <v>0</v>
      </c>
      <c r="BX77" s="23" t="str">
        <f>[2]底表!DK77</f>
        <v>持平</v>
      </c>
      <c r="BY77" s="21">
        <f>[2]底表!DL77</f>
        <v>0</v>
      </c>
      <c r="BZ77" s="21" t="str">
        <f>[2]底表!DM77</f>
        <v>持平</v>
      </c>
      <c r="CA77" s="21">
        <f>[2]底表!DN77</f>
        <v>10</v>
      </c>
      <c r="CB77" s="21">
        <f>[2]底表!DO77</f>
        <v>0</v>
      </c>
      <c r="CC77" s="21" t="str">
        <f>[2]底表!DP77</f>
        <v>多10人</v>
      </c>
      <c r="CD77" s="21">
        <f>[2]底表!DQ77</f>
        <v>9</v>
      </c>
      <c r="CE77" s="21">
        <f>[2]底表!DR77</f>
        <v>0.1111</v>
      </c>
      <c r="CF77" s="21">
        <f>[2]底表!DS77</f>
        <v>10</v>
      </c>
      <c r="CG77" s="21">
        <f>[2]底表!DT77</f>
        <v>0</v>
      </c>
      <c r="CH77" s="21" t="str">
        <f>[2]底表!DU77</f>
        <v>多10人</v>
      </c>
      <c r="CI77" s="21">
        <f>[2]底表!DV77</f>
        <v>9</v>
      </c>
      <c r="CJ77" s="21">
        <f>[2]底表!DW77</f>
        <v>0.1111</v>
      </c>
      <c r="CK77" s="21">
        <f>[2]底表!DX77</f>
        <v>4</v>
      </c>
      <c r="CL77" s="21">
        <f>[2]底表!DY77</f>
        <v>0</v>
      </c>
      <c r="CM77" s="21" t="str">
        <f>[2]底表!DZ77</f>
        <v>多4人</v>
      </c>
      <c r="CN77" s="21">
        <f>[2]底表!EA77</f>
        <v>3</v>
      </c>
      <c r="CO77" s="21">
        <f>[2]底表!EB77</f>
        <v>0.3333</v>
      </c>
      <c r="CP77" s="21">
        <f>[2]底表!EC77</f>
        <v>2</v>
      </c>
      <c r="CQ77" s="21">
        <f>[2]底表!ED77</f>
        <v>1</v>
      </c>
      <c r="CR77" s="21">
        <f>[2]底表!EE77</f>
        <v>1</v>
      </c>
      <c r="CS77" s="21">
        <f>[2]底表!EF77</f>
        <v>3</v>
      </c>
      <c r="CT77" s="21">
        <f>[2]底表!EG77</f>
        <v>-0.3333</v>
      </c>
      <c r="CU77" s="21">
        <f>[2]底表!EH77</f>
        <v>0.25</v>
      </c>
      <c r="CV77" s="21">
        <f>[2]底表!EI77</f>
        <v>-0.75</v>
      </c>
      <c r="CW77" s="21">
        <f>[2]底表!EJ77</f>
        <v>100</v>
      </c>
      <c r="CX77" s="21">
        <f>[2]底表!EK77</f>
        <v>0</v>
      </c>
      <c r="CY77" s="21">
        <f>[2]底表!EL77</f>
        <v>0</v>
      </c>
      <c r="CZ77" s="21">
        <f>[2]底表!EM77</f>
        <v>2</v>
      </c>
      <c r="DA77" s="21">
        <f>[2]底表!EN77</f>
        <v>1</v>
      </c>
      <c r="DB77" s="21">
        <f>[2]底表!EO77</f>
        <v>1</v>
      </c>
      <c r="DC77" s="21">
        <f>[2]底表!EP77</f>
        <v>3</v>
      </c>
      <c r="DD77" s="21">
        <f>[2]底表!EQ77</f>
        <v>-0.3333</v>
      </c>
      <c r="DE77" s="21">
        <f>[2]底表!ER77</f>
        <v>2</v>
      </c>
      <c r="DF77" s="21">
        <f>[2]底表!ES77</f>
        <v>2</v>
      </c>
      <c r="DG77" s="23">
        <f>[2]底表!ET77</f>
        <v>0</v>
      </c>
      <c r="DH77" s="21">
        <f>[2]底表!EU77</f>
        <v>3</v>
      </c>
      <c r="DI77" s="21">
        <f>[2]底表!EV77</f>
        <v>-0.3333</v>
      </c>
      <c r="DJ77" s="21">
        <f>[2]底表!EW77</f>
        <v>0.25</v>
      </c>
      <c r="DK77" s="21">
        <f>[2]底表!EX77</f>
        <v>-1.75</v>
      </c>
      <c r="DL77" s="21">
        <f>[2]底表!EY77</f>
        <v>100</v>
      </c>
      <c r="DM77" s="21">
        <f>[2]底表!EZ77</f>
        <v>-100</v>
      </c>
      <c r="DN77" s="21">
        <f>[2]底表!FA77</f>
        <v>-0.5</v>
      </c>
      <c r="DO77" s="21">
        <f>[2]底表!BQ77</f>
        <v>1</v>
      </c>
      <c r="DP77" s="21">
        <f>[2]底表!BR77</f>
        <v>2</v>
      </c>
      <c r="DQ77" s="24">
        <f>[2]底表!BS77</f>
        <v>-0.5</v>
      </c>
    </row>
    <row r="78" s="2" customFormat="1" ht="32" hidden="1" customHeight="1" spans="1:121">
      <c r="A78" s="27" t="str">
        <f>[2]底表!A78</f>
        <v>涉恶</v>
      </c>
      <c r="B78" s="28" t="str">
        <f>[2]底表!B78</f>
        <v>新兴县</v>
      </c>
      <c r="C78" s="21">
        <f>[2]底表!AM78</f>
        <v>1</v>
      </c>
      <c r="D78" s="21">
        <f>[2]底表!AN78</f>
        <v>1</v>
      </c>
      <c r="E78" s="23">
        <f>[2]底表!AO78</f>
        <v>0</v>
      </c>
      <c r="F78" s="21">
        <f>[2]底表!AP78</f>
        <v>2</v>
      </c>
      <c r="G78" s="21">
        <f>[2]底表!AQ78</f>
        <v>-0.5</v>
      </c>
      <c r="H78" s="21">
        <f>[2]底表!AR78</f>
        <v>0.5</v>
      </c>
      <c r="I78" s="21">
        <f>[2]底表!AS78</f>
        <v>0.1667</v>
      </c>
      <c r="J78" s="21">
        <f>[2]底表!AT78</f>
        <v>1</v>
      </c>
      <c r="K78" s="21">
        <f>[2]底表!AU78</f>
        <v>1</v>
      </c>
      <c r="L78" s="21">
        <f>[2]底表!AV78</f>
        <v>0</v>
      </c>
      <c r="M78" s="21">
        <f>[2]底表!AW78</f>
        <v>2</v>
      </c>
      <c r="N78" s="21">
        <f>[2]底表!AX78</f>
        <v>-0.5</v>
      </c>
      <c r="O78" s="21">
        <f>[2]底表!AY78</f>
        <v>0</v>
      </c>
      <c r="P78" s="21">
        <f>[2]底表!AZ78</f>
        <v>0</v>
      </c>
      <c r="Q78" s="21" t="str">
        <f>[2]底表!BA78</f>
        <v>持平</v>
      </c>
      <c r="R78" s="21">
        <f>[2]底表!BB78</f>
        <v>2</v>
      </c>
      <c r="S78" s="21" t="str">
        <f>[2]底表!BC78</f>
        <v>少2起</v>
      </c>
      <c r="T78" s="21">
        <f>[2]底表!BD78</f>
        <v>0</v>
      </c>
      <c r="U78" s="21">
        <f>[2]底表!BE78</f>
        <v>0</v>
      </c>
      <c r="V78" s="21">
        <f>[2]底表!BF78</f>
        <v>1</v>
      </c>
      <c r="W78" s="21">
        <f>[2]底表!BG78</f>
        <v>2</v>
      </c>
      <c r="X78" s="21">
        <f>[2]底表!BH78</f>
        <v>-0.5</v>
      </c>
      <c r="Y78" s="21">
        <f>[2]底表!BI78</f>
        <v>0</v>
      </c>
      <c r="Z78" s="21" t="str">
        <f>[2]底表!BJ78</f>
        <v>多1起</v>
      </c>
      <c r="AA78" s="21">
        <f>[2]底表!BK78</f>
        <v>0.5</v>
      </c>
      <c r="AB78" s="21">
        <f>[2]底表!BL78</f>
        <v>1</v>
      </c>
      <c r="AC78" s="21">
        <f>[2]底表!BM78</f>
        <v>1</v>
      </c>
      <c r="AD78" s="21">
        <f>[2]底表!BN78</f>
        <v>0</v>
      </c>
      <c r="AE78" s="21">
        <f>[2]底表!BO78</f>
        <v>0</v>
      </c>
      <c r="AF78" s="21" t="str">
        <f>[2]底表!BP78</f>
        <v>多1起</v>
      </c>
      <c r="AG78" s="21">
        <f>[2]底表!BT78</f>
        <v>1</v>
      </c>
      <c r="AH78" s="21">
        <f>[2]底表!BU78</f>
        <v>0</v>
      </c>
      <c r="AI78" s="21">
        <f>[2]底表!BV78</f>
        <v>0.5</v>
      </c>
      <c r="AJ78" s="21">
        <f>[2]底表!BW78</f>
        <v>-0.5</v>
      </c>
      <c r="AK78" s="21">
        <f>[2]底表!BX78</f>
        <v>1</v>
      </c>
      <c r="AL78" s="21">
        <f>[2]底表!BY78</f>
        <v>-2</v>
      </c>
      <c r="AM78" s="21">
        <f>[2]底表!BZ78</f>
        <v>0</v>
      </c>
      <c r="AN78" s="21">
        <f>[2]底表!CA78</f>
        <v>0</v>
      </c>
      <c r="AO78" s="21" t="str">
        <f>[2]底表!CB78</f>
        <v>持平</v>
      </c>
      <c r="AP78" s="21">
        <f>[2]底表!CC78</f>
        <v>0</v>
      </c>
      <c r="AQ78" s="21" t="str">
        <f>[2]底表!CD78</f>
        <v>持平</v>
      </c>
      <c r="AR78" s="21" t="str">
        <f>[2]底表!CE78</f>
        <v/>
      </c>
      <c r="AS78" s="21" t="str">
        <f>[2]底表!CF78</f>
        <v/>
      </c>
      <c r="AT78" s="21">
        <f>[2]底表!CG78</f>
        <v>6</v>
      </c>
      <c r="AU78" s="21">
        <f>[2]底表!CH78</f>
        <v>17</v>
      </c>
      <c r="AV78" s="21">
        <f>[2]底表!CI78</f>
        <v>-0.6471</v>
      </c>
      <c r="AW78" s="21">
        <f>[2]底表!CJ78</f>
        <v>2</v>
      </c>
      <c r="AX78" s="21">
        <f>[2]底表!CK78</f>
        <v>2</v>
      </c>
      <c r="AY78" s="21">
        <f>[2]底表!CL78</f>
        <v>300</v>
      </c>
      <c r="AZ78" s="21">
        <f>[2]底表!CM78</f>
        <v>-267</v>
      </c>
      <c r="BA78" s="21">
        <f>[2]底表!CN78</f>
        <v>-0.4706</v>
      </c>
      <c r="BB78" s="21">
        <f>[2]底表!CO78</f>
        <v>6</v>
      </c>
      <c r="BC78" s="21">
        <f>[2]底表!CP78</f>
        <v>10</v>
      </c>
      <c r="BD78" s="21">
        <f>[2]底表!CQ78</f>
        <v>-0.4</v>
      </c>
      <c r="BE78" s="21">
        <f>[2]底表!CR78</f>
        <v>2</v>
      </c>
      <c r="BF78" s="21">
        <f>[2]底表!CS78</f>
        <v>2</v>
      </c>
      <c r="BG78" s="21">
        <f>[2]底表!CT78</f>
        <v>1</v>
      </c>
      <c r="BH78" s="21">
        <f>[2]底表!CU78</f>
        <v>0.4118</v>
      </c>
      <c r="BI78" s="21">
        <f>[2]底表!CV78</f>
        <v>300</v>
      </c>
      <c r="BJ78" s="21">
        <f>[2]底表!CW78</f>
        <v>-33</v>
      </c>
      <c r="BK78" s="21">
        <f>[2]底表!CX78</f>
        <v>-0.1</v>
      </c>
      <c r="BL78" s="21">
        <f>[2]底表!CY78</f>
        <v>6</v>
      </c>
      <c r="BM78" s="21">
        <f>[2]底表!CZ78</f>
        <v>10</v>
      </c>
      <c r="BN78" s="23">
        <f>[2]底表!DA78</f>
        <v>-0.4</v>
      </c>
      <c r="BO78" s="21">
        <f>[2]底表!DB78</f>
        <v>2</v>
      </c>
      <c r="BP78" s="21">
        <f>[2]底表!DC78</f>
        <v>2</v>
      </c>
      <c r="BQ78" s="21">
        <f>[2]底表!DD78</f>
        <v>1</v>
      </c>
      <c r="BR78" s="21">
        <f>[2]底表!DE78</f>
        <v>0.4118</v>
      </c>
      <c r="BS78" s="21">
        <f>[2]底表!DF78</f>
        <v>300</v>
      </c>
      <c r="BT78" s="21">
        <f>[2]底表!DG78</f>
        <v>-33</v>
      </c>
      <c r="BU78" s="21">
        <f>[2]底表!DH78</f>
        <v>-0.1</v>
      </c>
      <c r="BV78" s="21">
        <f>[2]底表!DI78</f>
        <v>1</v>
      </c>
      <c r="BW78" s="21">
        <f>[2]底表!DJ78</f>
        <v>20</v>
      </c>
      <c r="BX78" s="23">
        <f>[2]底表!DK78</f>
        <v>-0.95</v>
      </c>
      <c r="BY78" s="21">
        <f>[2]底表!DL78</f>
        <v>14</v>
      </c>
      <c r="BZ78" s="21">
        <f>[2]底表!DM78</f>
        <v>-0.9286</v>
      </c>
      <c r="CA78" s="21">
        <f>[2]底表!DN78</f>
        <v>3</v>
      </c>
      <c r="CB78" s="21">
        <f>[2]底表!DO78</f>
        <v>1</v>
      </c>
      <c r="CC78" s="21">
        <f>[2]底表!DP78</f>
        <v>2</v>
      </c>
      <c r="CD78" s="21">
        <f>[2]底表!DQ78</f>
        <v>0</v>
      </c>
      <c r="CE78" s="21" t="str">
        <f>[2]底表!DR78</f>
        <v>多3人</v>
      </c>
      <c r="CF78" s="21">
        <f>[2]底表!DS78</f>
        <v>3</v>
      </c>
      <c r="CG78" s="21">
        <f>[2]底表!DT78</f>
        <v>1</v>
      </c>
      <c r="CH78" s="21">
        <f>[2]底表!DU78</f>
        <v>2</v>
      </c>
      <c r="CI78" s="21">
        <f>[2]底表!DV78</f>
        <v>0</v>
      </c>
      <c r="CJ78" s="21" t="str">
        <f>[2]底表!DW78</f>
        <v>多3人</v>
      </c>
      <c r="CK78" s="21">
        <f>[2]底表!DX78</f>
        <v>3</v>
      </c>
      <c r="CL78" s="21">
        <f>[2]底表!DY78</f>
        <v>1</v>
      </c>
      <c r="CM78" s="21">
        <f>[2]底表!DZ78</f>
        <v>2</v>
      </c>
      <c r="CN78" s="21">
        <f>[2]底表!EA78</f>
        <v>2</v>
      </c>
      <c r="CO78" s="21">
        <f>[2]底表!EB78</f>
        <v>0.5</v>
      </c>
      <c r="CP78" s="21">
        <f>[2]底表!EC78</f>
        <v>0</v>
      </c>
      <c r="CQ78" s="21">
        <f>[2]底表!ED78</f>
        <v>0</v>
      </c>
      <c r="CR78" s="21" t="str">
        <f>[2]底表!EE78</f>
        <v>持平</v>
      </c>
      <c r="CS78" s="21">
        <f>[2]底表!EF78</f>
        <v>0</v>
      </c>
      <c r="CT78" s="21" t="str">
        <f>[2]底表!EG78</f>
        <v>持平</v>
      </c>
      <c r="CU78" s="21">
        <f>[2]底表!EH78</f>
        <v>0</v>
      </c>
      <c r="CV78" s="21">
        <f>[2]底表!EI78</f>
        <v>0</v>
      </c>
      <c r="CW78" s="21">
        <f>[2]底表!EJ78</f>
        <v>0</v>
      </c>
      <c r="CX78" s="21">
        <f>[2]底表!EK78</f>
        <v>0</v>
      </c>
      <c r="CY78" s="21" t="str">
        <f>[2]底表!EL78</f>
        <v/>
      </c>
      <c r="CZ78" s="21">
        <f>[2]底表!EM78</f>
        <v>0</v>
      </c>
      <c r="DA78" s="21">
        <f>[2]底表!EN78</f>
        <v>0</v>
      </c>
      <c r="DB78" s="21" t="str">
        <f>[2]底表!EO78</f>
        <v>持平</v>
      </c>
      <c r="DC78" s="21">
        <f>[2]底表!EP78</f>
        <v>0</v>
      </c>
      <c r="DD78" s="21" t="str">
        <f>[2]底表!EQ78</f>
        <v>持平</v>
      </c>
      <c r="DE78" s="21">
        <f>[2]底表!ER78</f>
        <v>1</v>
      </c>
      <c r="DF78" s="21">
        <f>[2]底表!ES78</f>
        <v>3</v>
      </c>
      <c r="DG78" s="23">
        <f>[2]底表!ET78</f>
        <v>-0.6667</v>
      </c>
      <c r="DH78" s="21">
        <f>[2]底表!EU78</f>
        <v>2</v>
      </c>
      <c r="DI78" s="21">
        <f>[2]底表!EV78</f>
        <v>-0.5</v>
      </c>
      <c r="DJ78" s="21">
        <f>[2]底表!EW78</f>
        <v>0.1667</v>
      </c>
      <c r="DK78" s="21">
        <f>[2]底表!EX78</f>
        <v>-0.1333</v>
      </c>
      <c r="DL78" s="21">
        <f>[2]底表!EY78</f>
        <v>50</v>
      </c>
      <c r="DM78" s="21">
        <f>[2]底表!EZ78</f>
        <v>-50</v>
      </c>
      <c r="DN78" s="21">
        <f>[2]底表!FA78</f>
        <v>-0.5</v>
      </c>
      <c r="DO78" s="21">
        <f>[2]底表!BQ78</f>
        <v>1</v>
      </c>
      <c r="DP78" s="21">
        <f>[2]底表!BR78</f>
        <v>3</v>
      </c>
      <c r="DQ78" s="24">
        <f>[2]底表!BS78</f>
        <v>-0.6667</v>
      </c>
    </row>
    <row r="79" s="2" customFormat="1" ht="32" hidden="1" customHeight="1" spans="1:121">
      <c r="A79" s="27" t="str">
        <f>[2]底表!A79</f>
        <v>涉恶</v>
      </c>
      <c r="B79" s="28" t="str">
        <f>[2]底表!B79</f>
        <v>郁南县</v>
      </c>
      <c r="C79" s="21">
        <f>[2]底表!AM79</f>
        <v>2</v>
      </c>
      <c r="D79" s="21">
        <f>[2]底表!AN79</f>
        <v>1</v>
      </c>
      <c r="E79" s="23">
        <f>[2]底表!AO79</f>
        <v>1</v>
      </c>
      <c r="F79" s="21">
        <f>[2]底表!AP79</f>
        <v>0</v>
      </c>
      <c r="G79" s="21" t="str">
        <f>[2]底表!AQ79</f>
        <v>多2起</v>
      </c>
      <c r="H79" s="21">
        <f>[2]底表!AR79</f>
        <v>0.6667</v>
      </c>
      <c r="I79" s="21">
        <f>[2]底表!AS79</f>
        <v>-0.3333</v>
      </c>
      <c r="J79" s="21">
        <f>[2]底表!AT79</f>
        <v>2</v>
      </c>
      <c r="K79" s="21">
        <f>[2]底表!AU79</f>
        <v>1</v>
      </c>
      <c r="L79" s="21">
        <f>[2]底表!AV79</f>
        <v>1</v>
      </c>
      <c r="M79" s="21">
        <f>[2]底表!AW79</f>
        <v>0</v>
      </c>
      <c r="N79" s="21" t="str">
        <f>[2]底表!AX79</f>
        <v>多2起</v>
      </c>
      <c r="O79" s="21">
        <f>[2]底表!AY79</f>
        <v>2</v>
      </c>
      <c r="P79" s="21">
        <f>[2]底表!AZ79</f>
        <v>1</v>
      </c>
      <c r="Q79" s="21">
        <f>[2]底表!BA79</f>
        <v>1</v>
      </c>
      <c r="R79" s="21">
        <f>[2]底表!BB79</f>
        <v>0</v>
      </c>
      <c r="S79" s="21" t="str">
        <f>[2]底表!BC79</f>
        <v>多2起</v>
      </c>
      <c r="T79" s="21">
        <f>[2]底表!BD79</f>
        <v>1</v>
      </c>
      <c r="U79" s="21">
        <f>[2]底表!BE79</f>
        <v>0</v>
      </c>
      <c r="V79" s="21">
        <f>[2]底表!BF79</f>
        <v>1</v>
      </c>
      <c r="W79" s="21">
        <f>[2]底表!BG79</f>
        <v>0</v>
      </c>
      <c r="X79" s="21" t="str">
        <f>[2]底表!BH79</f>
        <v>多1起</v>
      </c>
      <c r="Y79" s="21">
        <f>[2]底表!BI79</f>
        <v>0</v>
      </c>
      <c r="Z79" s="21" t="str">
        <f>[2]底表!BJ79</f>
        <v>多1起</v>
      </c>
      <c r="AA79" s="21">
        <f>[2]底表!BK79</f>
        <v>0.3333</v>
      </c>
      <c r="AB79" s="21">
        <f>[2]底表!BL79</f>
        <v>0</v>
      </c>
      <c r="AC79" s="21">
        <f>[2]底表!BM79</f>
        <v>0</v>
      </c>
      <c r="AD79" s="21" t="str">
        <f>[2]底表!BN79</f>
        <v>持平</v>
      </c>
      <c r="AE79" s="21">
        <f>[2]底表!BO79</f>
        <v>0</v>
      </c>
      <c r="AF79" s="21" t="str">
        <f>[2]底表!BP79</f>
        <v>持平</v>
      </c>
      <c r="AG79" s="21">
        <f>[2]底表!BT79</f>
        <v>2</v>
      </c>
      <c r="AH79" s="21" t="str">
        <f>[2]底表!BU79</f>
        <v>少2起</v>
      </c>
      <c r="AI79" s="21">
        <f>[2]底表!BV79</f>
        <v>0</v>
      </c>
      <c r="AJ79" s="21">
        <f>[2]底表!BW79</f>
        <v>0</v>
      </c>
      <c r="AK79" s="21">
        <f>[2]底表!BX79</f>
        <v>0</v>
      </c>
      <c r="AL79" s="21">
        <f>[2]底表!BY79</f>
        <v>0</v>
      </c>
      <c r="AM79" s="21">
        <f>[2]底表!BZ79</f>
        <v>0</v>
      </c>
      <c r="AN79" s="21">
        <f>[2]底表!CA79</f>
        <v>0</v>
      </c>
      <c r="AO79" s="21" t="str">
        <f>[2]底表!CB79</f>
        <v>持平</v>
      </c>
      <c r="AP79" s="21">
        <f>[2]底表!CC79</f>
        <v>0</v>
      </c>
      <c r="AQ79" s="21" t="str">
        <f>[2]底表!CD79</f>
        <v>持平</v>
      </c>
      <c r="AR79" s="21" t="str">
        <f>[2]底表!CE79</f>
        <v/>
      </c>
      <c r="AS79" s="21" t="str">
        <f>[2]底表!CF79</f>
        <v/>
      </c>
      <c r="AT79" s="21">
        <f>[2]底表!CG79</f>
        <v>3</v>
      </c>
      <c r="AU79" s="21">
        <f>[2]底表!CH79</f>
        <v>4</v>
      </c>
      <c r="AV79" s="21">
        <f>[2]底表!CI79</f>
        <v>-0.25</v>
      </c>
      <c r="AW79" s="21">
        <f>[2]底表!CJ79</f>
        <v>0</v>
      </c>
      <c r="AX79" s="21" t="str">
        <f>[2]底表!CK79</f>
        <v>多3人</v>
      </c>
      <c r="AY79" s="21">
        <f>[2]底表!CL79</f>
        <v>100</v>
      </c>
      <c r="AZ79" s="21">
        <f>[2]底表!CM79</f>
        <v>-300</v>
      </c>
      <c r="BA79" s="21">
        <f>[2]底表!CN79</f>
        <v>-0.75</v>
      </c>
      <c r="BB79" s="21">
        <f>[2]底表!CO79</f>
        <v>3</v>
      </c>
      <c r="BC79" s="21">
        <f>[2]底表!CP79</f>
        <v>1</v>
      </c>
      <c r="BD79" s="21">
        <f>[2]底表!CQ79</f>
        <v>2</v>
      </c>
      <c r="BE79" s="21">
        <f>[2]底表!CR79</f>
        <v>0</v>
      </c>
      <c r="BF79" s="21" t="str">
        <f>[2]底表!CS79</f>
        <v>多3人</v>
      </c>
      <c r="BG79" s="21">
        <f>[2]底表!CT79</f>
        <v>1</v>
      </c>
      <c r="BH79" s="21">
        <f>[2]底表!CU79</f>
        <v>0.75</v>
      </c>
      <c r="BI79" s="21">
        <f>[2]底表!CV79</f>
        <v>100</v>
      </c>
      <c r="BJ79" s="21">
        <f>[2]底表!CW79</f>
        <v>0</v>
      </c>
      <c r="BK79" s="21">
        <f>[2]底表!CX79</f>
        <v>0</v>
      </c>
      <c r="BL79" s="21">
        <f>[2]底表!CY79</f>
        <v>4</v>
      </c>
      <c r="BM79" s="21">
        <f>[2]底表!CZ79</f>
        <v>1</v>
      </c>
      <c r="BN79" s="23">
        <f>[2]底表!DA79</f>
        <v>3</v>
      </c>
      <c r="BO79" s="21">
        <f>[2]底表!DB79</f>
        <v>0</v>
      </c>
      <c r="BP79" s="21" t="str">
        <f>[2]底表!DC79</f>
        <v>多4人</v>
      </c>
      <c r="BQ79" s="21">
        <f>[2]底表!DD79</f>
        <v>1.3333</v>
      </c>
      <c r="BR79" s="21">
        <f>[2]底表!DE79</f>
        <v>1.0833</v>
      </c>
      <c r="BS79" s="21">
        <f>[2]底表!DF79</f>
        <v>133</v>
      </c>
      <c r="BT79" s="21">
        <f>[2]底表!DG79</f>
        <v>33</v>
      </c>
      <c r="BU79" s="21">
        <f>[2]底表!DH79</f>
        <v>0.3333</v>
      </c>
      <c r="BV79" s="21">
        <f>[2]底表!DI79</f>
        <v>3</v>
      </c>
      <c r="BW79" s="21">
        <f>[2]底表!DJ79</f>
        <v>0</v>
      </c>
      <c r="BX79" s="23" t="str">
        <f>[2]底表!DK79</f>
        <v>多3人</v>
      </c>
      <c r="BY79" s="21">
        <f>[2]底表!DL79</f>
        <v>9</v>
      </c>
      <c r="BZ79" s="21">
        <f>[2]底表!DM79</f>
        <v>-0.6667</v>
      </c>
      <c r="CA79" s="21">
        <f>[2]底表!DN79</f>
        <v>2</v>
      </c>
      <c r="CB79" s="21">
        <f>[2]底表!DO79</f>
        <v>2</v>
      </c>
      <c r="CC79" s="21">
        <f>[2]底表!DP79</f>
        <v>0</v>
      </c>
      <c r="CD79" s="21">
        <f>[2]底表!DQ79</f>
        <v>1</v>
      </c>
      <c r="CE79" s="21">
        <f>[2]底表!DR79</f>
        <v>1</v>
      </c>
      <c r="CF79" s="21">
        <f>[2]底表!DS79</f>
        <v>2</v>
      </c>
      <c r="CG79" s="21">
        <f>[2]底表!DT79</f>
        <v>2</v>
      </c>
      <c r="CH79" s="21">
        <f>[2]底表!DU79</f>
        <v>0</v>
      </c>
      <c r="CI79" s="21">
        <f>[2]底表!DV79</f>
        <v>1</v>
      </c>
      <c r="CJ79" s="21">
        <f>[2]底表!DW79</f>
        <v>1</v>
      </c>
      <c r="CK79" s="21">
        <f>[2]底表!DX79</f>
        <v>1</v>
      </c>
      <c r="CL79" s="21">
        <f>[2]底表!DY79</f>
        <v>0</v>
      </c>
      <c r="CM79" s="21" t="str">
        <f>[2]底表!DZ79</f>
        <v>多1人</v>
      </c>
      <c r="CN79" s="21">
        <f>[2]底表!EA79</f>
        <v>6</v>
      </c>
      <c r="CO79" s="21">
        <f>[2]底表!EB79</f>
        <v>-0.8333</v>
      </c>
      <c r="CP79" s="21">
        <f>[2]底表!EC79</f>
        <v>3</v>
      </c>
      <c r="CQ79" s="21">
        <f>[2]底表!ED79</f>
        <v>0</v>
      </c>
      <c r="CR79" s="21" t="str">
        <f>[2]底表!EE79</f>
        <v>多3人</v>
      </c>
      <c r="CS79" s="21">
        <f>[2]底表!EF79</f>
        <v>1</v>
      </c>
      <c r="CT79" s="21">
        <f>[2]底表!EG79</f>
        <v>2</v>
      </c>
      <c r="CU79" s="21">
        <f>[2]底表!EH79</f>
        <v>1</v>
      </c>
      <c r="CV79" s="21">
        <f>[2]底表!EI79</f>
        <v>1</v>
      </c>
      <c r="CW79" s="21">
        <f>[2]底表!EJ79</f>
        <v>100</v>
      </c>
      <c r="CX79" s="21">
        <f>[2]底表!EK79</f>
        <v>100</v>
      </c>
      <c r="CY79" s="21" t="str">
        <f>[2]底表!EL79</f>
        <v/>
      </c>
      <c r="CZ79" s="21">
        <f>[2]底表!EM79</f>
        <v>3</v>
      </c>
      <c r="DA79" s="21">
        <f>[2]底表!EN79</f>
        <v>0</v>
      </c>
      <c r="DB79" s="21" t="str">
        <f>[2]底表!EO79</f>
        <v>多3人</v>
      </c>
      <c r="DC79" s="21">
        <f>[2]底表!EP79</f>
        <v>1</v>
      </c>
      <c r="DD79" s="21">
        <f>[2]底表!EQ79</f>
        <v>2</v>
      </c>
      <c r="DE79" s="21">
        <f>[2]底表!ER79</f>
        <v>0</v>
      </c>
      <c r="DF79" s="21">
        <f>[2]底表!ES79</f>
        <v>0</v>
      </c>
      <c r="DG79" s="23" t="str">
        <f>[2]底表!ET79</f>
        <v>持平</v>
      </c>
      <c r="DH79" s="21">
        <f>[2]底表!EU79</f>
        <v>5</v>
      </c>
      <c r="DI79" s="21" t="str">
        <f>[2]底表!EV79</f>
        <v>少5人</v>
      </c>
      <c r="DJ79" s="21">
        <f>[2]底表!EW79</f>
        <v>0</v>
      </c>
      <c r="DK79" s="21">
        <f>[2]底表!EX79</f>
        <v>0</v>
      </c>
      <c r="DL79" s="21">
        <f>[2]底表!EY79</f>
        <v>0</v>
      </c>
      <c r="DM79" s="21">
        <f>[2]底表!EZ79</f>
        <v>0</v>
      </c>
      <c r="DN79" s="21" t="str">
        <f>[2]底表!FA79</f>
        <v/>
      </c>
      <c r="DO79" s="21">
        <f>[2]底表!BQ79</f>
        <v>0</v>
      </c>
      <c r="DP79" s="21">
        <f>[2]底表!BR79</f>
        <v>0</v>
      </c>
      <c r="DQ79" s="24" t="str">
        <f>[2]底表!BS79</f>
        <v>持平</v>
      </c>
    </row>
    <row r="80" s="2" customFormat="1" ht="32" hidden="1" customHeight="1" spans="1:121">
      <c r="A80" s="27" t="str">
        <f>[2]底表!A80</f>
        <v>涉恶</v>
      </c>
      <c r="B80" s="28" t="str">
        <f>[2]底表!B80</f>
        <v>罗定市</v>
      </c>
      <c r="C80" s="21">
        <f>[2]底表!AM80</f>
        <v>3</v>
      </c>
      <c r="D80" s="21">
        <f>[2]底表!AN80</f>
        <v>2</v>
      </c>
      <c r="E80" s="23">
        <f>[2]底表!AO80</f>
        <v>0.5</v>
      </c>
      <c r="F80" s="21">
        <f>[2]底表!AP80</f>
        <v>3</v>
      </c>
      <c r="G80" s="21">
        <f>[2]底表!AQ80</f>
        <v>0</v>
      </c>
      <c r="H80" s="21">
        <f>[2]底表!AR80</f>
        <v>1.5</v>
      </c>
      <c r="I80" s="21">
        <f>[2]底表!AS80</f>
        <v>-0.5</v>
      </c>
      <c r="J80" s="21">
        <f>[2]底表!AT80</f>
        <v>0</v>
      </c>
      <c r="K80" s="21">
        <f>[2]底表!AU80</f>
        <v>1</v>
      </c>
      <c r="L80" s="21" t="str">
        <f>[2]底表!AV80</f>
        <v>少1起</v>
      </c>
      <c r="M80" s="21">
        <f>[2]底表!AW80</f>
        <v>1</v>
      </c>
      <c r="N80" s="21" t="str">
        <f>[2]底表!AX80</f>
        <v>少1起</v>
      </c>
      <c r="O80" s="21">
        <f>[2]底表!AY80</f>
        <v>0</v>
      </c>
      <c r="P80" s="21">
        <f>[2]底表!AZ80</f>
        <v>0</v>
      </c>
      <c r="Q80" s="21" t="str">
        <f>[2]底表!BA80</f>
        <v>持平</v>
      </c>
      <c r="R80" s="21">
        <f>[2]底表!BB80</f>
        <v>1</v>
      </c>
      <c r="S80" s="21" t="str">
        <f>[2]底表!BC80</f>
        <v>少1起</v>
      </c>
      <c r="T80" s="21" t="str">
        <f>[2]底表!BD80</f>
        <v/>
      </c>
      <c r="U80" s="21" t="str">
        <f>[2]底表!BE80</f>
        <v/>
      </c>
      <c r="V80" s="21">
        <f>[2]底表!BF80</f>
        <v>2</v>
      </c>
      <c r="W80" s="21">
        <f>[2]底表!BG80</f>
        <v>0</v>
      </c>
      <c r="X80" s="21" t="str">
        <f>[2]底表!BH80</f>
        <v>多2起</v>
      </c>
      <c r="Y80" s="21">
        <f>[2]底表!BI80</f>
        <v>0</v>
      </c>
      <c r="Z80" s="21" t="str">
        <f>[2]底表!BJ80</f>
        <v>多2起</v>
      </c>
      <c r="AA80" s="21">
        <f>[2]底表!BK80</f>
        <v>1</v>
      </c>
      <c r="AB80" s="21">
        <f>[2]底表!BL80</f>
        <v>3</v>
      </c>
      <c r="AC80" s="21">
        <f>[2]底表!BM80</f>
        <v>2</v>
      </c>
      <c r="AD80" s="21">
        <f>[2]底表!BN80</f>
        <v>0.5</v>
      </c>
      <c r="AE80" s="21">
        <f>[2]底表!BO80</f>
        <v>2</v>
      </c>
      <c r="AF80" s="21">
        <f>[2]底表!BP80</f>
        <v>0.5</v>
      </c>
      <c r="AG80" s="21">
        <f>[2]底表!BT80</f>
        <v>4</v>
      </c>
      <c r="AH80" s="21" t="str">
        <f>[2]底表!BU80</f>
        <v>少4起</v>
      </c>
      <c r="AI80" s="21">
        <f>[2]底表!BV80</f>
        <v>0</v>
      </c>
      <c r="AJ80" s="21">
        <f>[2]底表!BW80</f>
        <v>-1</v>
      </c>
      <c r="AK80" s="21" t="str">
        <f>[2]底表!BX80</f>
        <v/>
      </c>
      <c r="AL80" s="21" t="str">
        <f>[2]底表!BY80</f>
        <v/>
      </c>
      <c r="AM80" s="21">
        <f>[2]底表!BZ80</f>
        <v>0</v>
      </c>
      <c r="AN80" s="21">
        <f>[2]底表!CA80</f>
        <v>0</v>
      </c>
      <c r="AO80" s="21" t="str">
        <f>[2]底表!CB80</f>
        <v>持平</v>
      </c>
      <c r="AP80" s="21">
        <f>[2]底表!CC80</f>
        <v>0</v>
      </c>
      <c r="AQ80" s="21" t="str">
        <f>[2]底表!CD80</f>
        <v>持平</v>
      </c>
      <c r="AR80" s="21" t="str">
        <f>[2]底表!CE80</f>
        <v/>
      </c>
      <c r="AS80" s="21" t="str">
        <f>[2]底表!CF80</f>
        <v/>
      </c>
      <c r="AT80" s="21">
        <f>[2]底表!CG80</f>
        <v>13</v>
      </c>
      <c r="AU80" s="21">
        <f>[2]底表!CH80</f>
        <v>6</v>
      </c>
      <c r="AV80" s="21">
        <f>[2]底表!CI80</f>
        <v>1.1667</v>
      </c>
      <c r="AW80" s="21">
        <f>[2]底表!CJ80</f>
        <v>24</v>
      </c>
      <c r="AX80" s="21">
        <f>[2]底表!CK80</f>
        <v>-0.4583</v>
      </c>
      <c r="AY80" s="21">
        <f>[2]底表!CL80</f>
        <v>650</v>
      </c>
      <c r="AZ80" s="21">
        <f>[2]底表!CM80</f>
        <v>50</v>
      </c>
      <c r="BA80" s="21">
        <f>[2]底表!CN80</f>
        <v>0.0833</v>
      </c>
      <c r="BB80" s="21">
        <f>[2]底表!CO80</f>
        <v>8</v>
      </c>
      <c r="BC80" s="21">
        <f>[2]底表!CP80</f>
        <v>17</v>
      </c>
      <c r="BD80" s="21">
        <f>[2]底表!CQ80</f>
        <v>-0.5294</v>
      </c>
      <c r="BE80" s="21">
        <f>[2]底表!CR80</f>
        <v>0</v>
      </c>
      <c r="BF80" s="21" t="str">
        <f>[2]底表!CS80</f>
        <v>多8人</v>
      </c>
      <c r="BG80" s="21">
        <f>[2]底表!CT80</f>
        <v>0.6154</v>
      </c>
      <c r="BH80" s="21">
        <f>[2]底表!CU80</f>
        <v>-2.2179</v>
      </c>
      <c r="BI80" s="21">
        <f>[2]底表!CV80</f>
        <v>400</v>
      </c>
      <c r="BJ80" s="21">
        <f>[2]底表!CW80</f>
        <v>-1300</v>
      </c>
      <c r="BK80" s="21">
        <f>[2]底表!CX80</f>
        <v>-0.7647</v>
      </c>
      <c r="BL80" s="21">
        <f>[2]底表!CY80</f>
        <v>8</v>
      </c>
      <c r="BM80" s="21">
        <f>[2]底表!CZ80</f>
        <v>20</v>
      </c>
      <c r="BN80" s="23">
        <f>[2]底表!DA80</f>
        <v>-0.6</v>
      </c>
      <c r="BO80" s="21">
        <f>[2]底表!DB80</f>
        <v>0</v>
      </c>
      <c r="BP80" s="21" t="str">
        <f>[2]底表!DC80</f>
        <v>多8人</v>
      </c>
      <c r="BQ80" s="21">
        <f>[2]底表!DD80</f>
        <v>0.6154</v>
      </c>
      <c r="BR80" s="21">
        <f>[2]底表!DE80</f>
        <v>-2.7179</v>
      </c>
      <c r="BS80" s="21">
        <f>[2]底表!DF80</f>
        <v>400</v>
      </c>
      <c r="BT80" s="21">
        <f>[2]底表!DG80</f>
        <v>-1600</v>
      </c>
      <c r="BU80" s="21">
        <f>[2]底表!DH80</f>
        <v>-0.8</v>
      </c>
      <c r="BV80" s="21">
        <f>[2]底表!DI80</f>
        <v>17</v>
      </c>
      <c r="BW80" s="21">
        <f>[2]底表!DJ80</f>
        <v>0</v>
      </c>
      <c r="BX80" s="23" t="str">
        <f>[2]底表!DK80</f>
        <v>多17人</v>
      </c>
      <c r="BY80" s="21">
        <f>[2]底表!DL80</f>
        <v>26</v>
      </c>
      <c r="BZ80" s="21">
        <f>[2]底表!DM80</f>
        <v>-0.3462</v>
      </c>
      <c r="CA80" s="21">
        <f>[2]底表!DN80</f>
        <v>1</v>
      </c>
      <c r="CB80" s="21">
        <f>[2]底表!DO80</f>
        <v>5</v>
      </c>
      <c r="CC80" s="21">
        <f>[2]底表!DP80</f>
        <v>-0.8</v>
      </c>
      <c r="CD80" s="21">
        <f>[2]底表!DQ80</f>
        <v>1</v>
      </c>
      <c r="CE80" s="21">
        <f>[2]底表!DR80</f>
        <v>0</v>
      </c>
      <c r="CF80" s="21">
        <f>[2]底表!DS80</f>
        <v>1</v>
      </c>
      <c r="CG80" s="21">
        <f>[2]底表!DT80</f>
        <v>5</v>
      </c>
      <c r="CH80" s="21">
        <f>[2]底表!DU80</f>
        <v>-0.8</v>
      </c>
      <c r="CI80" s="21">
        <f>[2]底表!DV80</f>
        <v>1</v>
      </c>
      <c r="CJ80" s="21">
        <f>[2]底表!DW80</f>
        <v>0</v>
      </c>
      <c r="CK80" s="21">
        <f>[2]底表!DX80</f>
        <v>12</v>
      </c>
      <c r="CL80" s="21">
        <f>[2]底表!DY80</f>
        <v>1</v>
      </c>
      <c r="CM80" s="21">
        <f>[2]底表!DZ80</f>
        <v>11</v>
      </c>
      <c r="CN80" s="21">
        <f>[2]底表!EA80</f>
        <v>13</v>
      </c>
      <c r="CO80" s="21">
        <f>[2]底表!EB80</f>
        <v>-0.0769</v>
      </c>
      <c r="CP80" s="21">
        <f>[2]底表!EC80</f>
        <v>9</v>
      </c>
      <c r="CQ80" s="21">
        <f>[2]底表!ED80</f>
        <v>1</v>
      </c>
      <c r="CR80" s="21">
        <f>[2]底表!EE80</f>
        <v>8</v>
      </c>
      <c r="CS80" s="21">
        <f>[2]底表!EF80</f>
        <v>10</v>
      </c>
      <c r="CT80" s="21">
        <f>[2]底表!EG80</f>
        <v>-0.1</v>
      </c>
      <c r="CU80" s="21">
        <f>[2]底表!EH80</f>
        <v>1.125</v>
      </c>
      <c r="CV80" s="21">
        <f>[2]底表!EI80</f>
        <v>1.0662</v>
      </c>
      <c r="CW80" s="21">
        <f>[2]底表!EJ80</f>
        <v>450</v>
      </c>
      <c r="CX80" s="21">
        <f>[2]底表!EK80</f>
        <v>350</v>
      </c>
      <c r="CY80" s="21">
        <f>[2]底表!EL80</f>
        <v>3.5</v>
      </c>
      <c r="CZ80" s="21">
        <f>[2]底表!EM80</f>
        <v>9</v>
      </c>
      <c r="DA80" s="21">
        <f>[2]底表!EN80</f>
        <v>1</v>
      </c>
      <c r="DB80" s="21">
        <f>[2]底表!EO80</f>
        <v>8</v>
      </c>
      <c r="DC80" s="21">
        <f>[2]底表!EP80</f>
        <v>10</v>
      </c>
      <c r="DD80" s="21">
        <f>[2]底表!EQ80</f>
        <v>-0.1</v>
      </c>
      <c r="DE80" s="21">
        <f>[2]底表!ER80</f>
        <v>1</v>
      </c>
      <c r="DF80" s="21">
        <f>[2]底表!ES80</f>
        <v>1</v>
      </c>
      <c r="DG80" s="23">
        <f>[2]底表!ET80</f>
        <v>0</v>
      </c>
      <c r="DH80" s="21">
        <f>[2]底表!EU80</f>
        <v>5</v>
      </c>
      <c r="DI80" s="21">
        <f>[2]底表!EV80</f>
        <v>-0.8</v>
      </c>
      <c r="DJ80" s="21">
        <f>[2]底表!EW80</f>
        <v>0.125</v>
      </c>
      <c r="DK80" s="21">
        <f>[2]底表!EX80</f>
        <v>0.0662</v>
      </c>
      <c r="DL80" s="21">
        <f>[2]底表!EY80</f>
        <v>50</v>
      </c>
      <c r="DM80" s="21">
        <f>[2]底表!EZ80</f>
        <v>-50</v>
      </c>
      <c r="DN80" s="21">
        <f>[2]底表!FA80</f>
        <v>-0.5</v>
      </c>
      <c r="DO80" s="21">
        <f>[2]底表!BQ80</f>
        <v>0</v>
      </c>
      <c r="DP80" s="21">
        <f>[2]底表!BR80</f>
        <v>1</v>
      </c>
      <c r="DQ80" s="24" t="str">
        <f>[2]底表!BS80</f>
        <v>少1起</v>
      </c>
    </row>
    <row r="81" s="2" customFormat="1" ht="32" hidden="1" customHeight="1" spans="1:121">
      <c r="A81" s="27" t="str">
        <f>[2]底表!A81</f>
        <v>入室盗窃</v>
      </c>
      <c r="B81" s="28" t="str">
        <f>[2]底表!B81</f>
        <v>全省</v>
      </c>
      <c r="C81" s="21">
        <f>[2]底表!AM81</f>
        <v>18</v>
      </c>
      <c r="D81" s="21">
        <f>[2]底表!AN81</f>
        <v>9</v>
      </c>
      <c r="E81" s="23">
        <f>[2]底表!AO81</f>
        <v>1</v>
      </c>
      <c r="F81" s="21">
        <f>[2]底表!AP81</f>
        <v>48</v>
      </c>
      <c r="G81" s="21">
        <f>[2]底表!AQ81</f>
        <v>-0.625</v>
      </c>
      <c r="H81" s="21" t="str">
        <f>[2]底表!AR81</f>
        <v/>
      </c>
      <c r="I81" s="21" t="str">
        <f>[2]底表!AS81</f>
        <v/>
      </c>
      <c r="J81" s="21">
        <f>[2]底表!AT81</f>
        <v>0</v>
      </c>
      <c r="K81" s="21">
        <f>[2]底表!AU81</f>
        <v>1</v>
      </c>
      <c r="L81" s="21" t="str">
        <f>[2]底表!AV81</f>
        <v>少1起</v>
      </c>
      <c r="M81" s="21">
        <f>[2]底表!AW81</f>
        <v>0</v>
      </c>
      <c r="N81" s="21" t="str">
        <f>[2]底表!AX81</f>
        <v>持平</v>
      </c>
      <c r="O81" s="21">
        <f>[2]底表!AY81</f>
        <v>0</v>
      </c>
      <c r="P81" s="21">
        <f>[2]底表!AZ81</f>
        <v>1</v>
      </c>
      <c r="Q81" s="21" t="str">
        <f>[2]底表!BA81</f>
        <v>少1起</v>
      </c>
      <c r="R81" s="21">
        <f>[2]底表!BB81</f>
        <v>0</v>
      </c>
      <c r="S81" s="21" t="str">
        <f>[2]底表!BC81</f>
        <v>持平</v>
      </c>
      <c r="T81" s="21" t="str">
        <f>[2]底表!BD81</f>
        <v/>
      </c>
      <c r="U81" s="21" t="str">
        <f>[2]底表!BE81</f>
        <v/>
      </c>
      <c r="V81" s="21">
        <f>[2]底表!BF81</f>
        <v>0</v>
      </c>
      <c r="W81" s="21">
        <f>[2]底表!BG81</f>
        <v>0</v>
      </c>
      <c r="X81" s="21" t="str">
        <f>[2]底表!BH81</f>
        <v>持平</v>
      </c>
      <c r="Y81" s="21">
        <f>[2]底表!BI81</f>
        <v>1</v>
      </c>
      <c r="Z81" s="21" t="str">
        <f>[2]底表!BJ81</f>
        <v>少1起</v>
      </c>
      <c r="AA81" s="21" t="str">
        <f>[2]底表!BK81</f>
        <v/>
      </c>
      <c r="AB81" s="21">
        <f>[2]底表!BL81</f>
        <v>18</v>
      </c>
      <c r="AC81" s="21">
        <f>[2]底表!BM81</f>
        <v>8</v>
      </c>
      <c r="AD81" s="21">
        <f>[2]底表!BN81</f>
        <v>1.25</v>
      </c>
      <c r="AE81" s="21">
        <f>[2]底表!BO81</f>
        <v>48</v>
      </c>
      <c r="AF81" s="21">
        <f>[2]底表!BP81</f>
        <v>-0.625</v>
      </c>
      <c r="AG81" s="21">
        <f>[2]底表!BT81</f>
        <v>5</v>
      </c>
      <c r="AH81" s="21">
        <f>[2]底表!BU81</f>
        <v>-0.4</v>
      </c>
      <c r="AI81" s="21" t="str">
        <f>[2]底表!BV81</f>
        <v/>
      </c>
      <c r="AJ81" s="21" t="str">
        <f>[2]底表!BW81</f>
        <v/>
      </c>
      <c r="AK81" s="21" t="str">
        <f>[2]底表!BX81</f>
        <v/>
      </c>
      <c r="AL81" s="21" t="str">
        <f>[2]底表!BY81</f>
        <v/>
      </c>
      <c r="AM81" s="21">
        <f>[2]底表!BZ81</f>
        <v>0</v>
      </c>
      <c r="AN81" s="21">
        <f>[2]底表!CA81</f>
        <v>0</v>
      </c>
      <c r="AO81" s="21" t="str">
        <f>[2]底表!CB81</f>
        <v>持平</v>
      </c>
      <c r="AP81" s="21">
        <f>[2]底表!CC81</f>
        <v>0</v>
      </c>
      <c r="AQ81" s="21" t="str">
        <f>[2]底表!CD81</f>
        <v>持平</v>
      </c>
      <c r="AR81" s="21" t="str">
        <f>[2]底表!CE81</f>
        <v/>
      </c>
      <c r="AS81" s="21" t="str">
        <f>[2]底表!CF81</f>
        <v/>
      </c>
      <c r="AT81" s="21">
        <f>[2]底表!CG81</f>
        <v>13</v>
      </c>
      <c r="AU81" s="21">
        <f>[2]底表!CH81</f>
        <v>8</v>
      </c>
      <c r="AV81" s="21">
        <f>[2]底表!CI81</f>
        <v>0.625</v>
      </c>
      <c r="AW81" s="21">
        <f>[2]底表!CJ81</f>
        <v>6</v>
      </c>
      <c r="AX81" s="21">
        <f>[2]底表!CK81</f>
        <v>1.1667</v>
      </c>
      <c r="AY81" s="21" t="str">
        <f>[2]底表!CL81</f>
        <v/>
      </c>
      <c r="AZ81" s="21" t="str">
        <f>[2]底表!CM81</f>
        <v/>
      </c>
      <c r="BA81" s="21" t="str">
        <f>[2]底表!CN81</f>
        <v/>
      </c>
      <c r="BB81" s="21">
        <f>[2]底表!CO81</f>
        <v>6</v>
      </c>
      <c r="BC81" s="21">
        <f>[2]底表!CP81</f>
        <v>4</v>
      </c>
      <c r="BD81" s="21">
        <f>[2]底表!CQ81</f>
        <v>0.5</v>
      </c>
      <c r="BE81" s="21">
        <f>[2]底表!CR81</f>
        <v>1</v>
      </c>
      <c r="BF81" s="21">
        <f>[2]底表!CS81</f>
        <v>5</v>
      </c>
      <c r="BG81" s="21">
        <f>[2]底表!CT81</f>
        <v>0.4615</v>
      </c>
      <c r="BH81" s="21">
        <f>[2]底表!CU81</f>
        <v>-0.0385</v>
      </c>
      <c r="BI81" s="21" t="str">
        <f>[2]底表!CV81</f>
        <v/>
      </c>
      <c r="BJ81" s="21" t="str">
        <f>[2]底表!CW81</f>
        <v/>
      </c>
      <c r="BK81" s="21" t="str">
        <f>[2]底表!CX81</f>
        <v/>
      </c>
      <c r="BL81" s="21">
        <f>[2]底表!CY81</f>
        <v>8</v>
      </c>
      <c r="BM81" s="21">
        <f>[2]底表!CZ81</f>
        <v>7</v>
      </c>
      <c r="BN81" s="23">
        <f>[2]底表!DA81</f>
        <v>0.1429</v>
      </c>
      <c r="BO81" s="21">
        <f>[2]底表!DB81</f>
        <v>3</v>
      </c>
      <c r="BP81" s="21">
        <f>[2]底表!DC81</f>
        <v>1.6667</v>
      </c>
      <c r="BQ81" s="21">
        <f>[2]底表!DD81</f>
        <v>0.6154</v>
      </c>
      <c r="BR81" s="21">
        <f>[2]底表!DE81</f>
        <v>-0.2596</v>
      </c>
      <c r="BS81" s="21" t="str">
        <f>[2]底表!DF81</f>
        <v/>
      </c>
      <c r="BT81" s="21" t="str">
        <f>[2]底表!DG81</f>
        <v/>
      </c>
      <c r="BU81" s="21" t="str">
        <f>[2]底表!DH81</f>
        <v/>
      </c>
      <c r="BV81" s="21">
        <f>[2]底表!DI81</f>
        <v>3</v>
      </c>
      <c r="BW81" s="21">
        <f>[2]底表!DJ81</f>
        <v>2</v>
      </c>
      <c r="BX81" s="23">
        <f>[2]底表!DK81</f>
        <v>0.5</v>
      </c>
      <c r="BY81" s="21">
        <f>[2]底表!DL81</f>
        <v>1</v>
      </c>
      <c r="BZ81" s="21">
        <f>[2]底表!DM81</f>
        <v>2</v>
      </c>
      <c r="CA81" s="21">
        <f>[2]底表!DN81</f>
        <v>4</v>
      </c>
      <c r="CB81" s="21">
        <f>[2]底表!DO81</f>
        <v>9</v>
      </c>
      <c r="CC81" s="21">
        <f>[2]底表!DP81</f>
        <v>-0.5556</v>
      </c>
      <c r="CD81" s="21">
        <f>[2]底表!DQ81</f>
        <v>7</v>
      </c>
      <c r="CE81" s="21">
        <f>[2]底表!DR81</f>
        <v>-0.4286</v>
      </c>
      <c r="CF81" s="21">
        <f>[2]底表!DS81</f>
        <v>4</v>
      </c>
      <c r="CG81" s="21">
        <f>[2]底表!DT81</f>
        <v>9</v>
      </c>
      <c r="CH81" s="21">
        <f>[2]底表!DU81</f>
        <v>-0.5556</v>
      </c>
      <c r="CI81" s="21">
        <f>[2]底表!DV81</f>
        <v>7</v>
      </c>
      <c r="CJ81" s="21">
        <f>[2]底表!DW81</f>
        <v>-0.4286</v>
      </c>
      <c r="CK81" s="21">
        <f>[2]底表!DX81</f>
        <v>4</v>
      </c>
      <c r="CL81" s="21">
        <f>[2]底表!DY81</f>
        <v>7</v>
      </c>
      <c r="CM81" s="21">
        <f>[2]底表!DZ81</f>
        <v>-0.4286</v>
      </c>
      <c r="CN81" s="21">
        <f>[2]底表!EA81</f>
        <v>8</v>
      </c>
      <c r="CO81" s="21">
        <f>[2]底表!EB81</f>
        <v>-0.5</v>
      </c>
      <c r="CP81" s="21">
        <f>[2]底表!EC81</f>
        <v>2</v>
      </c>
      <c r="CQ81" s="21">
        <f>[2]底表!ED81</f>
        <v>2</v>
      </c>
      <c r="CR81" s="21">
        <f>[2]底表!EE81</f>
        <v>0</v>
      </c>
      <c r="CS81" s="21">
        <f>[2]底表!EF81</f>
        <v>4</v>
      </c>
      <c r="CT81" s="21">
        <f>[2]底表!EG81</f>
        <v>-0.5</v>
      </c>
      <c r="CU81" s="21">
        <f>[2]底表!EH81</f>
        <v>0.3333</v>
      </c>
      <c r="CV81" s="21">
        <f>[2]底表!EI81</f>
        <v>-0.1667</v>
      </c>
      <c r="CW81" s="21" t="str">
        <f>[2]底表!EJ81</f>
        <v/>
      </c>
      <c r="CX81" s="21" t="str">
        <f>[2]底表!EK81</f>
        <v/>
      </c>
      <c r="CY81" s="21" t="str">
        <f>[2]底表!EL81</f>
        <v/>
      </c>
      <c r="CZ81" s="21">
        <f>[2]底表!EM81</f>
        <v>2</v>
      </c>
      <c r="DA81" s="21">
        <f>[2]底表!EN81</f>
        <v>1</v>
      </c>
      <c r="DB81" s="21">
        <f>[2]底表!EO81</f>
        <v>1</v>
      </c>
      <c r="DC81" s="21">
        <f>[2]底表!EP81</f>
        <v>4</v>
      </c>
      <c r="DD81" s="21">
        <f>[2]底表!EQ81</f>
        <v>-0.5</v>
      </c>
      <c r="DE81" s="21">
        <f>[2]底表!ER81</f>
        <v>3</v>
      </c>
      <c r="DF81" s="21">
        <f>[2]底表!ES81</f>
        <v>2</v>
      </c>
      <c r="DG81" s="23">
        <f>[2]底表!ET81</f>
        <v>0.5</v>
      </c>
      <c r="DH81" s="21">
        <f>[2]底表!EU81</f>
        <v>4</v>
      </c>
      <c r="DI81" s="21">
        <f>[2]底表!EV81</f>
        <v>-0.25</v>
      </c>
      <c r="DJ81" s="21">
        <f>[2]底表!EW81</f>
        <v>0.5</v>
      </c>
      <c r="DK81" s="21">
        <f>[2]底表!EX81</f>
        <v>0</v>
      </c>
      <c r="DL81" s="21" t="str">
        <f>[2]底表!EY81</f>
        <v/>
      </c>
      <c r="DM81" s="21" t="str">
        <f>[2]底表!EZ81</f>
        <v/>
      </c>
      <c r="DN81" s="21" t="str">
        <f>[2]底表!FA81</f>
        <v/>
      </c>
      <c r="DO81" s="21">
        <f>[2]底表!BQ81</f>
        <v>3</v>
      </c>
      <c r="DP81" s="21">
        <f>[2]底表!BR81</f>
        <v>2</v>
      </c>
      <c r="DQ81" s="24">
        <f>[2]底表!BS81</f>
        <v>0.5</v>
      </c>
    </row>
    <row r="82" s="2" customFormat="1" ht="32" hidden="1" customHeight="1" spans="1:121">
      <c r="A82" s="27" t="str">
        <f>[2]底表!A82</f>
        <v>入室盗窃</v>
      </c>
      <c r="B82" s="28" t="str">
        <f>[2]底表!B82</f>
        <v>云浮</v>
      </c>
      <c r="C82" s="21">
        <f>[2]底表!AM82</f>
        <v>0</v>
      </c>
      <c r="D82" s="21">
        <f>[2]底表!AN82</f>
        <v>0</v>
      </c>
      <c r="E82" s="23" t="str">
        <f>[2]底表!AO82</f>
        <v>持平</v>
      </c>
      <c r="F82" s="21">
        <f>[2]底表!AP82</f>
        <v>0</v>
      </c>
      <c r="G82" s="21" t="str">
        <f>[2]底表!AQ82</f>
        <v>持平</v>
      </c>
      <c r="H82" s="21" t="str">
        <f>[2]底表!AR82</f>
        <v/>
      </c>
      <c r="I82" s="21" t="str">
        <f>[2]底表!AS82</f>
        <v/>
      </c>
      <c r="J82" s="21">
        <f>[2]底表!AT82</f>
        <v>0</v>
      </c>
      <c r="K82" s="21">
        <f>[2]底表!AU82</f>
        <v>0</v>
      </c>
      <c r="L82" s="21" t="str">
        <f>[2]底表!AV82</f>
        <v>持平</v>
      </c>
      <c r="M82" s="21">
        <f>[2]底表!AW82</f>
        <v>0</v>
      </c>
      <c r="N82" s="21" t="str">
        <f>[2]底表!AX82</f>
        <v>持平</v>
      </c>
      <c r="O82" s="21">
        <f>[2]底表!AY82</f>
        <v>0</v>
      </c>
      <c r="P82" s="21">
        <f>[2]底表!AZ82</f>
        <v>0</v>
      </c>
      <c r="Q82" s="21" t="str">
        <f>[2]底表!BA82</f>
        <v>持平</v>
      </c>
      <c r="R82" s="21">
        <f>[2]底表!BB82</f>
        <v>0</v>
      </c>
      <c r="S82" s="21" t="str">
        <f>[2]底表!BC82</f>
        <v>持平</v>
      </c>
      <c r="T82" s="21" t="str">
        <f>[2]底表!BD82</f>
        <v/>
      </c>
      <c r="U82" s="21" t="str">
        <f>[2]底表!BE82</f>
        <v/>
      </c>
      <c r="V82" s="21">
        <f>[2]底表!BF82</f>
        <v>0</v>
      </c>
      <c r="W82" s="21">
        <f>[2]底表!BG82</f>
        <v>0</v>
      </c>
      <c r="X82" s="21" t="str">
        <f>[2]底表!BH82</f>
        <v>持平</v>
      </c>
      <c r="Y82" s="21">
        <f>[2]底表!BI82</f>
        <v>0</v>
      </c>
      <c r="Z82" s="21" t="str">
        <f>[2]底表!BJ82</f>
        <v>持平</v>
      </c>
      <c r="AA82" s="21" t="str">
        <f>[2]底表!BK82</f>
        <v/>
      </c>
      <c r="AB82" s="21">
        <f>[2]底表!BL82</f>
        <v>0</v>
      </c>
      <c r="AC82" s="21">
        <f>[2]底表!BM82</f>
        <v>0</v>
      </c>
      <c r="AD82" s="21" t="str">
        <f>[2]底表!BN82</f>
        <v>持平</v>
      </c>
      <c r="AE82" s="21">
        <f>[2]底表!BO82</f>
        <v>0</v>
      </c>
      <c r="AF82" s="21" t="str">
        <f>[2]底表!BP82</f>
        <v>持平</v>
      </c>
      <c r="AG82" s="21">
        <f>[2]底表!BT82</f>
        <v>0</v>
      </c>
      <c r="AH82" s="21" t="str">
        <f>[2]底表!BU82</f>
        <v>持平</v>
      </c>
      <c r="AI82" s="21" t="str">
        <f>[2]底表!BV82</f>
        <v/>
      </c>
      <c r="AJ82" s="21" t="str">
        <f>[2]底表!BW82</f>
        <v/>
      </c>
      <c r="AK82" s="21" t="str">
        <f>[2]底表!BX82</f>
        <v/>
      </c>
      <c r="AL82" s="21" t="str">
        <f>[2]底表!BY82</f>
        <v/>
      </c>
      <c r="AM82" s="21">
        <f>[2]底表!BZ82</f>
        <v>0</v>
      </c>
      <c r="AN82" s="21">
        <f>[2]底表!CA82</f>
        <v>0</v>
      </c>
      <c r="AO82" s="21" t="str">
        <f>[2]底表!CB82</f>
        <v>持平</v>
      </c>
      <c r="AP82" s="21">
        <f>[2]底表!CC82</f>
        <v>0</v>
      </c>
      <c r="AQ82" s="21" t="str">
        <f>[2]底表!CD82</f>
        <v>持平</v>
      </c>
      <c r="AR82" s="21" t="str">
        <f>[2]底表!CE82</f>
        <v/>
      </c>
      <c r="AS82" s="21" t="str">
        <f>[2]底表!CF82</f>
        <v/>
      </c>
      <c r="AT82" s="21">
        <f>[2]底表!CG82</f>
        <v>1</v>
      </c>
      <c r="AU82" s="21">
        <f>[2]底表!CH82</f>
        <v>0</v>
      </c>
      <c r="AV82" s="21" t="str">
        <f>[2]底表!CI82</f>
        <v>多1人</v>
      </c>
      <c r="AW82" s="21">
        <f>[2]底表!CJ82</f>
        <v>0</v>
      </c>
      <c r="AX82" s="21" t="str">
        <f>[2]底表!CK82</f>
        <v>多1人</v>
      </c>
      <c r="AY82" s="21" t="str">
        <f>[2]底表!CL82</f>
        <v/>
      </c>
      <c r="AZ82" s="21" t="str">
        <f>[2]底表!CM82</f>
        <v/>
      </c>
      <c r="BA82" s="21" t="str">
        <f>[2]底表!CN82</f>
        <v/>
      </c>
      <c r="BB82" s="21">
        <f>[2]底表!CO82</f>
        <v>1</v>
      </c>
      <c r="BC82" s="21">
        <f>[2]底表!CP82</f>
        <v>0</v>
      </c>
      <c r="BD82" s="21" t="str">
        <f>[2]底表!CQ82</f>
        <v>多1人</v>
      </c>
      <c r="BE82" s="21">
        <f>[2]底表!CR82</f>
        <v>0</v>
      </c>
      <c r="BF82" s="21" t="str">
        <f>[2]底表!CS82</f>
        <v>多1人</v>
      </c>
      <c r="BG82" s="21">
        <f>[2]底表!CT82</f>
        <v>1</v>
      </c>
      <c r="BH82" s="21" t="str">
        <f>[2]底表!CU82</f>
        <v/>
      </c>
      <c r="BI82" s="21" t="str">
        <f>[2]底表!CV82</f>
        <v/>
      </c>
      <c r="BJ82" s="21" t="str">
        <f>[2]底表!CW82</f>
        <v/>
      </c>
      <c r="BK82" s="21" t="str">
        <f>[2]底表!CX82</f>
        <v/>
      </c>
      <c r="BL82" s="21">
        <f>[2]底表!CY82</f>
        <v>1</v>
      </c>
      <c r="BM82" s="21">
        <f>[2]底表!CZ82</f>
        <v>0</v>
      </c>
      <c r="BN82" s="23" t="str">
        <f>[2]底表!DA82</f>
        <v>多1人</v>
      </c>
      <c r="BO82" s="21">
        <f>[2]底表!DB82</f>
        <v>0</v>
      </c>
      <c r="BP82" s="21" t="str">
        <f>[2]底表!DC82</f>
        <v>多1人</v>
      </c>
      <c r="BQ82" s="21">
        <f>[2]底表!DD82</f>
        <v>1</v>
      </c>
      <c r="BR82" s="21" t="str">
        <f>[2]底表!DE82</f>
        <v/>
      </c>
      <c r="BS82" s="21" t="str">
        <f>[2]底表!DF82</f>
        <v/>
      </c>
      <c r="BT82" s="21" t="str">
        <f>[2]底表!DG82</f>
        <v/>
      </c>
      <c r="BU82" s="21" t="str">
        <f>[2]底表!DH82</f>
        <v/>
      </c>
      <c r="BV82" s="21">
        <f>[2]底表!DI82</f>
        <v>0</v>
      </c>
      <c r="BW82" s="21">
        <f>[2]底表!DJ82</f>
        <v>0</v>
      </c>
      <c r="BX82" s="23" t="str">
        <f>[2]底表!DK82</f>
        <v>持平</v>
      </c>
      <c r="BY82" s="21">
        <f>[2]底表!DL82</f>
        <v>0</v>
      </c>
      <c r="BZ82" s="21" t="str">
        <f>[2]底表!DM82</f>
        <v>持平</v>
      </c>
      <c r="CA82" s="21">
        <f>[2]底表!DN82</f>
        <v>0</v>
      </c>
      <c r="CB82" s="21">
        <f>[2]底表!DO82</f>
        <v>0</v>
      </c>
      <c r="CC82" s="21" t="str">
        <f>[2]底表!DP82</f>
        <v>持平</v>
      </c>
      <c r="CD82" s="21">
        <f>[2]底表!DQ82</f>
        <v>0</v>
      </c>
      <c r="CE82" s="21" t="str">
        <f>[2]底表!DR82</f>
        <v>持平</v>
      </c>
      <c r="CF82" s="21">
        <f>[2]底表!DS82</f>
        <v>0</v>
      </c>
      <c r="CG82" s="21">
        <f>[2]底表!DT82</f>
        <v>0</v>
      </c>
      <c r="CH82" s="21" t="str">
        <f>[2]底表!DU82</f>
        <v>持平</v>
      </c>
      <c r="CI82" s="21">
        <f>[2]底表!DV82</f>
        <v>0</v>
      </c>
      <c r="CJ82" s="21" t="str">
        <f>[2]底表!DW82</f>
        <v>持平</v>
      </c>
      <c r="CK82" s="21">
        <f>[2]底表!DX82</f>
        <v>1</v>
      </c>
      <c r="CL82" s="21">
        <f>[2]底表!DY82</f>
        <v>0</v>
      </c>
      <c r="CM82" s="21" t="str">
        <f>[2]底表!DZ82</f>
        <v>多1人</v>
      </c>
      <c r="CN82" s="21">
        <f>[2]底表!EA82</f>
        <v>0</v>
      </c>
      <c r="CO82" s="21" t="str">
        <f>[2]底表!EB82</f>
        <v>多1人</v>
      </c>
      <c r="CP82" s="21">
        <f>[2]底表!EC82</f>
        <v>0</v>
      </c>
      <c r="CQ82" s="21">
        <f>[2]底表!ED82</f>
        <v>0</v>
      </c>
      <c r="CR82" s="21" t="str">
        <f>[2]底表!EE82</f>
        <v>持平</v>
      </c>
      <c r="CS82" s="21">
        <f>[2]底表!EF82</f>
        <v>0</v>
      </c>
      <c r="CT82" s="21" t="str">
        <f>[2]底表!EG82</f>
        <v>持平</v>
      </c>
      <c r="CU82" s="21">
        <f>[2]底表!EH82</f>
        <v>0</v>
      </c>
      <c r="CV82" s="21" t="str">
        <f>[2]底表!EI82</f>
        <v/>
      </c>
      <c r="CW82" s="21" t="str">
        <f>[2]底表!EJ82</f>
        <v/>
      </c>
      <c r="CX82" s="21" t="str">
        <f>[2]底表!EK82</f>
        <v/>
      </c>
      <c r="CY82" s="21" t="str">
        <f>[2]底表!EL82</f>
        <v/>
      </c>
      <c r="CZ82" s="21">
        <f>[2]底表!EM82</f>
        <v>0</v>
      </c>
      <c r="DA82" s="21">
        <f>[2]底表!EN82</f>
        <v>0</v>
      </c>
      <c r="DB82" s="21" t="str">
        <f>[2]底表!EO82</f>
        <v>持平</v>
      </c>
      <c r="DC82" s="21">
        <f>[2]底表!EP82</f>
        <v>0</v>
      </c>
      <c r="DD82" s="21" t="str">
        <f>[2]底表!EQ82</f>
        <v>持平</v>
      </c>
      <c r="DE82" s="21">
        <f>[2]底表!ER82</f>
        <v>0</v>
      </c>
      <c r="DF82" s="21">
        <f>[2]底表!ES82</f>
        <v>0</v>
      </c>
      <c r="DG82" s="23" t="str">
        <f>[2]底表!ET82</f>
        <v>持平</v>
      </c>
      <c r="DH82" s="21">
        <f>[2]底表!EU82</f>
        <v>0</v>
      </c>
      <c r="DI82" s="21" t="str">
        <f>[2]底表!EV82</f>
        <v>持平</v>
      </c>
      <c r="DJ82" s="21">
        <f>[2]底表!EW82</f>
        <v>0</v>
      </c>
      <c r="DK82" s="21" t="str">
        <f>[2]底表!EX82</f>
        <v/>
      </c>
      <c r="DL82" s="21" t="str">
        <f>[2]底表!EY82</f>
        <v/>
      </c>
      <c r="DM82" s="21" t="str">
        <f>[2]底表!EZ82</f>
        <v/>
      </c>
      <c r="DN82" s="21" t="str">
        <f>[2]底表!FA82</f>
        <v/>
      </c>
      <c r="DO82" s="21">
        <f>[2]底表!BQ82</f>
        <v>0</v>
      </c>
      <c r="DP82" s="21">
        <f>[2]底表!BR82</f>
        <v>0</v>
      </c>
      <c r="DQ82" s="24" t="str">
        <f>[2]底表!BS82</f>
        <v>持平</v>
      </c>
    </row>
    <row r="83" s="2" customFormat="1" ht="32" hidden="1" customHeight="1" spans="1:121">
      <c r="A83" s="27" t="str">
        <f>[2]底表!A83</f>
        <v>入室盗窃</v>
      </c>
      <c r="B83" s="28" t="str">
        <f>[2]底表!B83</f>
        <v>云城区</v>
      </c>
      <c r="C83" s="21">
        <f>[2]底表!AM83</f>
        <v>0</v>
      </c>
      <c r="D83" s="21">
        <f>[2]底表!AN83</f>
        <v>0</v>
      </c>
      <c r="E83" s="23" t="str">
        <f>[2]底表!AO83</f>
        <v>持平</v>
      </c>
      <c r="F83" s="21">
        <f>[2]底表!AP83</f>
        <v>0</v>
      </c>
      <c r="G83" s="21" t="str">
        <f>[2]底表!AQ83</f>
        <v>持平</v>
      </c>
      <c r="H83" s="21" t="str">
        <f>[2]底表!AR83</f>
        <v/>
      </c>
      <c r="I83" s="21" t="str">
        <f>[2]底表!AS83</f>
        <v/>
      </c>
      <c r="J83" s="21">
        <f>[2]底表!AT83</f>
        <v>0</v>
      </c>
      <c r="K83" s="21">
        <f>[2]底表!AU83</f>
        <v>0</v>
      </c>
      <c r="L83" s="21" t="str">
        <f>[2]底表!AV83</f>
        <v>持平</v>
      </c>
      <c r="M83" s="21">
        <f>[2]底表!AW83</f>
        <v>0</v>
      </c>
      <c r="N83" s="21" t="str">
        <f>[2]底表!AX83</f>
        <v>持平</v>
      </c>
      <c r="O83" s="21">
        <f>[2]底表!AY83</f>
        <v>0</v>
      </c>
      <c r="P83" s="21">
        <f>[2]底表!AZ83</f>
        <v>0</v>
      </c>
      <c r="Q83" s="21" t="str">
        <f>[2]底表!BA83</f>
        <v>持平</v>
      </c>
      <c r="R83" s="21">
        <f>[2]底表!BB83</f>
        <v>0</v>
      </c>
      <c r="S83" s="21" t="str">
        <f>[2]底表!BC83</f>
        <v>持平</v>
      </c>
      <c r="T83" s="21" t="str">
        <f>[2]底表!BD83</f>
        <v/>
      </c>
      <c r="U83" s="21" t="str">
        <f>[2]底表!BE83</f>
        <v/>
      </c>
      <c r="V83" s="21">
        <f>[2]底表!BF83</f>
        <v>0</v>
      </c>
      <c r="W83" s="21">
        <f>[2]底表!BG83</f>
        <v>0</v>
      </c>
      <c r="X83" s="21" t="str">
        <f>[2]底表!BH83</f>
        <v>持平</v>
      </c>
      <c r="Y83" s="21">
        <f>[2]底表!BI83</f>
        <v>0</v>
      </c>
      <c r="Z83" s="21" t="str">
        <f>[2]底表!BJ83</f>
        <v>持平</v>
      </c>
      <c r="AA83" s="21" t="str">
        <f>[2]底表!BK83</f>
        <v/>
      </c>
      <c r="AB83" s="21">
        <f>[2]底表!BL83</f>
        <v>0</v>
      </c>
      <c r="AC83" s="21">
        <f>[2]底表!BM83</f>
        <v>0</v>
      </c>
      <c r="AD83" s="21" t="str">
        <f>[2]底表!BN83</f>
        <v>持平</v>
      </c>
      <c r="AE83" s="21">
        <f>[2]底表!BO83</f>
        <v>0</v>
      </c>
      <c r="AF83" s="21" t="str">
        <f>[2]底表!BP83</f>
        <v>持平</v>
      </c>
      <c r="AG83" s="21">
        <f>[2]底表!BT83</f>
        <v>0</v>
      </c>
      <c r="AH83" s="21" t="str">
        <f>[2]底表!BU83</f>
        <v>持平</v>
      </c>
      <c r="AI83" s="21" t="str">
        <f>[2]底表!BV83</f>
        <v/>
      </c>
      <c r="AJ83" s="21" t="str">
        <f>[2]底表!BW83</f>
        <v/>
      </c>
      <c r="AK83" s="21" t="str">
        <f>[2]底表!BX83</f>
        <v/>
      </c>
      <c r="AL83" s="21" t="str">
        <f>[2]底表!BY83</f>
        <v/>
      </c>
      <c r="AM83" s="21">
        <f>[2]底表!BZ83</f>
        <v>0</v>
      </c>
      <c r="AN83" s="21">
        <f>[2]底表!CA83</f>
        <v>0</v>
      </c>
      <c r="AO83" s="21" t="str">
        <f>[2]底表!CB83</f>
        <v>持平</v>
      </c>
      <c r="AP83" s="21">
        <f>[2]底表!CC83</f>
        <v>0</v>
      </c>
      <c r="AQ83" s="21" t="str">
        <f>[2]底表!CD83</f>
        <v>持平</v>
      </c>
      <c r="AR83" s="21" t="str">
        <f>[2]底表!CE83</f>
        <v/>
      </c>
      <c r="AS83" s="21" t="str">
        <f>[2]底表!CF83</f>
        <v/>
      </c>
      <c r="AT83" s="21">
        <f>[2]底表!CG83</f>
        <v>0</v>
      </c>
      <c r="AU83" s="21">
        <f>[2]底表!CH83</f>
        <v>0</v>
      </c>
      <c r="AV83" s="21" t="str">
        <f>[2]底表!CI83</f>
        <v>持平</v>
      </c>
      <c r="AW83" s="21">
        <f>[2]底表!CJ83</f>
        <v>0</v>
      </c>
      <c r="AX83" s="21" t="str">
        <f>[2]底表!CK83</f>
        <v>持平</v>
      </c>
      <c r="AY83" s="21" t="str">
        <f>[2]底表!CL83</f>
        <v/>
      </c>
      <c r="AZ83" s="21" t="str">
        <f>[2]底表!CM83</f>
        <v/>
      </c>
      <c r="BA83" s="21" t="str">
        <f>[2]底表!CN83</f>
        <v/>
      </c>
      <c r="BB83" s="21">
        <f>[2]底表!CO83</f>
        <v>0</v>
      </c>
      <c r="BC83" s="21">
        <f>[2]底表!CP83</f>
        <v>0</v>
      </c>
      <c r="BD83" s="21" t="str">
        <f>[2]底表!CQ83</f>
        <v>持平</v>
      </c>
      <c r="BE83" s="21">
        <f>[2]底表!CR83</f>
        <v>0</v>
      </c>
      <c r="BF83" s="21" t="str">
        <f>[2]底表!CS83</f>
        <v>持平</v>
      </c>
      <c r="BG83" s="21" t="str">
        <f>[2]底表!CT83</f>
        <v/>
      </c>
      <c r="BH83" s="21" t="str">
        <f>[2]底表!CU83</f>
        <v/>
      </c>
      <c r="BI83" s="21" t="str">
        <f>[2]底表!CV83</f>
        <v/>
      </c>
      <c r="BJ83" s="21" t="str">
        <f>[2]底表!CW83</f>
        <v/>
      </c>
      <c r="BK83" s="21" t="str">
        <f>[2]底表!CX83</f>
        <v/>
      </c>
      <c r="BL83" s="21">
        <f>[2]底表!CY83</f>
        <v>0</v>
      </c>
      <c r="BM83" s="21">
        <f>[2]底表!CZ83</f>
        <v>0</v>
      </c>
      <c r="BN83" s="23" t="str">
        <f>[2]底表!DA83</f>
        <v>持平</v>
      </c>
      <c r="BO83" s="21">
        <f>[2]底表!DB83</f>
        <v>0</v>
      </c>
      <c r="BP83" s="21" t="str">
        <f>[2]底表!DC83</f>
        <v>持平</v>
      </c>
      <c r="BQ83" s="21" t="str">
        <f>[2]底表!DD83</f>
        <v/>
      </c>
      <c r="BR83" s="21" t="str">
        <f>[2]底表!DE83</f>
        <v/>
      </c>
      <c r="BS83" s="21" t="str">
        <f>[2]底表!DF83</f>
        <v/>
      </c>
      <c r="BT83" s="21" t="str">
        <f>[2]底表!DG83</f>
        <v/>
      </c>
      <c r="BU83" s="21" t="str">
        <f>[2]底表!DH83</f>
        <v/>
      </c>
      <c r="BV83" s="21">
        <f>[2]底表!DI83</f>
        <v>0</v>
      </c>
      <c r="BW83" s="21">
        <f>[2]底表!DJ83</f>
        <v>0</v>
      </c>
      <c r="BX83" s="23" t="str">
        <f>[2]底表!DK83</f>
        <v>持平</v>
      </c>
      <c r="BY83" s="21">
        <f>[2]底表!DL83</f>
        <v>0</v>
      </c>
      <c r="BZ83" s="21" t="str">
        <f>[2]底表!DM83</f>
        <v>持平</v>
      </c>
      <c r="CA83" s="21">
        <f>[2]底表!DN83</f>
        <v>0</v>
      </c>
      <c r="CB83" s="21">
        <f>[2]底表!DO83</f>
        <v>0</v>
      </c>
      <c r="CC83" s="21" t="str">
        <f>[2]底表!DP83</f>
        <v>持平</v>
      </c>
      <c r="CD83" s="21">
        <f>[2]底表!DQ83</f>
        <v>0</v>
      </c>
      <c r="CE83" s="21" t="str">
        <f>[2]底表!DR83</f>
        <v>持平</v>
      </c>
      <c r="CF83" s="21">
        <f>[2]底表!DS83</f>
        <v>0</v>
      </c>
      <c r="CG83" s="21">
        <f>[2]底表!DT83</f>
        <v>0</v>
      </c>
      <c r="CH83" s="21" t="str">
        <f>[2]底表!DU83</f>
        <v>持平</v>
      </c>
      <c r="CI83" s="21">
        <f>[2]底表!DV83</f>
        <v>0</v>
      </c>
      <c r="CJ83" s="21" t="str">
        <f>[2]底表!DW83</f>
        <v>持平</v>
      </c>
      <c r="CK83" s="21">
        <f>[2]底表!DX83</f>
        <v>0</v>
      </c>
      <c r="CL83" s="21">
        <f>[2]底表!DY83</f>
        <v>0</v>
      </c>
      <c r="CM83" s="21" t="str">
        <f>[2]底表!DZ83</f>
        <v>持平</v>
      </c>
      <c r="CN83" s="21">
        <f>[2]底表!EA83</f>
        <v>0</v>
      </c>
      <c r="CO83" s="21" t="str">
        <f>[2]底表!EB83</f>
        <v>持平</v>
      </c>
      <c r="CP83" s="21">
        <f>[2]底表!EC83</f>
        <v>0</v>
      </c>
      <c r="CQ83" s="21">
        <f>[2]底表!ED83</f>
        <v>0</v>
      </c>
      <c r="CR83" s="21" t="str">
        <f>[2]底表!EE83</f>
        <v>持平</v>
      </c>
      <c r="CS83" s="21">
        <f>[2]底表!EF83</f>
        <v>0</v>
      </c>
      <c r="CT83" s="21" t="str">
        <f>[2]底表!EG83</f>
        <v>持平</v>
      </c>
      <c r="CU83" s="21" t="str">
        <f>[2]底表!EH83</f>
        <v/>
      </c>
      <c r="CV83" s="21" t="str">
        <f>[2]底表!EI83</f>
        <v/>
      </c>
      <c r="CW83" s="21" t="str">
        <f>[2]底表!EJ83</f>
        <v/>
      </c>
      <c r="CX83" s="21" t="str">
        <f>[2]底表!EK83</f>
        <v/>
      </c>
      <c r="CY83" s="21" t="str">
        <f>[2]底表!EL83</f>
        <v/>
      </c>
      <c r="CZ83" s="21">
        <f>[2]底表!EM83</f>
        <v>0</v>
      </c>
      <c r="DA83" s="21">
        <f>[2]底表!EN83</f>
        <v>0</v>
      </c>
      <c r="DB83" s="21" t="str">
        <f>[2]底表!EO83</f>
        <v>持平</v>
      </c>
      <c r="DC83" s="21">
        <f>[2]底表!EP83</f>
        <v>0</v>
      </c>
      <c r="DD83" s="21" t="str">
        <f>[2]底表!EQ83</f>
        <v>持平</v>
      </c>
      <c r="DE83" s="21">
        <f>[2]底表!ER83</f>
        <v>0</v>
      </c>
      <c r="DF83" s="21">
        <f>[2]底表!ES83</f>
        <v>0</v>
      </c>
      <c r="DG83" s="23" t="str">
        <f>[2]底表!ET83</f>
        <v>持平</v>
      </c>
      <c r="DH83" s="21">
        <f>[2]底表!EU83</f>
        <v>0</v>
      </c>
      <c r="DI83" s="21" t="str">
        <f>[2]底表!EV83</f>
        <v>持平</v>
      </c>
      <c r="DJ83" s="21" t="str">
        <f>[2]底表!EW83</f>
        <v/>
      </c>
      <c r="DK83" s="21" t="str">
        <f>[2]底表!EX83</f>
        <v/>
      </c>
      <c r="DL83" s="21" t="str">
        <f>[2]底表!EY83</f>
        <v/>
      </c>
      <c r="DM83" s="21" t="str">
        <f>[2]底表!EZ83</f>
        <v/>
      </c>
      <c r="DN83" s="21" t="str">
        <f>[2]底表!FA83</f>
        <v/>
      </c>
      <c r="DO83" s="21">
        <f>[2]底表!BQ83</f>
        <v>0</v>
      </c>
      <c r="DP83" s="21">
        <f>[2]底表!BR83</f>
        <v>0</v>
      </c>
      <c r="DQ83" s="24" t="str">
        <f>[2]底表!BS83</f>
        <v>持平</v>
      </c>
    </row>
    <row r="84" s="2" customFormat="1" ht="32" hidden="1" customHeight="1" spans="1:121">
      <c r="A84" s="27" t="str">
        <f>[2]底表!A84</f>
        <v>入室盗窃</v>
      </c>
      <c r="B84" s="28" t="str">
        <f>[2]底表!B84</f>
        <v>云安区</v>
      </c>
      <c r="C84" s="21">
        <f>[2]底表!AM84</f>
        <v>0</v>
      </c>
      <c r="D84" s="21">
        <f>[2]底表!AN84</f>
        <v>0</v>
      </c>
      <c r="E84" s="23" t="str">
        <f>[2]底表!AO84</f>
        <v>持平</v>
      </c>
      <c r="F84" s="21">
        <f>[2]底表!AP84</f>
        <v>0</v>
      </c>
      <c r="G84" s="21" t="str">
        <f>[2]底表!AQ84</f>
        <v>持平</v>
      </c>
      <c r="H84" s="21" t="str">
        <f>[2]底表!AR84</f>
        <v/>
      </c>
      <c r="I84" s="21" t="str">
        <f>[2]底表!AS84</f>
        <v/>
      </c>
      <c r="J84" s="21">
        <f>[2]底表!AT84</f>
        <v>0</v>
      </c>
      <c r="K84" s="21">
        <f>[2]底表!AU84</f>
        <v>0</v>
      </c>
      <c r="L84" s="21" t="str">
        <f>[2]底表!AV84</f>
        <v>持平</v>
      </c>
      <c r="M84" s="21">
        <f>[2]底表!AW84</f>
        <v>0</v>
      </c>
      <c r="N84" s="21" t="str">
        <f>[2]底表!AX84</f>
        <v>持平</v>
      </c>
      <c r="O84" s="21">
        <f>[2]底表!AY84</f>
        <v>0</v>
      </c>
      <c r="P84" s="21">
        <f>[2]底表!AZ84</f>
        <v>0</v>
      </c>
      <c r="Q84" s="21" t="str">
        <f>[2]底表!BA84</f>
        <v>持平</v>
      </c>
      <c r="R84" s="21">
        <f>[2]底表!BB84</f>
        <v>0</v>
      </c>
      <c r="S84" s="21" t="str">
        <f>[2]底表!BC84</f>
        <v>持平</v>
      </c>
      <c r="T84" s="21" t="str">
        <f>[2]底表!BD84</f>
        <v/>
      </c>
      <c r="U84" s="21" t="str">
        <f>[2]底表!BE84</f>
        <v/>
      </c>
      <c r="V84" s="21">
        <f>[2]底表!BF84</f>
        <v>0</v>
      </c>
      <c r="W84" s="21">
        <f>[2]底表!BG84</f>
        <v>0</v>
      </c>
      <c r="X84" s="21" t="str">
        <f>[2]底表!BH84</f>
        <v>持平</v>
      </c>
      <c r="Y84" s="21">
        <f>[2]底表!BI84</f>
        <v>0</v>
      </c>
      <c r="Z84" s="21" t="str">
        <f>[2]底表!BJ84</f>
        <v>持平</v>
      </c>
      <c r="AA84" s="21" t="str">
        <f>[2]底表!BK84</f>
        <v/>
      </c>
      <c r="AB84" s="21">
        <f>[2]底表!BL84</f>
        <v>0</v>
      </c>
      <c r="AC84" s="21">
        <f>[2]底表!BM84</f>
        <v>0</v>
      </c>
      <c r="AD84" s="21" t="str">
        <f>[2]底表!BN84</f>
        <v>持平</v>
      </c>
      <c r="AE84" s="21">
        <f>[2]底表!BO84</f>
        <v>0</v>
      </c>
      <c r="AF84" s="21" t="str">
        <f>[2]底表!BP84</f>
        <v>持平</v>
      </c>
      <c r="AG84" s="21">
        <f>[2]底表!BT84</f>
        <v>0</v>
      </c>
      <c r="AH84" s="21" t="str">
        <f>[2]底表!BU84</f>
        <v>持平</v>
      </c>
      <c r="AI84" s="21" t="str">
        <f>[2]底表!BV84</f>
        <v/>
      </c>
      <c r="AJ84" s="21" t="str">
        <f>[2]底表!BW84</f>
        <v/>
      </c>
      <c r="AK84" s="21" t="str">
        <f>[2]底表!BX84</f>
        <v/>
      </c>
      <c r="AL84" s="21" t="str">
        <f>[2]底表!BY84</f>
        <v/>
      </c>
      <c r="AM84" s="21">
        <f>[2]底表!BZ84</f>
        <v>0</v>
      </c>
      <c r="AN84" s="21">
        <f>[2]底表!CA84</f>
        <v>0</v>
      </c>
      <c r="AO84" s="21" t="str">
        <f>[2]底表!CB84</f>
        <v>持平</v>
      </c>
      <c r="AP84" s="21">
        <f>[2]底表!CC84</f>
        <v>0</v>
      </c>
      <c r="AQ84" s="21" t="str">
        <f>[2]底表!CD84</f>
        <v>持平</v>
      </c>
      <c r="AR84" s="21" t="str">
        <f>[2]底表!CE84</f>
        <v/>
      </c>
      <c r="AS84" s="21" t="str">
        <f>[2]底表!CF84</f>
        <v/>
      </c>
      <c r="AT84" s="21">
        <f>[2]底表!CG84</f>
        <v>0</v>
      </c>
      <c r="AU84" s="21">
        <f>[2]底表!CH84</f>
        <v>0</v>
      </c>
      <c r="AV84" s="21" t="str">
        <f>[2]底表!CI84</f>
        <v>持平</v>
      </c>
      <c r="AW84" s="21">
        <f>[2]底表!CJ84</f>
        <v>0</v>
      </c>
      <c r="AX84" s="21" t="str">
        <f>[2]底表!CK84</f>
        <v>持平</v>
      </c>
      <c r="AY84" s="21" t="str">
        <f>[2]底表!CL84</f>
        <v/>
      </c>
      <c r="AZ84" s="21" t="str">
        <f>[2]底表!CM84</f>
        <v/>
      </c>
      <c r="BA84" s="21" t="str">
        <f>[2]底表!CN84</f>
        <v/>
      </c>
      <c r="BB84" s="21">
        <f>[2]底表!CO84</f>
        <v>0</v>
      </c>
      <c r="BC84" s="21">
        <f>[2]底表!CP84</f>
        <v>0</v>
      </c>
      <c r="BD84" s="21" t="str">
        <f>[2]底表!CQ84</f>
        <v>持平</v>
      </c>
      <c r="BE84" s="21">
        <f>[2]底表!CR84</f>
        <v>0</v>
      </c>
      <c r="BF84" s="21" t="str">
        <f>[2]底表!CS84</f>
        <v>持平</v>
      </c>
      <c r="BG84" s="21" t="str">
        <f>[2]底表!CT84</f>
        <v/>
      </c>
      <c r="BH84" s="21" t="str">
        <f>[2]底表!CU84</f>
        <v/>
      </c>
      <c r="BI84" s="21" t="str">
        <f>[2]底表!CV84</f>
        <v/>
      </c>
      <c r="BJ84" s="21" t="str">
        <f>[2]底表!CW84</f>
        <v/>
      </c>
      <c r="BK84" s="21" t="str">
        <f>[2]底表!CX84</f>
        <v/>
      </c>
      <c r="BL84" s="21">
        <f>[2]底表!CY84</f>
        <v>0</v>
      </c>
      <c r="BM84" s="21">
        <f>[2]底表!CZ84</f>
        <v>0</v>
      </c>
      <c r="BN84" s="23" t="str">
        <f>[2]底表!DA84</f>
        <v>持平</v>
      </c>
      <c r="BO84" s="21">
        <f>[2]底表!DB84</f>
        <v>0</v>
      </c>
      <c r="BP84" s="21" t="str">
        <f>[2]底表!DC84</f>
        <v>持平</v>
      </c>
      <c r="BQ84" s="21" t="str">
        <f>[2]底表!DD84</f>
        <v/>
      </c>
      <c r="BR84" s="21" t="str">
        <f>[2]底表!DE84</f>
        <v/>
      </c>
      <c r="BS84" s="21" t="str">
        <f>[2]底表!DF84</f>
        <v/>
      </c>
      <c r="BT84" s="21" t="str">
        <f>[2]底表!DG84</f>
        <v/>
      </c>
      <c r="BU84" s="21" t="str">
        <f>[2]底表!DH84</f>
        <v/>
      </c>
      <c r="BV84" s="21">
        <f>[2]底表!DI84</f>
        <v>0</v>
      </c>
      <c r="BW84" s="21">
        <f>[2]底表!DJ84</f>
        <v>0</v>
      </c>
      <c r="BX84" s="23" t="str">
        <f>[2]底表!DK84</f>
        <v>持平</v>
      </c>
      <c r="BY84" s="21">
        <f>[2]底表!DL84</f>
        <v>0</v>
      </c>
      <c r="BZ84" s="21" t="str">
        <f>[2]底表!DM84</f>
        <v>持平</v>
      </c>
      <c r="CA84" s="21">
        <f>[2]底表!DN84</f>
        <v>0</v>
      </c>
      <c r="CB84" s="21">
        <f>[2]底表!DO84</f>
        <v>0</v>
      </c>
      <c r="CC84" s="21" t="str">
        <f>[2]底表!DP84</f>
        <v>持平</v>
      </c>
      <c r="CD84" s="21">
        <f>[2]底表!DQ84</f>
        <v>0</v>
      </c>
      <c r="CE84" s="21" t="str">
        <f>[2]底表!DR84</f>
        <v>持平</v>
      </c>
      <c r="CF84" s="21">
        <f>[2]底表!DS84</f>
        <v>0</v>
      </c>
      <c r="CG84" s="21">
        <f>[2]底表!DT84</f>
        <v>0</v>
      </c>
      <c r="CH84" s="21" t="str">
        <f>[2]底表!DU84</f>
        <v>持平</v>
      </c>
      <c r="CI84" s="21">
        <f>[2]底表!DV84</f>
        <v>0</v>
      </c>
      <c r="CJ84" s="21" t="str">
        <f>[2]底表!DW84</f>
        <v>持平</v>
      </c>
      <c r="CK84" s="21">
        <f>[2]底表!DX84</f>
        <v>0</v>
      </c>
      <c r="CL84" s="21">
        <f>[2]底表!DY84</f>
        <v>0</v>
      </c>
      <c r="CM84" s="21" t="str">
        <f>[2]底表!DZ84</f>
        <v>持平</v>
      </c>
      <c r="CN84" s="21">
        <f>[2]底表!EA84</f>
        <v>0</v>
      </c>
      <c r="CO84" s="21" t="str">
        <f>[2]底表!EB84</f>
        <v>持平</v>
      </c>
      <c r="CP84" s="21">
        <f>[2]底表!EC84</f>
        <v>0</v>
      </c>
      <c r="CQ84" s="21">
        <f>[2]底表!ED84</f>
        <v>0</v>
      </c>
      <c r="CR84" s="21" t="str">
        <f>[2]底表!EE84</f>
        <v>持平</v>
      </c>
      <c r="CS84" s="21">
        <f>[2]底表!EF84</f>
        <v>0</v>
      </c>
      <c r="CT84" s="21" t="str">
        <f>[2]底表!EG84</f>
        <v>持平</v>
      </c>
      <c r="CU84" s="21" t="str">
        <f>[2]底表!EH84</f>
        <v/>
      </c>
      <c r="CV84" s="21" t="str">
        <f>[2]底表!EI84</f>
        <v/>
      </c>
      <c r="CW84" s="21" t="str">
        <f>[2]底表!EJ84</f>
        <v/>
      </c>
      <c r="CX84" s="21" t="str">
        <f>[2]底表!EK84</f>
        <v/>
      </c>
      <c r="CY84" s="21" t="str">
        <f>[2]底表!EL84</f>
        <v/>
      </c>
      <c r="CZ84" s="21">
        <f>[2]底表!EM84</f>
        <v>0</v>
      </c>
      <c r="DA84" s="21">
        <f>[2]底表!EN84</f>
        <v>0</v>
      </c>
      <c r="DB84" s="21" t="str">
        <f>[2]底表!EO84</f>
        <v>持平</v>
      </c>
      <c r="DC84" s="21">
        <f>[2]底表!EP84</f>
        <v>0</v>
      </c>
      <c r="DD84" s="21" t="str">
        <f>[2]底表!EQ84</f>
        <v>持平</v>
      </c>
      <c r="DE84" s="21">
        <f>[2]底表!ER84</f>
        <v>0</v>
      </c>
      <c r="DF84" s="21">
        <f>[2]底表!ES84</f>
        <v>0</v>
      </c>
      <c r="DG84" s="23" t="str">
        <f>[2]底表!ET84</f>
        <v>持平</v>
      </c>
      <c r="DH84" s="21">
        <f>[2]底表!EU84</f>
        <v>0</v>
      </c>
      <c r="DI84" s="21" t="str">
        <f>[2]底表!EV84</f>
        <v>持平</v>
      </c>
      <c r="DJ84" s="21" t="str">
        <f>[2]底表!EW84</f>
        <v/>
      </c>
      <c r="DK84" s="21" t="str">
        <f>[2]底表!EX84</f>
        <v/>
      </c>
      <c r="DL84" s="21" t="str">
        <f>[2]底表!EY84</f>
        <v/>
      </c>
      <c r="DM84" s="21" t="str">
        <f>[2]底表!EZ84</f>
        <v/>
      </c>
      <c r="DN84" s="21" t="str">
        <f>[2]底表!FA84</f>
        <v/>
      </c>
      <c r="DO84" s="21">
        <f>[2]底表!BQ84</f>
        <v>0</v>
      </c>
      <c r="DP84" s="21">
        <f>[2]底表!BR84</f>
        <v>0</v>
      </c>
      <c r="DQ84" s="24" t="str">
        <f>[2]底表!BS84</f>
        <v>持平</v>
      </c>
    </row>
    <row r="85" s="2" customFormat="1" ht="32" hidden="1" customHeight="1" spans="1:121">
      <c r="A85" s="27" t="str">
        <f>[2]底表!A85</f>
        <v>入室盗窃</v>
      </c>
      <c r="B85" s="28" t="str">
        <f>[2]底表!B85</f>
        <v>新兴县</v>
      </c>
      <c r="C85" s="21">
        <f>[2]底表!AM85</f>
        <v>0</v>
      </c>
      <c r="D85" s="21">
        <f>[2]底表!AN85</f>
        <v>0</v>
      </c>
      <c r="E85" s="23" t="str">
        <f>[2]底表!AO85</f>
        <v>持平</v>
      </c>
      <c r="F85" s="21">
        <f>[2]底表!AP85</f>
        <v>0</v>
      </c>
      <c r="G85" s="21" t="str">
        <f>[2]底表!AQ85</f>
        <v>持平</v>
      </c>
      <c r="H85" s="21" t="str">
        <f>[2]底表!AR85</f>
        <v/>
      </c>
      <c r="I85" s="21" t="str">
        <f>[2]底表!AS85</f>
        <v/>
      </c>
      <c r="J85" s="21">
        <f>[2]底表!AT85</f>
        <v>0</v>
      </c>
      <c r="K85" s="21">
        <f>[2]底表!AU85</f>
        <v>0</v>
      </c>
      <c r="L85" s="21" t="str">
        <f>[2]底表!AV85</f>
        <v>持平</v>
      </c>
      <c r="M85" s="21">
        <f>[2]底表!AW85</f>
        <v>0</v>
      </c>
      <c r="N85" s="21" t="str">
        <f>[2]底表!AX85</f>
        <v>持平</v>
      </c>
      <c r="O85" s="21">
        <f>[2]底表!AY85</f>
        <v>0</v>
      </c>
      <c r="P85" s="21">
        <f>[2]底表!AZ85</f>
        <v>0</v>
      </c>
      <c r="Q85" s="21" t="str">
        <f>[2]底表!BA85</f>
        <v>持平</v>
      </c>
      <c r="R85" s="21">
        <f>[2]底表!BB85</f>
        <v>0</v>
      </c>
      <c r="S85" s="21" t="str">
        <f>[2]底表!BC85</f>
        <v>持平</v>
      </c>
      <c r="T85" s="21" t="str">
        <f>[2]底表!BD85</f>
        <v/>
      </c>
      <c r="U85" s="21" t="str">
        <f>[2]底表!BE85</f>
        <v/>
      </c>
      <c r="V85" s="21">
        <f>[2]底表!BF85</f>
        <v>0</v>
      </c>
      <c r="W85" s="21">
        <f>[2]底表!BG85</f>
        <v>0</v>
      </c>
      <c r="X85" s="21" t="str">
        <f>[2]底表!BH85</f>
        <v>持平</v>
      </c>
      <c r="Y85" s="21">
        <f>[2]底表!BI85</f>
        <v>0</v>
      </c>
      <c r="Z85" s="21" t="str">
        <f>[2]底表!BJ85</f>
        <v>持平</v>
      </c>
      <c r="AA85" s="21" t="str">
        <f>[2]底表!BK85</f>
        <v/>
      </c>
      <c r="AB85" s="21">
        <f>[2]底表!BL85</f>
        <v>0</v>
      </c>
      <c r="AC85" s="21">
        <f>[2]底表!BM85</f>
        <v>0</v>
      </c>
      <c r="AD85" s="21" t="str">
        <f>[2]底表!BN85</f>
        <v>持平</v>
      </c>
      <c r="AE85" s="21">
        <f>[2]底表!BO85</f>
        <v>0</v>
      </c>
      <c r="AF85" s="21" t="str">
        <f>[2]底表!BP85</f>
        <v>持平</v>
      </c>
      <c r="AG85" s="21">
        <f>[2]底表!BT85</f>
        <v>0</v>
      </c>
      <c r="AH85" s="21" t="str">
        <f>[2]底表!BU85</f>
        <v>持平</v>
      </c>
      <c r="AI85" s="21" t="str">
        <f>[2]底表!BV85</f>
        <v/>
      </c>
      <c r="AJ85" s="21" t="str">
        <f>[2]底表!BW85</f>
        <v/>
      </c>
      <c r="AK85" s="21" t="str">
        <f>[2]底表!BX85</f>
        <v/>
      </c>
      <c r="AL85" s="21" t="str">
        <f>[2]底表!BY85</f>
        <v/>
      </c>
      <c r="AM85" s="21">
        <f>[2]底表!BZ85</f>
        <v>0</v>
      </c>
      <c r="AN85" s="21">
        <f>[2]底表!CA85</f>
        <v>0</v>
      </c>
      <c r="AO85" s="21" t="str">
        <f>[2]底表!CB85</f>
        <v>持平</v>
      </c>
      <c r="AP85" s="21">
        <f>[2]底表!CC85</f>
        <v>0</v>
      </c>
      <c r="AQ85" s="21" t="str">
        <f>[2]底表!CD85</f>
        <v>持平</v>
      </c>
      <c r="AR85" s="21" t="str">
        <f>[2]底表!CE85</f>
        <v/>
      </c>
      <c r="AS85" s="21" t="str">
        <f>[2]底表!CF85</f>
        <v/>
      </c>
      <c r="AT85" s="21">
        <f>[2]底表!CG85</f>
        <v>0</v>
      </c>
      <c r="AU85" s="21">
        <f>[2]底表!CH85</f>
        <v>0</v>
      </c>
      <c r="AV85" s="21" t="str">
        <f>[2]底表!CI85</f>
        <v>持平</v>
      </c>
      <c r="AW85" s="21">
        <f>[2]底表!CJ85</f>
        <v>0</v>
      </c>
      <c r="AX85" s="21" t="str">
        <f>[2]底表!CK85</f>
        <v>持平</v>
      </c>
      <c r="AY85" s="21" t="str">
        <f>[2]底表!CL85</f>
        <v/>
      </c>
      <c r="AZ85" s="21" t="str">
        <f>[2]底表!CM85</f>
        <v/>
      </c>
      <c r="BA85" s="21" t="str">
        <f>[2]底表!CN85</f>
        <v/>
      </c>
      <c r="BB85" s="21">
        <f>[2]底表!CO85</f>
        <v>0</v>
      </c>
      <c r="BC85" s="21">
        <f>[2]底表!CP85</f>
        <v>0</v>
      </c>
      <c r="BD85" s="21" t="str">
        <f>[2]底表!CQ85</f>
        <v>持平</v>
      </c>
      <c r="BE85" s="21">
        <f>[2]底表!CR85</f>
        <v>0</v>
      </c>
      <c r="BF85" s="21" t="str">
        <f>[2]底表!CS85</f>
        <v>持平</v>
      </c>
      <c r="BG85" s="21" t="str">
        <f>[2]底表!CT85</f>
        <v/>
      </c>
      <c r="BH85" s="21" t="str">
        <f>[2]底表!CU85</f>
        <v/>
      </c>
      <c r="BI85" s="21" t="str">
        <f>[2]底表!CV85</f>
        <v/>
      </c>
      <c r="BJ85" s="21" t="str">
        <f>[2]底表!CW85</f>
        <v/>
      </c>
      <c r="BK85" s="21" t="str">
        <f>[2]底表!CX85</f>
        <v/>
      </c>
      <c r="BL85" s="21">
        <f>[2]底表!CY85</f>
        <v>0</v>
      </c>
      <c r="BM85" s="21">
        <f>[2]底表!CZ85</f>
        <v>0</v>
      </c>
      <c r="BN85" s="23" t="str">
        <f>[2]底表!DA85</f>
        <v>持平</v>
      </c>
      <c r="BO85" s="21">
        <f>[2]底表!DB85</f>
        <v>0</v>
      </c>
      <c r="BP85" s="21" t="str">
        <f>[2]底表!DC85</f>
        <v>持平</v>
      </c>
      <c r="BQ85" s="21" t="str">
        <f>[2]底表!DD85</f>
        <v/>
      </c>
      <c r="BR85" s="21" t="str">
        <f>[2]底表!DE85</f>
        <v/>
      </c>
      <c r="BS85" s="21" t="str">
        <f>[2]底表!DF85</f>
        <v/>
      </c>
      <c r="BT85" s="21" t="str">
        <f>[2]底表!DG85</f>
        <v/>
      </c>
      <c r="BU85" s="21" t="str">
        <f>[2]底表!DH85</f>
        <v/>
      </c>
      <c r="BV85" s="21">
        <f>[2]底表!DI85</f>
        <v>0</v>
      </c>
      <c r="BW85" s="21">
        <f>[2]底表!DJ85</f>
        <v>0</v>
      </c>
      <c r="BX85" s="23" t="str">
        <f>[2]底表!DK85</f>
        <v>持平</v>
      </c>
      <c r="BY85" s="21">
        <f>[2]底表!DL85</f>
        <v>0</v>
      </c>
      <c r="BZ85" s="21" t="str">
        <f>[2]底表!DM85</f>
        <v>持平</v>
      </c>
      <c r="CA85" s="21">
        <f>[2]底表!DN85</f>
        <v>0</v>
      </c>
      <c r="CB85" s="21">
        <f>[2]底表!DO85</f>
        <v>0</v>
      </c>
      <c r="CC85" s="21" t="str">
        <f>[2]底表!DP85</f>
        <v>持平</v>
      </c>
      <c r="CD85" s="21">
        <f>[2]底表!DQ85</f>
        <v>0</v>
      </c>
      <c r="CE85" s="21" t="str">
        <f>[2]底表!DR85</f>
        <v>持平</v>
      </c>
      <c r="CF85" s="21">
        <f>[2]底表!DS85</f>
        <v>0</v>
      </c>
      <c r="CG85" s="21">
        <f>[2]底表!DT85</f>
        <v>0</v>
      </c>
      <c r="CH85" s="21" t="str">
        <f>[2]底表!DU85</f>
        <v>持平</v>
      </c>
      <c r="CI85" s="21">
        <f>[2]底表!DV85</f>
        <v>0</v>
      </c>
      <c r="CJ85" s="21" t="str">
        <f>[2]底表!DW85</f>
        <v>持平</v>
      </c>
      <c r="CK85" s="21">
        <f>[2]底表!DX85</f>
        <v>0</v>
      </c>
      <c r="CL85" s="21">
        <f>[2]底表!DY85</f>
        <v>0</v>
      </c>
      <c r="CM85" s="21" t="str">
        <f>[2]底表!DZ85</f>
        <v>持平</v>
      </c>
      <c r="CN85" s="21">
        <f>[2]底表!EA85</f>
        <v>0</v>
      </c>
      <c r="CO85" s="21" t="str">
        <f>[2]底表!EB85</f>
        <v>持平</v>
      </c>
      <c r="CP85" s="21">
        <f>[2]底表!EC85</f>
        <v>0</v>
      </c>
      <c r="CQ85" s="21">
        <f>[2]底表!ED85</f>
        <v>0</v>
      </c>
      <c r="CR85" s="21" t="str">
        <f>[2]底表!EE85</f>
        <v>持平</v>
      </c>
      <c r="CS85" s="21">
        <f>[2]底表!EF85</f>
        <v>0</v>
      </c>
      <c r="CT85" s="21" t="str">
        <f>[2]底表!EG85</f>
        <v>持平</v>
      </c>
      <c r="CU85" s="21" t="str">
        <f>[2]底表!EH85</f>
        <v/>
      </c>
      <c r="CV85" s="21" t="str">
        <f>[2]底表!EI85</f>
        <v/>
      </c>
      <c r="CW85" s="21" t="str">
        <f>[2]底表!EJ85</f>
        <v/>
      </c>
      <c r="CX85" s="21" t="str">
        <f>[2]底表!EK85</f>
        <v/>
      </c>
      <c r="CY85" s="21" t="str">
        <f>[2]底表!EL85</f>
        <v/>
      </c>
      <c r="CZ85" s="21">
        <f>[2]底表!EM85</f>
        <v>0</v>
      </c>
      <c r="DA85" s="21">
        <f>[2]底表!EN85</f>
        <v>0</v>
      </c>
      <c r="DB85" s="21" t="str">
        <f>[2]底表!EO85</f>
        <v>持平</v>
      </c>
      <c r="DC85" s="21">
        <f>[2]底表!EP85</f>
        <v>0</v>
      </c>
      <c r="DD85" s="21" t="str">
        <f>[2]底表!EQ85</f>
        <v>持平</v>
      </c>
      <c r="DE85" s="21">
        <f>[2]底表!ER85</f>
        <v>0</v>
      </c>
      <c r="DF85" s="21">
        <f>[2]底表!ES85</f>
        <v>0</v>
      </c>
      <c r="DG85" s="23" t="str">
        <f>[2]底表!ET85</f>
        <v>持平</v>
      </c>
      <c r="DH85" s="21">
        <f>[2]底表!EU85</f>
        <v>0</v>
      </c>
      <c r="DI85" s="21" t="str">
        <f>[2]底表!EV85</f>
        <v>持平</v>
      </c>
      <c r="DJ85" s="21" t="str">
        <f>[2]底表!EW85</f>
        <v/>
      </c>
      <c r="DK85" s="21" t="str">
        <f>[2]底表!EX85</f>
        <v/>
      </c>
      <c r="DL85" s="21" t="str">
        <f>[2]底表!EY85</f>
        <v/>
      </c>
      <c r="DM85" s="21" t="str">
        <f>[2]底表!EZ85</f>
        <v/>
      </c>
      <c r="DN85" s="21" t="str">
        <f>[2]底表!FA85</f>
        <v/>
      </c>
      <c r="DO85" s="21">
        <f>[2]底表!BQ85</f>
        <v>0</v>
      </c>
      <c r="DP85" s="21">
        <f>[2]底表!BR85</f>
        <v>0</v>
      </c>
      <c r="DQ85" s="24" t="str">
        <f>[2]底表!BS85</f>
        <v>持平</v>
      </c>
    </row>
    <row r="86" s="2" customFormat="1" ht="32" hidden="1" customHeight="1" spans="1:121">
      <c r="A86" s="27" t="str">
        <f>[2]底表!A86</f>
        <v>入室盗窃</v>
      </c>
      <c r="B86" s="28" t="str">
        <f>[2]底表!B86</f>
        <v>郁南县</v>
      </c>
      <c r="C86" s="21">
        <f>[2]底表!AM86</f>
        <v>0</v>
      </c>
      <c r="D86" s="21">
        <f>[2]底表!AN86</f>
        <v>0</v>
      </c>
      <c r="E86" s="23" t="str">
        <f>[2]底表!AO86</f>
        <v>持平</v>
      </c>
      <c r="F86" s="21">
        <f>[2]底表!AP86</f>
        <v>0</v>
      </c>
      <c r="G86" s="21" t="str">
        <f>[2]底表!AQ86</f>
        <v>持平</v>
      </c>
      <c r="H86" s="21" t="str">
        <f>[2]底表!AR86</f>
        <v/>
      </c>
      <c r="I86" s="21" t="str">
        <f>[2]底表!AS86</f>
        <v/>
      </c>
      <c r="J86" s="21">
        <f>[2]底表!AT86</f>
        <v>0</v>
      </c>
      <c r="K86" s="21">
        <f>[2]底表!AU86</f>
        <v>0</v>
      </c>
      <c r="L86" s="21" t="str">
        <f>[2]底表!AV86</f>
        <v>持平</v>
      </c>
      <c r="M86" s="21">
        <f>[2]底表!AW86</f>
        <v>0</v>
      </c>
      <c r="N86" s="21" t="str">
        <f>[2]底表!AX86</f>
        <v>持平</v>
      </c>
      <c r="O86" s="21">
        <f>[2]底表!AY86</f>
        <v>0</v>
      </c>
      <c r="P86" s="21">
        <f>[2]底表!AZ86</f>
        <v>0</v>
      </c>
      <c r="Q86" s="21" t="str">
        <f>[2]底表!BA86</f>
        <v>持平</v>
      </c>
      <c r="R86" s="21">
        <f>[2]底表!BB86</f>
        <v>0</v>
      </c>
      <c r="S86" s="21" t="str">
        <f>[2]底表!BC86</f>
        <v>持平</v>
      </c>
      <c r="T86" s="21" t="str">
        <f>[2]底表!BD86</f>
        <v/>
      </c>
      <c r="U86" s="21" t="str">
        <f>[2]底表!BE86</f>
        <v/>
      </c>
      <c r="V86" s="21">
        <f>[2]底表!BF86</f>
        <v>0</v>
      </c>
      <c r="W86" s="21">
        <f>[2]底表!BG86</f>
        <v>0</v>
      </c>
      <c r="X86" s="21" t="str">
        <f>[2]底表!BH86</f>
        <v>持平</v>
      </c>
      <c r="Y86" s="21">
        <f>[2]底表!BI86</f>
        <v>0</v>
      </c>
      <c r="Z86" s="21" t="str">
        <f>[2]底表!BJ86</f>
        <v>持平</v>
      </c>
      <c r="AA86" s="21" t="str">
        <f>[2]底表!BK86</f>
        <v/>
      </c>
      <c r="AB86" s="21">
        <f>[2]底表!BL86</f>
        <v>0</v>
      </c>
      <c r="AC86" s="21">
        <f>[2]底表!BM86</f>
        <v>0</v>
      </c>
      <c r="AD86" s="21" t="str">
        <f>[2]底表!BN86</f>
        <v>持平</v>
      </c>
      <c r="AE86" s="21">
        <f>[2]底表!BO86</f>
        <v>0</v>
      </c>
      <c r="AF86" s="21" t="str">
        <f>[2]底表!BP86</f>
        <v>持平</v>
      </c>
      <c r="AG86" s="21">
        <f>[2]底表!BT86</f>
        <v>0</v>
      </c>
      <c r="AH86" s="21" t="str">
        <f>[2]底表!BU86</f>
        <v>持平</v>
      </c>
      <c r="AI86" s="21" t="str">
        <f>[2]底表!BV86</f>
        <v/>
      </c>
      <c r="AJ86" s="21" t="str">
        <f>[2]底表!BW86</f>
        <v/>
      </c>
      <c r="AK86" s="21" t="str">
        <f>[2]底表!BX86</f>
        <v/>
      </c>
      <c r="AL86" s="21" t="str">
        <f>[2]底表!BY86</f>
        <v/>
      </c>
      <c r="AM86" s="21">
        <f>[2]底表!BZ86</f>
        <v>0</v>
      </c>
      <c r="AN86" s="21">
        <f>[2]底表!CA86</f>
        <v>0</v>
      </c>
      <c r="AO86" s="21" t="str">
        <f>[2]底表!CB86</f>
        <v>持平</v>
      </c>
      <c r="AP86" s="21">
        <f>[2]底表!CC86</f>
        <v>0</v>
      </c>
      <c r="AQ86" s="21" t="str">
        <f>[2]底表!CD86</f>
        <v>持平</v>
      </c>
      <c r="AR86" s="21" t="str">
        <f>[2]底表!CE86</f>
        <v/>
      </c>
      <c r="AS86" s="21" t="str">
        <f>[2]底表!CF86</f>
        <v/>
      </c>
      <c r="AT86" s="21">
        <f>[2]底表!CG86</f>
        <v>0</v>
      </c>
      <c r="AU86" s="21">
        <f>[2]底表!CH86</f>
        <v>0</v>
      </c>
      <c r="AV86" s="21" t="str">
        <f>[2]底表!CI86</f>
        <v>持平</v>
      </c>
      <c r="AW86" s="21">
        <f>[2]底表!CJ86</f>
        <v>0</v>
      </c>
      <c r="AX86" s="21" t="str">
        <f>[2]底表!CK86</f>
        <v>持平</v>
      </c>
      <c r="AY86" s="21" t="str">
        <f>[2]底表!CL86</f>
        <v/>
      </c>
      <c r="AZ86" s="21" t="str">
        <f>[2]底表!CM86</f>
        <v/>
      </c>
      <c r="BA86" s="21" t="str">
        <f>[2]底表!CN86</f>
        <v/>
      </c>
      <c r="BB86" s="21">
        <f>[2]底表!CO86</f>
        <v>0</v>
      </c>
      <c r="BC86" s="21">
        <f>[2]底表!CP86</f>
        <v>0</v>
      </c>
      <c r="BD86" s="21" t="str">
        <f>[2]底表!CQ86</f>
        <v>持平</v>
      </c>
      <c r="BE86" s="21">
        <f>[2]底表!CR86</f>
        <v>0</v>
      </c>
      <c r="BF86" s="21" t="str">
        <f>[2]底表!CS86</f>
        <v>持平</v>
      </c>
      <c r="BG86" s="21" t="str">
        <f>[2]底表!CT86</f>
        <v/>
      </c>
      <c r="BH86" s="21" t="str">
        <f>[2]底表!CU86</f>
        <v/>
      </c>
      <c r="BI86" s="21" t="str">
        <f>[2]底表!CV86</f>
        <v/>
      </c>
      <c r="BJ86" s="21" t="str">
        <f>[2]底表!CW86</f>
        <v/>
      </c>
      <c r="BK86" s="21" t="str">
        <f>[2]底表!CX86</f>
        <v/>
      </c>
      <c r="BL86" s="21">
        <f>[2]底表!CY86</f>
        <v>0</v>
      </c>
      <c r="BM86" s="21">
        <f>[2]底表!CZ86</f>
        <v>0</v>
      </c>
      <c r="BN86" s="23" t="str">
        <f>[2]底表!DA86</f>
        <v>持平</v>
      </c>
      <c r="BO86" s="21">
        <f>[2]底表!DB86</f>
        <v>0</v>
      </c>
      <c r="BP86" s="21" t="str">
        <f>[2]底表!DC86</f>
        <v>持平</v>
      </c>
      <c r="BQ86" s="21" t="str">
        <f>[2]底表!DD86</f>
        <v/>
      </c>
      <c r="BR86" s="21" t="str">
        <f>[2]底表!DE86</f>
        <v/>
      </c>
      <c r="BS86" s="21" t="str">
        <f>[2]底表!DF86</f>
        <v/>
      </c>
      <c r="BT86" s="21" t="str">
        <f>[2]底表!DG86</f>
        <v/>
      </c>
      <c r="BU86" s="21" t="str">
        <f>[2]底表!DH86</f>
        <v/>
      </c>
      <c r="BV86" s="21">
        <f>[2]底表!DI86</f>
        <v>0</v>
      </c>
      <c r="BW86" s="21">
        <f>[2]底表!DJ86</f>
        <v>0</v>
      </c>
      <c r="BX86" s="23" t="str">
        <f>[2]底表!DK86</f>
        <v>持平</v>
      </c>
      <c r="BY86" s="21">
        <f>[2]底表!DL86</f>
        <v>0</v>
      </c>
      <c r="BZ86" s="21" t="str">
        <f>[2]底表!DM86</f>
        <v>持平</v>
      </c>
      <c r="CA86" s="21">
        <f>[2]底表!DN86</f>
        <v>0</v>
      </c>
      <c r="CB86" s="21">
        <f>[2]底表!DO86</f>
        <v>0</v>
      </c>
      <c r="CC86" s="21" t="str">
        <f>[2]底表!DP86</f>
        <v>持平</v>
      </c>
      <c r="CD86" s="21">
        <f>[2]底表!DQ86</f>
        <v>0</v>
      </c>
      <c r="CE86" s="21" t="str">
        <f>[2]底表!DR86</f>
        <v>持平</v>
      </c>
      <c r="CF86" s="21">
        <f>[2]底表!DS86</f>
        <v>0</v>
      </c>
      <c r="CG86" s="21">
        <f>[2]底表!DT86</f>
        <v>0</v>
      </c>
      <c r="CH86" s="21" t="str">
        <f>[2]底表!DU86</f>
        <v>持平</v>
      </c>
      <c r="CI86" s="21">
        <f>[2]底表!DV86</f>
        <v>0</v>
      </c>
      <c r="CJ86" s="21" t="str">
        <f>[2]底表!DW86</f>
        <v>持平</v>
      </c>
      <c r="CK86" s="21">
        <f>[2]底表!DX86</f>
        <v>0</v>
      </c>
      <c r="CL86" s="21">
        <f>[2]底表!DY86</f>
        <v>0</v>
      </c>
      <c r="CM86" s="21" t="str">
        <f>[2]底表!DZ86</f>
        <v>持平</v>
      </c>
      <c r="CN86" s="21">
        <f>[2]底表!EA86</f>
        <v>0</v>
      </c>
      <c r="CO86" s="21" t="str">
        <f>[2]底表!EB86</f>
        <v>持平</v>
      </c>
      <c r="CP86" s="21">
        <f>[2]底表!EC86</f>
        <v>0</v>
      </c>
      <c r="CQ86" s="21">
        <f>[2]底表!ED86</f>
        <v>0</v>
      </c>
      <c r="CR86" s="21" t="str">
        <f>[2]底表!EE86</f>
        <v>持平</v>
      </c>
      <c r="CS86" s="21">
        <f>[2]底表!EF86</f>
        <v>0</v>
      </c>
      <c r="CT86" s="21" t="str">
        <f>[2]底表!EG86</f>
        <v>持平</v>
      </c>
      <c r="CU86" s="21" t="str">
        <f>[2]底表!EH86</f>
        <v/>
      </c>
      <c r="CV86" s="21" t="str">
        <f>[2]底表!EI86</f>
        <v/>
      </c>
      <c r="CW86" s="21" t="str">
        <f>[2]底表!EJ86</f>
        <v/>
      </c>
      <c r="CX86" s="21" t="str">
        <f>[2]底表!EK86</f>
        <v/>
      </c>
      <c r="CY86" s="21" t="str">
        <f>[2]底表!EL86</f>
        <v/>
      </c>
      <c r="CZ86" s="21">
        <f>[2]底表!EM86</f>
        <v>0</v>
      </c>
      <c r="DA86" s="21">
        <f>[2]底表!EN86</f>
        <v>0</v>
      </c>
      <c r="DB86" s="21" t="str">
        <f>[2]底表!EO86</f>
        <v>持平</v>
      </c>
      <c r="DC86" s="21">
        <f>[2]底表!EP86</f>
        <v>0</v>
      </c>
      <c r="DD86" s="21" t="str">
        <f>[2]底表!EQ86</f>
        <v>持平</v>
      </c>
      <c r="DE86" s="21">
        <f>[2]底表!ER86</f>
        <v>0</v>
      </c>
      <c r="DF86" s="21">
        <f>[2]底表!ES86</f>
        <v>0</v>
      </c>
      <c r="DG86" s="23" t="str">
        <f>[2]底表!ET86</f>
        <v>持平</v>
      </c>
      <c r="DH86" s="21">
        <f>[2]底表!EU86</f>
        <v>0</v>
      </c>
      <c r="DI86" s="21" t="str">
        <f>[2]底表!EV86</f>
        <v>持平</v>
      </c>
      <c r="DJ86" s="21" t="str">
        <f>[2]底表!EW86</f>
        <v/>
      </c>
      <c r="DK86" s="21" t="str">
        <f>[2]底表!EX86</f>
        <v/>
      </c>
      <c r="DL86" s="21" t="str">
        <f>[2]底表!EY86</f>
        <v/>
      </c>
      <c r="DM86" s="21" t="str">
        <f>[2]底表!EZ86</f>
        <v/>
      </c>
      <c r="DN86" s="21" t="str">
        <f>[2]底表!FA86</f>
        <v/>
      </c>
      <c r="DO86" s="21">
        <f>[2]底表!BQ86</f>
        <v>0</v>
      </c>
      <c r="DP86" s="21">
        <f>[2]底表!BR86</f>
        <v>0</v>
      </c>
      <c r="DQ86" s="24" t="str">
        <f>[2]底表!BS86</f>
        <v>持平</v>
      </c>
    </row>
    <row r="87" s="2" customFormat="1" ht="32" hidden="1" customHeight="1" spans="1:121">
      <c r="A87" s="27" t="str">
        <f>[2]底表!A87</f>
        <v>入室盗窃</v>
      </c>
      <c r="B87" s="28" t="str">
        <f>[2]底表!B87</f>
        <v>罗定市</v>
      </c>
      <c r="C87" s="21">
        <f>[2]底表!AM87</f>
        <v>0</v>
      </c>
      <c r="D87" s="21">
        <f>[2]底表!AN87</f>
        <v>0</v>
      </c>
      <c r="E87" s="23" t="str">
        <f>[2]底表!AO87</f>
        <v>持平</v>
      </c>
      <c r="F87" s="21">
        <f>[2]底表!AP87</f>
        <v>0</v>
      </c>
      <c r="G87" s="21" t="str">
        <f>[2]底表!AQ87</f>
        <v>持平</v>
      </c>
      <c r="H87" s="21" t="str">
        <f>[2]底表!AR87</f>
        <v/>
      </c>
      <c r="I87" s="21" t="str">
        <f>[2]底表!AS87</f>
        <v/>
      </c>
      <c r="J87" s="21">
        <f>[2]底表!AT87</f>
        <v>0</v>
      </c>
      <c r="K87" s="21">
        <f>[2]底表!AU87</f>
        <v>0</v>
      </c>
      <c r="L87" s="21" t="str">
        <f>[2]底表!AV87</f>
        <v>持平</v>
      </c>
      <c r="M87" s="21">
        <f>[2]底表!AW87</f>
        <v>0</v>
      </c>
      <c r="N87" s="21" t="str">
        <f>[2]底表!AX87</f>
        <v>持平</v>
      </c>
      <c r="O87" s="21">
        <f>[2]底表!AY87</f>
        <v>0</v>
      </c>
      <c r="P87" s="21">
        <f>[2]底表!AZ87</f>
        <v>0</v>
      </c>
      <c r="Q87" s="21" t="str">
        <f>[2]底表!BA87</f>
        <v>持平</v>
      </c>
      <c r="R87" s="21">
        <f>[2]底表!BB87</f>
        <v>0</v>
      </c>
      <c r="S87" s="21" t="str">
        <f>[2]底表!BC87</f>
        <v>持平</v>
      </c>
      <c r="T87" s="21" t="str">
        <f>[2]底表!BD87</f>
        <v/>
      </c>
      <c r="U87" s="21" t="str">
        <f>[2]底表!BE87</f>
        <v/>
      </c>
      <c r="V87" s="21">
        <f>[2]底表!BF87</f>
        <v>0</v>
      </c>
      <c r="W87" s="21">
        <f>[2]底表!BG87</f>
        <v>0</v>
      </c>
      <c r="X87" s="21" t="str">
        <f>[2]底表!BH87</f>
        <v>持平</v>
      </c>
      <c r="Y87" s="21">
        <f>[2]底表!BI87</f>
        <v>0</v>
      </c>
      <c r="Z87" s="21" t="str">
        <f>[2]底表!BJ87</f>
        <v>持平</v>
      </c>
      <c r="AA87" s="21" t="str">
        <f>[2]底表!BK87</f>
        <v/>
      </c>
      <c r="AB87" s="21">
        <f>[2]底表!BL87</f>
        <v>0</v>
      </c>
      <c r="AC87" s="21">
        <f>[2]底表!BM87</f>
        <v>0</v>
      </c>
      <c r="AD87" s="21" t="str">
        <f>[2]底表!BN87</f>
        <v>持平</v>
      </c>
      <c r="AE87" s="21">
        <f>[2]底表!BO87</f>
        <v>0</v>
      </c>
      <c r="AF87" s="21" t="str">
        <f>[2]底表!BP87</f>
        <v>持平</v>
      </c>
      <c r="AG87" s="21">
        <f>[2]底表!BT87</f>
        <v>0</v>
      </c>
      <c r="AH87" s="21" t="str">
        <f>[2]底表!BU87</f>
        <v>持平</v>
      </c>
      <c r="AI87" s="21" t="str">
        <f>[2]底表!BV87</f>
        <v/>
      </c>
      <c r="AJ87" s="21" t="str">
        <f>[2]底表!BW87</f>
        <v/>
      </c>
      <c r="AK87" s="21" t="str">
        <f>[2]底表!BX87</f>
        <v/>
      </c>
      <c r="AL87" s="21" t="str">
        <f>[2]底表!BY87</f>
        <v/>
      </c>
      <c r="AM87" s="21">
        <f>[2]底表!BZ87</f>
        <v>0</v>
      </c>
      <c r="AN87" s="21">
        <f>[2]底表!CA87</f>
        <v>0</v>
      </c>
      <c r="AO87" s="21" t="str">
        <f>[2]底表!CB87</f>
        <v>持平</v>
      </c>
      <c r="AP87" s="21">
        <f>[2]底表!CC87</f>
        <v>0</v>
      </c>
      <c r="AQ87" s="21" t="str">
        <f>[2]底表!CD87</f>
        <v>持平</v>
      </c>
      <c r="AR87" s="21" t="str">
        <f>[2]底表!CE87</f>
        <v/>
      </c>
      <c r="AS87" s="21" t="str">
        <f>[2]底表!CF87</f>
        <v/>
      </c>
      <c r="AT87" s="21">
        <f>[2]底表!CG87</f>
        <v>1</v>
      </c>
      <c r="AU87" s="21">
        <f>[2]底表!CH87</f>
        <v>0</v>
      </c>
      <c r="AV87" s="21" t="str">
        <f>[2]底表!CI87</f>
        <v>多1人</v>
      </c>
      <c r="AW87" s="21">
        <f>[2]底表!CJ87</f>
        <v>0</v>
      </c>
      <c r="AX87" s="21" t="str">
        <f>[2]底表!CK87</f>
        <v>多1人</v>
      </c>
      <c r="AY87" s="21" t="str">
        <f>[2]底表!CL87</f>
        <v/>
      </c>
      <c r="AZ87" s="21" t="str">
        <f>[2]底表!CM87</f>
        <v/>
      </c>
      <c r="BA87" s="21" t="str">
        <f>[2]底表!CN87</f>
        <v/>
      </c>
      <c r="BB87" s="21">
        <f>[2]底表!CO87</f>
        <v>1</v>
      </c>
      <c r="BC87" s="21">
        <f>[2]底表!CP87</f>
        <v>0</v>
      </c>
      <c r="BD87" s="21" t="str">
        <f>[2]底表!CQ87</f>
        <v>多1人</v>
      </c>
      <c r="BE87" s="21">
        <f>[2]底表!CR87</f>
        <v>0</v>
      </c>
      <c r="BF87" s="21" t="str">
        <f>[2]底表!CS87</f>
        <v>多1人</v>
      </c>
      <c r="BG87" s="21">
        <f>[2]底表!CT87</f>
        <v>1</v>
      </c>
      <c r="BH87" s="21" t="str">
        <f>[2]底表!CU87</f>
        <v/>
      </c>
      <c r="BI87" s="21" t="str">
        <f>[2]底表!CV87</f>
        <v/>
      </c>
      <c r="BJ87" s="21" t="str">
        <f>[2]底表!CW87</f>
        <v/>
      </c>
      <c r="BK87" s="21" t="str">
        <f>[2]底表!CX87</f>
        <v/>
      </c>
      <c r="BL87" s="21">
        <f>[2]底表!CY87</f>
        <v>1</v>
      </c>
      <c r="BM87" s="21">
        <f>[2]底表!CZ87</f>
        <v>0</v>
      </c>
      <c r="BN87" s="23" t="str">
        <f>[2]底表!DA87</f>
        <v>多1人</v>
      </c>
      <c r="BO87" s="21">
        <f>[2]底表!DB87</f>
        <v>0</v>
      </c>
      <c r="BP87" s="21" t="str">
        <f>[2]底表!DC87</f>
        <v>多1人</v>
      </c>
      <c r="BQ87" s="21">
        <f>[2]底表!DD87</f>
        <v>1</v>
      </c>
      <c r="BR87" s="21" t="str">
        <f>[2]底表!DE87</f>
        <v/>
      </c>
      <c r="BS87" s="21" t="str">
        <f>[2]底表!DF87</f>
        <v/>
      </c>
      <c r="BT87" s="21" t="str">
        <f>[2]底表!DG87</f>
        <v/>
      </c>
      <c r="BU87" s="21" t="str">
        <f>[2]底表!DH87</f>
        <v/>
      </c>
      <c r="BV87" s="21">
        <f>[2]底表!DI87</f>
        <v>0</v>
      </c>
      <c r="BW87" s="21">
        <f>[2]底表!DJ87</f>
        <v>0</v>
      </c>
      <c r="BX87" s="23" t="str">
        <f>[2]底表!DK87</f>
        <v>持平</v>
      </c>
      <c r="BY87" s="21">
        <f>[2]底表!DL87</f>
        <v>0</v>
      </c>
      <c r="BZ87" s="21" t="str">
        <f>[2]底表!DM87</f>
        <v>持平</v>
      </c>
      <c r="CA87" s="21">
        <f>[2]底表!DN87</f>
        <v>0</v>
      </c>
      <c r="CB87" s="21">
        <f>[2]底表!DO87</f>
        <v>0</v>
      </c>
      <c r="CC87" s="21" t="str">
        <f>[2]底表!DP87</f>
        <v>持平</v>
      </c>
      <c r="CD87" s="21">
        <f>[2]底表!DQ87</f>
        <v>0</v>
      </c>
      <c r="CE87" s="21" t="str">
        <f>[2]底表!DR87</f>
        <v>持平</v>
      </c>
      <c r="CF87" s="21">
        <f>[2]底表!DS87</f>
        <v>0</v>
      </c>
      <c r="CG87" s="21">
        <f>[2]底表!DT87</f>
        <v>0</v>
      </c>
      <c r="CH87" s="21" t="str">
        <f>[2]底表!DU87</f>
        <v>持平</v>
      </c>
      <c r="CI87" s="21">
        <f>[2]底表!DV87</f>
        <v>0</v>
      </c>
      <c r="CJ87" s="21" t="str">
        <f>[2]底表!DW87</f>
        <v>持平</v>
      </c>
      <c r="CK87" s="21">
        <f>[2]底表!DX87</f>
        <v>1</v>
      </c>
      <c r="CL87" s="21">
        <f>[2]底表!DY87</f>
        <v>0</v>
      </c>
      <c r="CM87" s="21" t="str">
        <f>[2]底表!DZ87</f>
        <v>多1人</v>
      </c>
      <c r="CN87" s="21">
        <f>[2]底表!EA87</f>
        <v>0</v>
      </c>
      <c r="CO87" s="21" t="str">
        <f>[2]底表!EB87</f>
        <v>多1人</v>
      </c>
      <c r="CP87" s="21">
        <f>[2]底表!EC87</f>
        <v>0</v>
      </c>
      <c r="CQ87" s="21">
        <f>[2]底表!ED87</f>
        <v>0</v>
      </c>
      <c r="CR87" s="21" t="str">
        <f>[2]底表!EE87</f>
        <v>持平</v>
      </c>
      <c r="CS87" s="21">
        <f>[2]底表!EF87</f>
        <v>0</v>
      </c>
      <c r="CT87" s="21" t="str">
        <f>[2]底表!EG87</f>
        <v>持平</v>
      </c>
      <c r="CU87" s="21">
        <f>[2]底表!EH87</f>
        <v>0</v>
      </c>
      <c r="CV87" s="21" t="str">
        <f>[2]底表!EI87</f>
        <v/>
      </c>
      <c r="CW87" s="21" t="str">
        <f>[2]底表!EJ87</f>
        <v/>
      </c>
      <c r="CX87" s="21" t="str">
        <f>[2]底表!EK87</f>
        <v/>
      </c>
      <c r="CY87" s="21" t="str">
        <f>[2]底表!EL87</f>
        <v/>
      </c>
      <c r="CZ87" s="21">
        <f>[2]底表!EM87</f>
        <v>0</v>
      </c>
      <c r="DA87" s="21">
        <f>[2]底表!EN87</f>
        <v>0</v>
      </c>
      <c r="DB87" s="21" t="str">
        <f>[2]底表!EO87</f>
        <v>持平</v>
      </c>
      <c r="DC87" s="21">
        <f>[2]底表!EP87</f>
        <v>0</v>
      </c>
      <c r="DD87" s="21" t="str">
        <f>[2]底表!EQ87</f>
        <v>持平</v>
      </c>
      <c r="DE87" s="21">
        <f>[2]底表!ER87</f>
        <v>0</v>
      </c>
      <c r="DF87" s="21">
        <f>[2]底表!ES87</f>
        <v>0</v>
      </c>
      <c r="DG87" s="23" t="str">
        <f>[2]底表!ET87</f>
        <v>持平</v>
      </c>
      <c r="DH87" s="21">
        <f>[2]底表!EU87</f>
        <v>0</v>
      </c>
      <c r="DI87" s="21" t="str">
        <f>[2]底表!EV87</f>
        <v>持平</v>
      </c>
      <c r="DJ87" s="21">
        <f>[2]底表!EW87</f>
        <v>0</v>
      </c>
      <c r="DK87" s="21" t="str">
        <f>[2]底表!EX87</f>
        <v/>
      </c>
      <c r="DL87" s="21" t="str">
        <f>[2]底表!EY87</f>
        <v/>
      </c>
      <c r="DM87" s="21" t="str">
        <f>[2]底表!EZ87</f>
        <v/>
      </c>
      <c r="DN87" s="21" t="str">
        <f>[2]底表!FA87</f>
        <v/>
      </c>
      <c r="DO87" s="21">
        <f>[2]底表!BQ87</f>
        <v>0</v>
      </c>
      <c r="DP87" s="21">
        <f>[2]底表!BR87</f>
        <v>0</v>
      </c>
      <c r="DQ87" s="24" t="str">
        <f>[2]底表!BS87</f>
        <v>持平</v>
      </c>
    </row>
    <row r="88" s="2" customFormat="1" ht="32" hidden="1" customHeight="1" spans="1:121">
      <c r="A88" s="27" t="str">
        <f>[2]底表!A88</f>
        <v>诈骗</v>
      </c>
      <c r="B88" s="28" t="str">
        <f>[2]底表!B88</f>
        <v>全省</v>
      </c>
      <c r="C88" s="21">
        <f>[2]底表!AM88</f>
        <v>5874</v>
      </c>
      <c r="D88" s="21">
        <f>[2]底表!AN88</f>
        <v>2833</v>
      </c>
      <c r="E88" s="23">
        <f>[2]底表!AO88</f>
        <v>1.0734</v>
      </c>
      <c r="F88" s="21">
        <f>[2]底表!AP88</f>
        <v>15221</v>
      </c>
      <c r="G88" s="21">
        <f>[2]底表!AQ88</f>
        <v>-0.6141</v>
      </c>
      <c r="H88" s="21">
        <f>[2]底表!AR88</f>
        <v>0.4734</v>
      </c>
      <c r="I88" s="21">
        <f>[2]底表!AS88</f>
        <v>0.1141</v>
      </c>
      <c r="J88" s="21">
        <f>[2]底表!AT88</f>
        <v>6923</v>
      </c>
      <c r="K88" s="21">
        <f>[2]底表!AU88</f>
        <v>3483</v>
      </c>
      <c r="L88" s="21">
        <f>[2]底表!AV88</f>
        <v>0.9877</v>
      </c>
      <c r="M88" s="21">
        <f>[2]底表!AW88</f>
        <v>12140</v>
      </c>
      <c r="N88" s="21">
        <f>[2]底表!AX88</f>
        <v>-0.4297</v>
      </c>
      <c r="O88" s="21">
        <f>[2]底表!AY88</f>
        <v>966</v>
      </c>
      <c r="P88" s="21">
        <f>[2]底表!AZ88</f>
        <v>499</v>
      </c>
      <c r="Q88" s="21">
        <f>[2]底表!BA88</f>
        <v>0.9359</v>
      </c>
      <c r="R88" s="21">
        <f>[2]底表!BB88</f>
        <v>4121</v>
      </c>
      <c r="S88" s="21">
        <f>[2]底表!BC88</f>
        <v>-0.7656</v>
      </c>
      <c r="T88" s="21">
        <f>[2]底表!BD88</f>
        <v>0.1395</v>
      </c>
      <c r="U88" s="21">
        <f>[2]底表!BE88</f>
        <v>-0.0037</v>
      </c>
      <c r="V88" s="21">
        <f>[2]底表!BF88</f>
        <v>5484</v>
      </c>
      <c r="W88" s="21">
        <f>[2]底表!BG88</f>
        <v>4401</v>
      </c>
      <c r="X88" s="21">
        <f>[2]底表!BH88</f>
        <v>0.2461</v>
      </c>
      <c r="Y88" s="21">
        <f>[2]底表!BI88</f>
        <v>675</v>
      </c>
      <c r="Z88" s="21">
        <f>[2]底表!BJ88</f>
        <v>7.1244</v>
      </c>
      <c r="AA88" s="21">
        <f>[2]底表!BK88</f>
        <v>0.442</v>
      </c>
      <c r="AB88" s="21">
        <f>[2]底表!BL88</f>
        <v>4908</v>
      </c>
      <c r="AC88" s="21">
        <f>[2]底表!BM88</f>
        <v>2334</v>
      </c>
      <c r="AD88" s="21">
        <f>[2]底表!BN88</f>
        <v>1.1028</v>
      </c>
      <c r="AE88" s="21">
        <f>[2]底表!BO88</f>
        <v>11100</v>
      </c>
      <c r="AF88" s="21">
        <f>[2]底表!BP88</f>
        <v>-0.5578</v>
      </c>
      <c r="AG88" s="21">
        <f>[2]底表!BT88</f>
        <v>1916</v>
      </c>
      <c r="AH88" s="21">
        <f>[2]底表!BU88</f>
        <v>-0.4828</v>
      </c>
      <c r="AI88" s="21">
        <f>[2]底表!BV88</f>
        <v>0.0799</v>
      </c>
      <c r="AJ88" s="21">
        <f>[2]底表!BW88</f>
        <v>-0.0183</v>
      </c>
      <c r="AK88" s="21">
        <f>[2]底表!BX88</f>
        <v>0.1431</v>
      </c>
      <c r="AL88" s="21">
        <f>[2]底表!BY88</f>
        <v>-0.0791</v>
      </c>
      <c r="AM88" s="21">
        <f>[2]底表!BZ88</f>
        <v>12</v>
      </c>
      <c r="AN88" s="21">
        <f>[2]底表!CA88</f>
        <v>4</v>
      </c>
      <c r="AO88" s="21">
        <f>[2]底表!CB88</f>
        <v>2</v>
      </c>
      <c r="AP88" s="21">
        <f>[2]底表!CC88</f>
        <v>164</v>
      </c>
      <c r="AQ88" s="21">
        <f>[2]底表!CD88</f>
        <v>-0.9268</v>
      </c>
      <c r="AR88" s="21" t="str">
        <f>[2]底表!CE88</f>
        <v/>
      </c>
      <c r="AS88" s="21" t="str">
        <f>[2]底表!CF88</f>
        <v/>
      </c>
      <c r="AT88" s="21">
        <f>[2]底表!CG88</f>
        <v>6084</v>
      </c>
      <c r="AU88" s="21">
        <f>[2]底表!CH88</f>
        <v>3333</v>
      </c>
      <c r="AV88" s="21">
        <f>[2]底表!CI88</f>
        <v>0.8254</v>
      </c>
      <c r="AW88" s="21">
        <f>[2]底表!CJ88</f>
        <v>6522</v>
      </c>
      <c r="AX88" s="21">
        <f>[2]底表!CK88</f>
        <v>-0.0672</v>
      </c>
      <c r="AY88" s="21">
        <f>[2]底表!CL88</f>
        <v>49</v>
      </c>
      <c r="AZ88" s="21">
        <f>[2]底表!CM88</f>
        <v>7</v>
      </c>
      <c r="BA88" s="21">
        <f>[2]底表!CN88</f>
        <v>0.1599</v>
      </c>
      <c r="BB88" s="21">
        <f>[2]底表!CO88</f>
        <v>6766</v>
      </c>
      <c r="BC88" s="21">
        <f>[2]底表!CP88</f>
        <v>2610</v>
      </c>
      <c r="BD88" s="21">
        <f>[2]底表!CQ88</f>
        <v>1.5923</v>
      </c>
      <c r="BE88" s="21">
        <f>[2]底表!CR88</f>
        <v>5121</v>
      </c>
      <c r="BF88" s="21">
        <f>[2]底表!CS88</f>
        <v>0.3212</v>
      </c>
      <c r="BG88" s="21">
        <f>[2]底表!CT88</f>
        <v>1.1121</v>
      </c>
      <c r="BH88" s="21">
        <f>[2]底表!CU88</f>
        <v>0.329</v>
      </c>
      <c r="BI88" s="21">
        <f>[2]底表!CV88</f>
        <v>55</v>
      </c>
      <c r="BJ88" s="21">
        <f>[2]底表!CW88</f>
        <v>21</v>
      </c>
      <c r="BK88" s="21">
        <f>[2]底表!CX88</f>
        <v>0.6473</v>
      </c>
      <c r="BL88" s="21">
        <f>[2]底表!CY88</f>
        <v>7378</v>
      </c>
      <c r="BM88" s="21">
        <f>[2]底表!CZ88</f>
        <v>2971</v>
      </c>
      <c r="BN88" s="23">
        <f>[2]底表!DA88</f>
        <v>1.4833</v>
      </c>
      <c r="BO88" s="21">
        <f>[2]底表!DB88</f>
        <v>5685</v>
      </c>
      <c r="BP88" s="21">
        <f>[2]底表!DC88</f>
        <v>0.2978</v>
      </c>
      <c r="BQ88" s="21">
        <f>[2]底表!DD88</f>
        <v>1.2127</v>
      </c>
      <c r="BR88" s="21">
        <f>[2]底表!DE88</f>
        <v>0.3213</v>
      </c>
      <c r="BS88" s="21">
        <f>[2]底表!DF88</f>
        <v>59</v>
      </c>
      <c r="BT88" s="21">
        <f>[2]底表!DG88</f>
        <v>22</v>
      </c>
      <c r="BU88" s="21">
        <f>[2]底表!DH88</f>
        <v>0.578</v>
      </c>
      <c r="BV88" s="21">
        <f>[2]底表!DI88</f>
        <v>5530</v>
      </c>
      <c r="BW88" s="21">
        <f>[2]底表!DJ88</f>
        <v>1994</v>
      </c>
      <c r="BX88" s="23">
        <f>[2]底表!DK88</f>
        <v>1.7733</v>
      </c>
      <c r="BY88" s="21">
        <f>[2]底表!DL88</f>
        <v>4193</v>
      </c>
      <c r="BZ88" s="21">
        <f>[2]底表!DM88</f>
        <v>0.3189</v>
      </c>
      <c r="CA88" s="21">
        <f>[2]底表!DN88</f>
        <v>3567</v>
      </c>
      <c r="CB88" s="21">
        <f>[2]底表!DO88</f>
        <v>1933</v>
      </c>
      <c r="CC88" s="21">
        <f>[2]底表!DP88</f>
        <v>0.8453</v>
      </c>
      <c r="CD88" s="21">
        <f>[2]底表!DQ88</f>
        <v>3374</v>
      </c>
      <c r="CE88" s="21">
        <f>[2]底表!DR88</f>
        <v>0.0572</v>
      </c>
      <c r="CF88" s="21">
        <f>[2]底表!DS88</f>
        <v>3568</v>
      </c>
      <c r="CG88" s="21">
        <f>[2]底表!DT88</f>
        <v>1934</v>
      </c>
      <c r="CH88" s="21">
        <f>[2]底表!DU88</f>
        <v>0.8449</v>
      </c>
      <c r="CI88" s="21">
        <f>[2]底表!DV88</f>
        <v>3375</v>
      </c>
      <c r="CJ88" s="21">
        <f>[2]底表!DW88</f>
        <v>0.0572</v>
      </c>
      <c r="CK88" s="21">
        <f>[2]底表!DX88</f>
        <v>2684</v>
      </c>
      <c r="CL88" s="21">
        <f>[2]底表!DY88</f>
        <v>1782</v>
      </c>
      <c r="CM88" s="21">
        <f>[2]底表!DZ88</f>
        <v>0.5062</v>
      </c>
      <c r="CN88" s="21">
        <f>[2]底表!EA88</f>
        <v>2414</v>
      </c>
      <c r="CO88" s="21">
        <f>[2]底表!EB88</f>
        <v>0.1118</v>
      </c>
      <c r="CP88" s="21">
        <f>[2]底表!EC88</f>
        <v>1146</v>
      </c>
      <c r="CQ88" s="21">
        <f>[2]底表!ED88</f>
        <v>1178</v>
      </c>
      <c r="CR88" s="21">
        <f>[2]底表!EE88</f>
        <v>-0.0272</v>
      </c>
      <c r="CS88" s="21">
        <f>[2]底表!EF88</f>
        <v>1146</v>
      </c>
      <c r="CT88" s="21">
        <f>[2]底表!EG88</f>
        <v>0</v>
      </c>
      <c r="CU88" s="21">
        <f>[2]底表!EH88</f>
        <v>0.1694</v>
      </c>
      <c r="CV88" s="21">
        <f>[2]底表!EI88</f>
        <v>-0.282</v>
      </c>
      <c r="CW88" s="21">
        <f>[2]底表!EJ88</f>
        <v>9</v>
      </c>
      <c r="CX88" s="21">
        <f>[2]底表!EK88</f>
        <v>-6</v>
      </c>
      <c r="CY88" s="21">
        <f>[2]底表!EL88</f>
        <v>-0.3818</v>
      </c>
      <c r="CZ88" s="21">
        <f>[2]底表!EM88</f>
        <v>1207</v>
      </c>
      <c r="DA88" s="21">
        <f>[2]底表!EN88</f>
        <v>1170</v>
      </c>
      <c r="DB88" s="21">
        <f>[2]底表!EO88</f>
        <v>0.0316</v>
      </c>
      <c r="DC88" s="21">
        <f>[2]底表!EP88</f>
        <v>1163</v>
      </c>
      <c r="DD88" s="21">
        <f>[2]底表!EQ88</f>
        <v>0.0378</v>
      </c>
      <c r="DE88" s="21">
        <f>[2]底表!ER88</f>
        <v>1479</v>
      </c>
      <c r="DF88" s="21">
        <f>[2]底表!ES88</f>
        <v>1110</v>
      </c>
      <c r="DG88" s="23">
        <f>[2]底表!ET88</f>
        <v>0.3324</v>
      </c>
      <c r="DH88" s="21">
        <f>[2]底表!EU88</f>
        <v>2786</v>
      </c>
      <c r="DI88" s="21">
        <f>[2]底表!EV88</f>
        <v>-0.4691</v>
      </c>
      <c r="DJ88" s="21">
        <f>[2]底表!EW88</f>
        <v>0.2186</v>
      </c>
      <c r="DK88" s="21">
        <f>[2]底表!EX88</f>
        <v>-0.2067</v>
      </c>
      <c r="DL88" s="21">
        <f>[2]底表!EY88</f>
        <v>12</v>
      </c>
      <c r="DM88" s="21">
        <f>[2]底表!EZ88</f>
        <v>-2</v>
      </c>
      <c r="DN88" s="21">
        <f>[2]底表!FA88</f>
        <v>-0.1533</v>
      </c>
      <c r="DO88" s="21">
        <f>[2]底表!BQ88</f>
        <v>991</v>
      </c>
      <c r="DP88" s="21">
        <f>[2]底表!BR88</f>
        <v>774</v>
      </c>
      <c r="DQ88" s="24">
        <f>[2]底表!BS88</f>
        <v>0.2804</v>
      </c>
    </row>
    <row r="89" s="2" customFormat="1" ht="32" hidden="1" customHeight="1" spans="1:121">
      <c r="A89" s="27" t="str">
        <f>[2]底表!A89</f>
        <v>诈骗</v>
      </c>
      <c r="B89" s="28" t="str">
        <f>[2]底表!B89</f>
        <v>云浮</v>
      </c>
      <c r="C89" s="21">
        <f>[2]底表!AM89</f>
        <v>50</v>
      </c>
      <c r="D89" s="21">
        <f>[2]底表!AN89</f>
        <v>26</v>
      </c>
      <c r="E89" s="23">
        <f>[2]底表!AO89</f>
        <v>0.9231</v>
      </c>
      <c r="F89" s="21">
        <f>[2]底表!AP89</f>
        <v>157</v>
      </c>
      <c r="G89" s="21">
        <f>[2]底表!AQ89</f>
        <v>-0.6815</v>
      </c>
      <c r="H89" s="21">
        <f>[2]底表!AR89</f>
        <v>0.5051</v>
      </c>
      <c r="I89" s="21">
        <f>[2]底表!AS89</f>
        <v>0.2919</v>
      </c>
      <c r="J89" s="21">
        <f>[2]底表!AT89</f>
        <v>49</v>
      </c>
      <c r="K89" s="21">
        <f>[2]底表!AU89</f>
        <v>53</v>
      </c>
      <c r="L89" s="21">
        <f>[2]底表!AV89</f>
        <v>-0.0755</v>
      </c>
      <c r="M89" s="21">
        <f>[2]底表!AW89</f>
        <v>75</v>
      </c>
      <c r="N89" s="21">
        <f>[2]底表!AX89</f>
        <v>-0.3467</v>
      </c>
      <c r="O89" s="21">
        <f>[2]底表!AY89</f>
        <v>4</v>
      </c>
      <c r="P89" s="21">
        <f>[2]底表!AZ89</f>
        <v>4</v>
      </c>
      <c r="Q89" s="21">
        <f>[2]底表!BA89</f>
        <v>0</v>
      </c>
      <c r="R89" s="21">
        <f>[2]底表!BB89</f>
        <v>39</v>
      </c>
      <c r="S89" s="21">
        <f>[2]底表!BC89</f>
        <v>-0.8974</v>
      </c>
      <c r="T89" s="21">
        <f>[2]底表!BD89</f>
        <v>0.0816</v>
      </c>
      <c r="U89" s="21">
        <f>[2]底表!BE89</f>
        <v>0.0062</v>
      </c>
      <c r="V89" s="21">
        <f>[2]底表!BF89</f>
        <v>50</v>
      </c>
      <c r="W89" s="21">
        <f>[2]底表!BG89</f>
        <v>69</v>
      </c>
      <c r="X89" s="21">
        <f>[2]底表!BH89</f>
        <v>-0.2754</v>
      </c>
      <c r="Y89" s="21">
        <f>[2]底表!BI89</f>
        <v>2</v>
      </c>
      <c r="Z89" s="21">
        <f>[2]底表!BJ89</f>
        <v>24</v>
      </c>
      <c r="AA89" s="21">
        <f>[2]底表!BK89</f>
        <v>0.5051</v>
      </c>
      <c r="AB89" s="21">
        <f>[2]底表!BL89</f>
        <v>46</v>
      </c>
      <c r="AC89" s="21">
        <f>[2]底表!BM89</f>
        <v>22</v>
      </c>
      <c r="AD89" s="21">
        <f>[2]底表!BN89</f>
        <v>1.0909</v>
      </c>
      <c r="AE89" s="21">
        <f>[2]底表!BO89</f>
        <v>118</v>
      </c>
      <c r="AF89" s="21">
        <f>[2]底表!BP89</f>
        <v>-0.6102</v>
      </c>
      <c r="AG89" s="21">
        <f>[2]底表!BT89</f>
        <v>19</v>
      </c>
      <c r="AH89" s="21">
        <f>[2]底表!BU89</f>
        <v>-0.3684</v>
      </c>
      <c r="AI89" s="21">
        <f>[2]底表!BV89</f>
        <v>0.1212</v>
      </c>
      <c r="AJ89" s="21">
        <f>[2]底表!BW89</f>
        <v>-0.0099</v>
      </c>
      <c r="AK89" s="21">
        <f>[2]底表!BX89</f>
        <v>0.2449</v>
      </c>
      <c r="AL89" s="21">
        <f>[2]底表!BY89</f>
        <v>-0.057</v>
      </c>
      <c r="AM89" s="21">
        <f>[2]底表!BZ89</f>
        <v>0</v>
      </c>
      <c r="AN89" s="21">
        <f>[2]底表!CA89</f>
        <v>0</v>
      </c>
      <c r="AO89" s="21" t="str">
        <f>[2]底表!CB89</f>
        <v>持平</v>
      </c>
      <c r="AP89" s="21">
        <f>[2]底表!CC89</f>
        <v>3</v>
      </c>
      <c r="AQ89" s="21" t="str">
        <f>[2]底表!CD89</f>
        <v>少3起</v>
      </c>
      <c r="AR89" s="21" t="str">
        <f>[2]底表!CE89</f>
        <v/>
      </c>
      <c r="AS89" s="21" t="str">
        <f>[2]底表!CF89</f>
        <v/>
      </c>
      <c r="AT89" s="21">
        <f>[2]底表!CG89</f>
        <v>33</v>
      </c>
      <c r="AU89" s="21">
        <f>[2]底表!CH89</f>
        <v>72</v>
      </c>
      <c r="AV89" s="21">
        <f>[2]底表!CI89</f>
        <v>-0.5417</v>
      </c>
      <c r="AW89" s="21">
        <f>[2]底表!CJ89</f>
        <v>104</v>
      </c>
      <c r="AX89" s="21">
        <f>[2]底表!CK89</f>
        <v>-0.6827</v>
      </c>
      <c r="AY89" s="21">
        <f>[2]底表!CL89</f>
        <v>33</v>
      </c>
      <c r="AZ89" s="21">
        <f>[2]底表!CM89</f>
        <v>-26</v>
      </c>
      <c r="BA89" s="21">
        <f>[2]底表!CN89</f>
        <v>-0.4352</v>
      </c>
      <c r="BB89" s="21">
        <f>[2]底表!CO89</f>
        <v>40</v>
      </c>
      <c r="BC89" s="21">
        <f>[2]底表!CP89</f>
        <v>72</v>
      </c>
      <c r="BD89" s="21">
        <f>[2]底表!CQ89</f>
        <v>-0.4444</v>
      </c>
      <c r="BE89" s="21">
        <f>[2]底表!CR89</f>
        <v>23</v>
      </c>
      <c r="BF89" s="21">
        <f>[2]底表!CS89</f>
        <v>0.7391</v>
      </c>
      <c r="BG89" s="21">
        <f>[2]底表!CT89</f>
        <v>1.2121</v>
      </c>
      <c r="BH89" s="21">
        <f>[2]底表!CU89</f>
        <v>0.2121</v>
      </c>
      <c r="BI89" s="21">
        <f>[2]底表!CV89</f>
        <v>40</v>
      </c>
      <c r="BJ89" s="21">
        <f>[2]底表!CW89</f>
        <v>-19</v>
      </c>
      <c r="BK89" s="21">
        <f>[2]底表!CX89</f>
        <v>-0.3154</v>
      </c>
      <c r="BL89" s="21">
        <f>[2]底表!CY89</f>
        <v>44</v>
      </c>
      <c r="BM89" s="21">
        <f>[2]底表!CZ89</f>
        <v>87</v>
      </c>
      <c r="BN89" s="23">
        <f>[2]底表!DA89</f>
        <v>-0.4943</v>
      </c>
      <c r="BO89" s="21">
        <f>[2]底表!DB89</f>
        <v>25</v>
      </c>
      <c r="BP89" s="21">
        <f>[2]底表!DC89</f>
        <v>0.76</v>
      </c>
      <c r="BQ89" s="21">
        <f>[2]底表!DD89</f>
        <v>1.3333</v>
      </c>
      <c r="BR89" s="21">
        <f>[2]底表!DE89</f>
        <v>0.125</v>
      </c>
      <c r="BS89" s="21">
        <f>[2]底表!DF89</f>
        <v>44</v>
      </c>
      <c r="BT89" s="21">
        <f>[2]底表!DG89</f>
        <v>-27</v>
      </c>
      <c r="BU89" s="21">
        <f>[2]底表!DH89</f>
        <v>-0.3768</v>
      </c>
      <c r="BV89" s="21">
        <f>[2]底表!DI89</f>
        <v>31</v>
      </c>
      <c r="BW89" s="21">
        <f>[2]底表!DJ89</f>
        <v>53</v>
      </c>
      <c r="BX89" s="23">
        <f>[2]底表!DK89</f>
        <v>-0.4151</v>
      </c>
      <c r="BY89" s="21">
        <f>[2]底表!DL89</f>
        <v>20</v>
      </c>
      <c r="BZ89" s="21">
        <f>[2]底表!DM89</f>
        <v>0.55</v>
      </c>
      <c r="CA89" s="21">
        <f>[2]底表!DN89</f>
        <v>17</v>
      </c>
      <c r="CB89" s="21">
        <f>[2]底表!DO89</f>
        <v>35</v>
      </c>
      <c r="CC89" s="21">
        <f>[2]底表!DP89</f>
        <v>-0.5143</v>
      </c>
      <c r="CD89" s="21">
        <f>[2]底表!DQ89</f>
        <v>24</v>
      </c>
      <c r="CE89" s="21">
        <f>[2]底表!DR89</f>
        <v>-0.2917</v>
      </c>
      <c r="CF89" s="21">
        <f>[2]底表!DS89</f>
        <v>17</v>
      </c>
      <c r="CG89" s="21">
        <f>[2]底表!DT89</f>
        <v>35</v>
      </c>
      <c r="CH89" s="21">
        <f>[2]底表!DU89</f>
        <v>-0.5143</v>
      </c>
      <c r="CI89" s="21">
        <f>[2]底表!DV89</f>
        <v>24</v>
      </c>
      <c r="CJ89" s="21">
        <f>[2]底表!DW89</f>
        <v>-0.2917</v>
      </c>
      <c r="CK89" s="21">
        <f>[2]底表!DX89</f>
        <v>20</v>
      </c>
      <c r="CL89" s="21">
        <f>[2]底表!DY89</f>
        <v>20</v>
      </c>
      <c r="CM89" s="21">
        <f>[2]底表!DZ89</f>
        <v>0</v>
      </c>
      <c r="CN89" s="21">
        <f>[2]底表!EA89</f>
        <v>27</v>
      </c>
      <c r="CO89" s="21">
        <f>[2]底表!EB89</f>
        <v>-0.2593</v>
      </c>
      <c r="CP89" s="21">
        <f>[2]底表!EC89</f>
        <v>8</v>
      </c>
      <c r="CQ89" s="21">
        <f>[2]底表!ED89</f>
        <v>16</v>
      </c>
      <c r="CR89" s="21">
        <f>[2]底表!EE89</f>
        <v>-0.5</v>
      </c>
      <c r="CS89" s="21">
        <f>[2]底表!EF89</f>
        <v>15</v>
      </c>
      <c r="CT89" s="21">
        <f>[2]底表!EG89</f>
        <v>-0.4667</v>
      </c>
      <c r="CU89" s="21">
        <f>[2]底表!EH89</f>
        <v>0.2</v>
      </c>
      <c r="CV89" s="21">
        <f>[2]底表!EI89</f>
        <v>-0.0222</v>
      </c>
      <c r="CW89" s="21">
        <f>[2]底表!EJ89</f>
        <v>8</v>
      </c>
      <c r="CX89" s="21">
        <f>[2]底表!EK89</f>
        <v>-5</v>
      </c>
      <c r="CY89" s="21">
        <f>[2]底表!EL89</f>
        <v>-0.3838</v>
      </c>
      <c r="CZ89" s="21">
        <f>[2]底表!EM89</f>
        <v>8</v>
      </c>
      <c r="DA89" s="21">
        <f>[2]底表!EN89</f>
        <v>16</v>
      </c>
      <c r="DB89" s="21">
        <f>[2]底表!EO89</f>
        <v>-0.5</v>
      </c>
      <c r="DC89" s="21">
        <f>[2]底表!EP89</f>
        <v>15</v>
      </c>
      <c r="DD89" s="21">
        <f>[2]底表!EQ89</f>
        <v>-0.4667</v>
      </c>
      <c r="DE89" s="21">
        <f>[2]底表!ER89</f>
        <v>25</v>
      </c>
      <c r="DF89" s="21">
        <f>[2]底表!ES89</f>
        <v>26</v>
      </c>
      <c r="DG89" s="23">
        <f>[2]底表!ET89</f>
        <v>-0.0385</v>
      </c>
      <c r="DH89" s="21">
        <f>[2]底表!EU89</f>
        <v>35</v>
      </c>
      <c r="DI89" s="21">
        <f>[2]底表!EV89</f>
        <v>-0.2857</v>
      </c>
      <c r="DJ89" s="21">
        <f>[2]底表!EW89</f>
        <v>0.625</v>
      </c>
      <c r="DK89" s="21">
        <f>[2]底表!EX89</f>
        <v>0.2639</v>
      </c>
      <c r="DL89" s="21">
        <f>[2]底表!EY89</f>
        <v>25</v>
      </c>
      <c r="DM89" s="21">
        <f>[2]底表!EZ89</f>
        <v>4</v>
      </c>
      <c r="DN89" s="21">
        <f>[2]底表!FA89</f>
        <v>0.1849</v>
      </c>
      <c r="DO89" s="21">
        <f>[2]底表!BQ89</f>
        <v>12</v>
      </c>
      <c r="DP89" s="21">
        <f>[2]底表!BR89</f>
        <v>16</v>
      </c>
      <c r="DQ89" s="24">
        <f>[2]底表!BS89</f>
        <v>-0.25</v>
      </c>
    </row>
    <row r="90" s="2" customFormat="1" ht="32" hidden="1" customHeight="1" spans="1:121">
      <c r="A90" s="27" t="str">
        <f>[2]底表!A90</f>
        <v>诈骗</v>
      </c>
      <c r="B90" s="28" t="str">
        <f>[2]底表!B90</f>
        <v>云城区</v>
      </c>
      <c r="C90" s="21">
        <f>[2]底表!AM90</f>
        <v>12</v>
      </c>
      <c r="D90" s="21">
        <f>[2]底表!AN90</f>
        <v>4</v>
      </c>
      <c r="E90" s="23">
        <f>[2]底表!AO90</f>
        <v>2</v>
      </c>
      <c r="F90" s="21">
        <f>[2]底表!AP90</f>
        <v>61</v>
      </c>
      <c r="G90" s="21">
        <f>[2]底表!AQ90</f>
        <v>-0.8033</v>
      </c>
      <c r="H90" s="21">
        <f>[2]底表!AR90</f>
        <v>0.4615</v>
      </c>
      <c r="I90" s="21">
        <f>[2]底表!AS90</f>
        <v>0.3439</v>
      </c>
      <c r="J90" s="21">
        <f>[2]底表!AT90</f>
        <v>3</v>
      </c>
      <c r="K90" s="21">
        <f>[2]底表!AU90</f>
        <v>8</v>
      </c>
      <c r="L90" s="21">
        <f>[2]底表!AV90</f>
        <v>-0.625</v>
      </c>
      <c r="M90" s="21">
        <f>[2]底表!AW90</f>
        <v>23</v>
      </c>
      <c r="N90" s="21">
        <f>[2]底表!AX90</f>
        <v>-0.8696</v>
      </c>
      <c r="O90" s="21">
        <f>[2]底表!AY90</f>
        <v>0</v>
      </c>
      <c r="P90" s="21">
        <f>[2]底表!AZ90</f>
        <v>0</v>
      </c>
      <c r="Q90" s="21" t="str">
        <f>[2]底表!BA90</f>
        <v>持平</v>
      </c>
      <c r="R90" s="21">
        <f>[2]底表!BB90</f>
        <v>7</v>
      </c>
      <c r="S90" s="21" t="str">
        <f>[2]底表!BC90</f>
        <v>少7起</v>
      </c>
      <c r="T90" s="21">
        <f>[2]底表!BD90</f>
        <v>0</v>
      </c>
      <c r="U90" s="21">
        <f>[2]底表!BE90</f>
        <v>0</v>
      </c>
      <c r="V90" s="21">
        <f>[2]底表!BF90</f>
        <v>23</v>
      </c>
      <c r="W90" s="21">
        <f>[2]底表!BG90</f>
        <v>26</v>
      </c>
      <c r="X90" s="21">
        <f>[2]底表!BH90</f>
        <v>-0.1154</v>
      </c>
      <c r="Y90" s="21">
        <f>[2]底表!BI90</f>
        <v>0</v>
      </c>
      <c r="Z90" s="21" t="str">
        <f>[2]底表!BJ90</f>
        <v>多23起</v>
      </c>
      <c r="AA90" s="21">
        <f>[2]底表!BK90</f>
        <v>0.8846</v>
      </c>
      <c r="AB90" s="21">
        <f>[2]底表!BL90</f>
        <v>12</v>
      </c>
      <c r="AC90" s="21">
        <f>[2]底表!BM90</f>
        <v>4</v>
      </c>
      <c r="AD90" s="21">
        <f>[2]底表!BN90</f>
        <v>2</v>
      </c>
      <c r="AE90" s="21">
        <f>[2]底表!BO90</f>
        <v>54</v>
      </c>
      <c r="AF90" s="21">
        <f>[2]底表!BP90</f>
        <v>-0.7778</v>
      </c>
      <c r="AG90" s="21">
        <f>[2]底表!BT90</f>
        <v>2</v>
      </c>
      <c r="AH90" s="21" t="str">
        <f>[2]底表!BU90</f>
        <v>少2起</v>
      </c>
      <c r="AI90" s="21">
        <f>[2]底表!BV90</f>
        <v>0</v>
      </c>
      <c r="AJ90" s="21">
        <f>[2]底表!BW90</f>
        <v>-0.1176</v>
      </c>
      <c r="AK90" s="21">
        <f>[2]底表!BX90</f>
        <v>0</v>
      </c>
      <c r="AL90" s="21">
        <f>[2]底表!BY90</f>
        <v>-0.5</v>
      </c>
      <c r="AM90" s="21">
        <f>[2]底表!BZ90</f>
        <v>0</v>
      </c>
      <c r="AN90" s="21">
        <f>[2]底表!CA90</f>
        <v>0</v>
      </c>
      <c r="AO90" s="21" t="str">
        <f>[2]底表!CB90</f>
        <v>持平</v>
      </c>
      <c r="AP90" s="21">
        <f>[2]底表!CC90</f>
        <v>1</v>
      </c>
      <c r="AQ90" s="21" t="str">
        <f>[2]底表!CD90</f>
        <v>少1起</v>
      </c>
      <c r="AR90" s="21" t="str">
        <f>[2]底表!CE90</f>
        <v/>
      </c>
      <c r="AS90" s="21" t="str">
        <f>[2]底表!CF90</f>
        <v/>
      </c>
      <c r="AT90" s="21">
        <f>[2]底表!CG90</f>
        <v>10</v>
      </c>
      <c r="AU90" s="21">
        <f>[2]底表!CH90</f>
        <v>3</v>
      </c>
      <c r="AV90" s="21">
        <f>[2]底表!CI90</f>
        <v>2.3333</v>
      </c>
      <c r="AW90" s="21">
        <f>[2]底表!CJ90</f>
        <v>24</v>
      </c>
      <c r="AX90" s="21">
        <f>[2]底表!CK90</f>
        <v>-0.5833</v>
      </c>
      <c r="AY90" s="21">
        <f>[2]底表!CL90</f>
        <v>38</v>
      </c>
      <c r="AZ90" s="21">
        <f>[2]底表!CM90</f>
        <v>30</v>
      </c>
      <c r="BA90" s="21">
        <f>[2]底表!CN90</f>
        <v>3.359</v>
      </c>
      <c r="BB90" s="21">
        <f>[2]底表!CO90</f>
        <v>15</v>
      </c>
      <c r="BC90" s="21">
        <f>[2]底表!CP90</f>
        <v>5</v>
      </c>
      <c r="BD90" s="21">
        <f>[2]底表!CQ90</f>
        <v>2</v>
      </c>
      <c r="BE90" s="21">
        <f>[2]底表!CR90</f>
        <v>5</v>
      </c>
      <c r="BF90" s="21">
        <f>[2]底表!CS90</f>
        <v>2</v>
      </c>
      <c r="BG90" s="21">
        <f>[2]底表!CT90</f>
        <v>1.5</v>
      </c>
      <c r="BH90" s="21">
        <f>[2]底表!CU90</f>
        <v>-0.1667</v>
      </c>
      <c r="BI90" s="21">
        <f>[2]底表!CV90</f>
        <v>58</v>
      </c>
      <c r="BJ90" s="21">
        <f>[2]底表!CW90</f>
        <v>43</v>
      </c>
      <c r="BK90" s="21">
        <f>[2]底表!CX90</f>
        <v>2.9231</v>
      </c>
      <c r="BL90" s="21">
        <f>[2]底表!CY90</f>
        <v>15</v>
      </c>
      <c r="BM90" s="21">
        <f>[2]底表!CZ90</f>
        <v>5</v>
      </c>
      <c r="BN90" s="23">
        <f>[2]底表!DA90</f>
        <v>2</v>
      </c>
      <c r="BO90" s="21">
        <f>[2]底表!DB90</f>
        <v>5</v>
      </c>
      <c r="BP90" s="21">
        <f>[2]底表!DC90</f>
        <v>2</v>
      </c>
      <c r="BQ90" s="21">
        <f>[2]底表!DD90</f>
        <v>1.5</v>
      </c>
      <c r="BR90" s="21">
        <f>[2]底表!DE90</f>
        <v>-0.1667</v>
      </c>
      <c r="BS90" s="21">
        <f>[2]底表!DF90</f>
        <v>58</v>
      </c>
      <c r="BT90" s="21">
        <f>[2]底表!DG90</f>
        <v>43</v>
      </c>
      <c r="BU90" s="21">
        <f>[2]底表!DH90</f>
        <v>2.9231</v>
      </c>
      <c r="BV90" s="21">
        <f>[2]底表!DI90</f>
        <v>0</v>
      </c>
      <c r="BW90" s="21">
        <f>[2]底表!DJ90</f>
        <v>0</v>
      </c>
      <c r="BX90" s="23" t="str">
        <f>[2]底表!DK90</f>
        <v>持平</v>
      </c>
      <c r="BY90" s="21">
        <f>[2]底表!DL90</f>
        <v>0</v>
      </c>
      <c r="BZ90" s="21" t="str">
        <f>[2]底表!DM90</f>
        <v>持平</v>
      </c>
      <c r="CA90" s="21">
        <f>[2]底表!DN90</f>
        <v>4</v>
      </c>
      <c r="CB90" s="21">
        <f>[2]底表!DO90</f>
        <v>1</v>
      </c>
      <c r="CC90" s="21">
        <f>[2]底表!DP90</f>
        <v>3</v>
      </c>
      <c r="CD90" s="21">
        <f>[2]底表!DQ90</f>
        <v>1</v>
      </c>
      <c r="CE90" s="21">
        <f>[2]底表!DR90</f>
        <v>3</v>
      </c>
      <c r="CF90" s="21">
        <f>[2]底表!DS90</f>
        <v>4</v>
      </c>
      <c r="CG90" s="21">
        <f>[2]底表!DT90</f>
        <v>1</v>
      </c>
      <c r="CH90" s="21">
        <f>[2]底表!DU90</f>
        <v>3</v>
      </c>
      <c r="CI90" s="21">
        <f>[2]底表!DV90</f>
        <v>1</v>
      </c>
      <c r="CJ90" s="21">
        <f>[2]底表!DW90</f>
        <v>3</v>
      </c>
      <c r="CK90" s="21">
        <f>[2]底表!DX90</f>
        <v>5</v>
      </c>
      <c r="CL90" s="21">
        <f>[2]底表!DY90</f>
        <v>5</v>
      </c>
      <c r="CM90" s="21">
        <f>[2]底表!DZ90</f>
        <v>0</v>
      </c>
      <c r="CN90" s="21">
        <f>[2]底表!EA90</f>
        <v>1</v>
      </c>
      <c r="CO90" s="21">
        <f>[2]底表!EB90</f>
        <v>4</v>
      </c>
      <c r="CP90" s="21">
        <f>[2]底表!EC90</f>
        <v>3</v>
      </c>
      <c r="CQ90" s="21">
        <f>[2]底表!ED90</f>
        <v>5</v>
      </c>
      <c r="CR90" s="21">
        <f>[2]底表!EE90</f>
        <v>-0.4</v>
      </c>
      <c r="CS90" s="21">
        <f>[2]底表!EF90</f>
        <v>0</v>
      </c>
      <c r="CT90" s="21" t="str">
        <f>[2]底表!EG90</f>
        <v>多3人</v>
      </c>
      <c r="CU90" s="21">
        <f>[2]底表!EH90</f>
        <v>0.2</v>
      </c>
      <c r="CV90" s="21">
        <f>[2]底表!EI90</f>
        <v>-0.8</v>
      </c>
      <c r="CW90" s="21">
        <f>[2]底表!EJ90</f>
        <v>12</v>
      </c>
      <c r="CX90" s="21">
        <f>[2]底表!EK90</f>
        <v>-3</v>
      </c>
      <c r="CY90" s="21">
        <f>[2]底表!EL90</f>
        <v>-0.2154</v>
      </c>
      <c r="CZ90" s="21">
        <f>[2]底表!EM90</f>
        <v>3</v>
      </c>
      <c r="DA90" s="21">
        <f>[2]底表!EN90</f>
        <v>5</v>
      </c>
      <c r="DB90" s="21">
        <f>[2]底表!EO90</f>
        <v>-0.4</v>
      </c>
      <c r="DC90" s="21">
        <f>[2]底表!EP90</f>
        <v>0</v>
      </c>
      <c r="DD90" s="21" t="str">
        <f>[2]底表!EQ90</f>
        <v>多3人</v>
      </c>
      <c r="DE90" s="21">
        <f>[2]底表!ER90</f>
        <v>0</v>
      </c>
      <c r="DF90" s="21">
        <f>[2]底表!ES90</f>
        <v>7</v>
      </c>
      <c r="DG90" s="23" t="str">
        <f>[2]底表!ET90</f>
        <v>少7人</v>
      </c>
      <c r="DH90" s="21">
        <f>[2]底表!EU90</f>
        <v>11</v>
      </c>
      <c r="DI90" s="21" t="str">
        <f>[2]底表!EV90</f>
        <v>少11人</v>
      </c>
      <c r="DJ90" s="21">
        <f>[2]底表!EW90</f>
        <v>0</v>
      </c>
      <c r="DK90" s="21">
        <f>[2]底表!EX90</f>
        <v>-1.4</v>
      </c>
      <c r="DL90" s="21">
        <f>[2]底表!EY90</f>
        <v>0</v>
      </c>
      <c r="DM90" s="21">
        <f>[2]底表!EZ90</f>
        <v>-21</v>
      </c>
      <c r="DN90" s="21">
        <f>[2]底表!FA90</f>
        <v>-1</v>
      </c>
      <c r="DO90" s="21">
        <f>[2]底表!BQ90</f>
        <v>0</v>
      </c>
      <c r="DP90" s="21">
        <f>[2]底表!BR90</f>
        <v>4</v>
      </c>
      <c r="DQ90" s="24" t="str">
        <f>[2]底表!BS90</f>
        <v>少4起</v>
      </c>
    </row>
    <row r="91" s="2" customFormat="1" ht="32" hidden="1" customHeight="1" spans="1:121">
      <c r="A91" s="27" t="str">
        <f>[2]底表!A91</f>
        <v>诈骗</v>
      </c>
      <c r="B91" s="28" t="str">
        <f>[2]底表!B91</f>
        <v>云安区</v>
      </c>
      <c r="C91" s="21">
        <f>[2]底表!AM91</f>
        <v>10</v>
      </c>
      <c r="D91" s="21">
        <f>[2]底表!AN91</f>
        <v>6</v>
      </c>
      <c r="E91" s="23">
        <f>[2]底表!AO91</f>
        <v>0.6667</v>
      </c>
      <c r="F91" s="21">
        <f>[2]底表!AP91</f>
        <v>1</v>
      </c>
      <c r="G91" s="21">
        <f>[2]底表!AQ91</f>
        <v>9</v>
      </c>
      <c r="H91" s="21">
        <f>[2]底表!AR91</f>
        <v>2.5</v>
      </c>
      <c r="I91" s="21">
        <f>[2]底表!AS91</f>
        <v>-0.5</v>
      </c>
      <c r="J91" s="21">
        <f>[2]底表!AT91</f>
        <v>4</v>
      </c>
      <c r="K91" s="21">
        <f>[2]底表!AU91</f>
        <v>2</v>
      </c>
      <c r="L91" s="21">
        <f>[2]底表!AV91</f>
        <v>1</v>
      </c>
      <c r="M91" s="21">
        <f>[2]底表!AW91</f>
        <v>3</v>
      </c>
      <c r="N91" s="21">
        <f>[2]底表!AX91</f>
        <v>0.3333</v>
      </c>
      <c r="O91" s="21">
        <f>[2]底表!AY91</f>
        <v>2</v>
      </c>
      <c r="P91" s="21">
        <f>[2]底表!AZ91</f>
        <v>0</v>
      </c>
      <c r="Q91" s="21" t="str">
        <f>[2]底表!BA91</f>
        <v>多2起</v>
      </c>
      <c r="R91" s="21">
        <f>[2]底表!BB91</f>
        <v>1</v>
      </c>
      <c r="S91" s="21">
        <f>[2]底表!BC91</f>
        <v>1</v>
      </c>
      <c r="T91" s="21">
        <f>[2]底表!BD91</f>
        <v>0.5</v>
      </c>
      <c r="U91" s="21">
        <f>[2]底表!BE91</f>
        <v>0.5</v>
      </c>
      <c r="V91" s="21">
        <f>[2]底表!BF91</f>
        <v>0</v>
      </c>
      <c r="W91" s="21">
        <f>[2]底表!BG91</f>
        <v>0</v>
      </c>
      <c r="X91" s="21" t="str">
        <f>[2]底表!BH91</f>
        <v>持平</v>
      </c>
      <c r="Y91" s="21">
        <f>[2]底表!BI91</f>
        <v>2</v>
      </c>
      <c r="Z91" s="21" t="str">
        <f>[2]底表!BJ91</f>
        <v>少2起</v>
      </c>
      <c r="AA91" s="21">
        <f>[2]底表!BK91</f>
        <v>0</v>
      </c>
      <c r="AB91" s="21">
        <f>[2]底表!BL91</f>
        <v>8</v>
      </c>
      <c r="AC91" s="21">
        <f>[2]底表!BM91</f>
        <v>6</v>
      </c>
      <c r="AD91" s="21">
        <f>[2]底表!BN91</f>
        <v>0.3333</v>
      </c>
      <c r="AE91" s="21">
        <f>[2]底表!BO91</f>
        <v>0</v>
      </c>
      <c r="AF91" s="21" t="str">
        <f>[2]底表!BP91</f>
        <v>多8起</v>
      </c>
      <c r="AG91" s="21">
        <f>[2]底表!BT91</f>
        <v>0</v>
      </c>
      <c r="AH91" s="21" t="str">
        <f>[2]底表!BU91</f>
        <v>多3起</v>
      </c>
      <c r="AI91" s="21">
        <f>[2]底表!BV91</f>
        <v>0.75</v>
      </c>
      <c r="AJ91" s="21">
        <f>[2]底表!BW91</f>
        <v>-0.25</v>
      </c>
      <c r="AK91" s="21">
        <f>[2]底表!BX91</f>
        <v>0.75</v>
      </c>
      <c r="AL91" s="21">
        <f>[2]底表!BY91</f>
        <v>-0.25</v>
      </c>
      <c r="AM91" s="21">
        <f>[2]底表!BZ91</f>
        <v>0</v>
      </c>
      <c r="AN91" s="21">
        <f>[2]底表!CA91</f>
        <v>0</v>
      </c>
      <c r="AO91" s="21" t="str">
        <f>[2]底表!CB91</f>
        <v>持平</v>
      </c>
      <c r="AP91" s="21">
        <f>[2]底表!CC91</f>
        <v>0</v>
      </c>
      <c r="AQ91" s="21" t="str">
        <f>[2]底表!CD91</f>
        <v>持平</v>
      </c>
      <c r="AR91" s="21" t="str">
        <f>[2]底表!CE91</f>
        <v/>
      </c>
      <c r="AS91" s="21" t="str">
        <f>[2]底表!CF91</f>
        <v/>
      </c>
      <c r="AT91" s="21">
        <f>[2]底表!CG91</f>
        <v>2</v>
      </c>
      <c r="AU91" s="21">
        <f>[2]底表!CH91</f>
        <v>0</v>
      </c>
      <c r="AV91" s="21" t="str">
        <f>[2]底表!CI91</f>
        <v>多2人</v>
      </c>
      <c r="AW91" s="21">
        <f>[2]底表!CJ91</f>
        <v>6</v>
      </c>
      <c r="AX91" s="21">
        <f>[2]底表!CK91</f>
        <v>-0.6667</v>
      </c>
      <c r="AY91" s="21">
        <f>[2]底表!CL91</f>
        <v>50</v>
      </c>
      <c r="AZ91" s="21">
        <f>[2]底表!CM91</f>
        <v>50</v>
      </c>
      <c r="BA91" s="21" t="str">
        <f>[2]底表!CN91</f>
        <v/>
      </c>
      <c r="BB91" s="21">
        <f>[2]底表!CO91</f>
        <v>2</v>
      </c>
      <c r="BC91" s="21">
        <f>[2]底表!CP91</f>
        <v>0</v>
      </c>
      <c r="BD91" s="21" t="str">
        <f>[2]底表!CQ91</f>
        <v>多2人</v>
      </c>
      <c r="BE91" s="21">
        <f>[2]底表!CR91</f>
        <v>11</v>
      </c>
      <c r="BF91" s="21">
        <f>[2]底表!CS91</f>
        <v>-0.8182</v>
      </c>
      <c r="BG91" s="21">
        <f>[2]底表!CT91</f>
        <v>1</v>
      </c>
      <c r="BH91" s="21" t="str">
        <f>[2]底表!CU91</f>
        <v/>
      </c>
      <c r="BI91" s="21">
        <f>[2]底表!CV91</f>
        <v>50</v>
      </c>
      <c r="BJ91" s="21">
        <f>[2]底表!CW91</f>
        <v>50</v>
      </c>
      <c r="BK91" s="21" t="str">
        <f>[2]底表!CX91</f>
        <v/>
      </c>
      <c r="BL91" s="21">
        <f>[2]底表!CY91</f>
        <v>3</v>
      </c>
      <c r="BM91" s="21">
        <f>[2]底表!CZ91</f>
        <v>0</v>
      </c>
      <c r="BN91" s="23" t="str">
        <f>[2]底表!DA91</f>
        <v>多3人</v>
      </c>
      <c r="BO91" s="21">
        <f>[2]底表!DB91</f>
        <v>12</v>
      </c>
      <c r="BP91" s="21">
        <f>[2]底表!DC91</f>
        <v>-0.75</v>
      </c>
      <c r="BQ91" s="21">
        <f>[2]底表!DD91</f>
        <v>1.5</v>
      </c>
      <c r="BR91" s="21" t="str">
        <f>[2]底表!DE91</f>
        <v/>
      </c>
      <c r="BS91" s="21">
        <f>[2]底表!DF91</f>
        <v>75</v>
      </c>
      <c r="BT91" s="21">
        <f>[2]底表!DG91</f>
        <v>75</v>
      </c>
      <c r="BU91" s="21" t="str">
        <f>[2]底表!DH91</f>
        <v/>
      </c>
      <c r="BV91" s="21">
        <f>[2]底表!DI91</f>
        <v>0</v>
      </c>
      <c r="BW91" s="21">
        <f>[2]底表!DJ91</f>
        <v>0</v>
      </c>
      <c r="BX91" s="23" t="str">
        <f>[2]底表!DK91</f>
        <v>持平</v>
      </c>
      <c r="BY91" s="21">
        <f>[2]底表!DL91</f>
        <v>0</v>
      </c>
      <c r="BZ91" s="21" t="str">
        <f>[2]底表!DM91</f>
        <v>持平</v>
      </c>
      <c r="CA91" s="21">
        <f>[2]底表!DN91</f>
        <v>2</v>
      </c>
      <c r="CB91" s="21">
        <f>[2]底表!DO91</f>
        <v>10</v>
      </c>
      <c r="CC91" s="21">
        <f>[2]底表!DP91</f>
        <v>-0.8</v>
      </c>
      <c r="CD91" s="21">
        <f>[2]底表!DQ91</f>
        <v>2</v>
      </c>
      <c r="CE91" s="21">
        <f>[2]底表!DR91</f>
        <v>0</v>
      </c>
      <c r="CF91" s="21">
        <f>[2]底表!DS91</f>
        <v>2</v>
      </c>
      <c r="CG91" s="21">
        <f>[2]底表!DT91</f>
        <v>10</v>
      </c>
      <c r="CH91" s="21">
        <f>[2]底表!DU91</f>
        <v>-0.8</v>
      </c>
      <c r="CI91" s="21">
        <f>[2]底表!DV91</f>
        <v>2</v>
      </c>
      <c r="CJ91" s="21">
        <f>[2]底表!DW91</f>
        <v>0</v>
      </c>
      <c r="CK91" s="21">
        <f>[2]底表!DX91</f>
        <v>6</v>
      </c>
      <c r="CL91" s="21">
        <f>[2]底表!DY91</f>
        <v>1</v>
      </c>
      <c r="CM91" s="21">
        <f>[2]底表!DZ91</f>
        <v>5</v>
      </c>
      <c r="CN91" s="21">
        <f>[2]底表!EA91</f>
        <v>3</v>
      </c>
      <c r="CO91" s="21">
        <f>[2]底表!EB91</f>
        <v>1</v>
      </c>
      <c r="CP91" s="21">
        <f>[2]底表!EC91</f>
        <v>2</v>
      </c>
      <c r="CQ91" s="21">
        <f>[2]底表!ED91</f>
        <v>0</v>
      </c>
      <c r="CR91" s="21" t="str">
        <f>[2]底表!EE91</f>
        <v>多2人</v>
      </c>
      <c r="CS91" s="21">
        <f>[2]底表!EF91</f>
        <v>1</v>
      </c>
      <c r="CT91" s="21">
        <f>[2]底表!EG91</f>
        <v>1</v>
      </c>
      <c r="CU91" s="21">
        <f>[2]底表!EH91</f>
        <v>1</v>
      </c>
      <c r="CV91" s="21" t="str">
        <f>[2]底表!EI91</f>
        <v/>
      </c>
      <c r="CW91" s="21">
        <f>[2]底表!EJ91</f>
        <v>50</v>
      </c>
      <c r="CX91" s="21">
        <f>[2]底表!EK91</f>
        <v>50</v>
      </c>
      <c r="CY91" s="21" t="str">
        <f>[2]底表!EL91</f>
        <v/>
      </c>
      <c r="CZ91" s="21">
        <f>[2]底表!EM91</f>
        <v>2</v>
      </c>
      <c r="DA91" s="21">
        <f>[2]底表!EN91</f>
        <v>0</v>
      </c>
      <c r="DB91" s="21" t="str">
        <f>[2]底表!EO91</f>
        <v>多2人</v>
      </c>
      <c r="DC91" s="21">
        <f>[2]底表!EP91</f>
        <v>1</v>
      </c>
      <c r="DD91" s="21">
        <f>[2]底表!EQ91</f>
        <v>1</v>
      </c>
      <c r="DE91" s="21">
        <f>[2]底表!ER91</f>
        <v>7</v>
      </c>
      <c r="DF91" s="21">
        <f>[2]底表!ES91</f>
        <v>2</v>
      </c>
      <c r="DG91" s="23">
        <f>[2]底表!ET91</f>
        <v>2.5</v>
      </c>
      <c r="DH91" s="21">
        <f>[2]底表!EU91</f>
        <v>1</v>
      </c>
      <c r="DI91" s="21">
        <f>[2]底表!EV91</f>
        <v>6</v>
      </c>
      <c r="DJ91" s="21">
        <f>[2]底表!EW91</f>
        <v>3.5</v>
      </c>
      <c r="DK91" s="21" t="str">
        <f>[2]底表!EX91</f>
        <v/>
      </c>
      <c r="DL91" s="21">
        <f>[2]底表!EY91</f>
        <v>175</v>
      </c>
      <c r="DM91" s="21">
        <f>[2]底表!EZ91</f>
        <v>75</v>
      </c>
      <c r="DN91" s="21">
        <f>[2]底表!FA91</f>
        <v>0.75</v>
      </c>
      <c r="DO91" s="21">
        <f>[2]底表!BQ91</f>
        <v>3</v>
      </c>
      <c r="DP91" s="21">
        <f>[2]底表!BR91</f>
        <v>2</v>
      </c>
      <c r="DQ91" s="24">
        <f>[2]底表!BS91</f>
        <v>0.5</v>
      </c>
    </row>
    <row r="92" s="2" customFormat="1" ht="32" hidden="1" customHeight="1" spans="1:121">
      <c r="A92" s="27" t="str">
        <f>[2]底表!A92</f>
        <v>诈骗</v>
      </c>
      <c r="B92" s="28" t="str">
        <f>[2]底表!B92</f>
        <v>新兴县</v>
      </c>
      <c r="C92" s="21">
        <f>[2]底表!AM92</f>
        <v>11</v>
      </c>
      <c r="D92" s="21">
        <f>[2]底表!AN92</f>
        <v>8</v>
      </c>
      <c r="E92" s="23">
        <f>[2]底表!AO92</f>
        <v>0.375</v>
      </c>
      <c r="F92" s="21">
        <f>[2]底表!AP92</f>
        <v>46</v>
      </c>
      <c r="G92" s="21">
        <f>[2]底表!AQ92</f>
        <v>-0.7609</v>
      </c>
      <c r="H92" s="21">
        <f>[2]底表!AR92</f>
        <v>0.3056</v>
      </c>
      <c r="I92" s="21">
        <f>[2]底表!AS92</f>
        <v>0.0893</v>
      </c>
      <c r="J92" s="21">
        <f>[2]底表!AT92</f>
        <v>27</v>
      </c>
      <c r="K92" s="21">
        <f>[2]底表!AU92</f>
        <v>19</v>
      </c>
      <c r="L92" s="21">
        <f>[2]底表!AV92</f>
        <v>0.4211</v>
      </c>
      <c r="M92" s="21">
        <f>[2]底表!AW92</f>
        <v>22</v>
      </c>
      <c r="N92" s="21">
        <f>[2]底表!AX92</f>
        <v>0.2273</v>
      </c>
      <c r="O92" s="21">
        <f>[2]底表!AY92</f>
        <v>2</v>
      </c>
      <c r="P92" s="21">
        <f>[2]底表!AZ92</f>
        <v>2</v>
      </c>
      <c r="Q92" s="21">
        <f>[2]底表!BA92</f>
        <v>0</v>
      </c>
      <c r="R92" s="21">
        <f>[2]底表!BB92</f>
        <v>19</v>
      </c>
      <c r="S92" s="21">
        <f>[2]底表!BC92</f>
        <v>-0.8947</v>
      </c>
      <c r="T92" s="21">
        <f>[2]底表!BD92</f>
        <v>0.0741</v>
      </c>
      <c r="U92" s="21">
        <f>[2]底表!BE92</f>
        <v>-0.0312</v>
      </c>
      <c r="V92" s="21">
        <f>[2]底表!BF92</f>
        <v>9</v>
      </c>
      <c r="W92" s="21">
        <f>[2]底表!BG92</f>
        <v>18</v>
      </c>
      <c r="X92" s="21">
        <f>[2]底表!BH92</f>
        <v>-0.5</v>
      </c>
      <c r="Y92" s="21">
        <f>[2]底表!BI92</f>
        <v>0</v>
      </c>
      <c r="Z92" s="21" t="str">
        <f>[2]底表!BJ92</f>
        <v>多9起</v>
      </c>
      <c r="AA92" s="21">
        <f>[2]底表!BK92</f>
        <v>0.25</v>
      </c>
      <c r="AB92" s="21">
        <f>[2]底表!BL92</f>
        <v>9</v>
      </c>
      <c r="AC92" s="21">
        <f>[2]底表!BM92</f>
        <v>6</v>
      </c>
      <c r="AD92" s="21">
        <f>[2]底表!BN92</f>
        <v>0.5</v>
      </c>
      <c r="AE92" s="21">
        <f>[2]底表!BO92</f>
        <v>27</v>
      </c>
      <c r="AF92" s="21">
        <f>[2]底表!BP92</f>
        <v>-0.6667</v>
      </c>
      <c r="AG92" s="21">
        <f>[2]底表!BT92</f>
        <v>5</v>
      </c>
      <c r="AH92" s="21">
        <f>[2]底表!BU92</f>
        <v>-0.4</v>
      </c>
      <c r="AI92" s="21">
        <f>[2]底表!BV92</f>
        <v>0.0833</v>
      </c>
      <c r="AJ92" s="21">
        <f>[2]底表!BW92</f>
        <v>-0.0518</v>
      </c>
      <c r="AK92" s="21">
        <f>[2]底表!BX92</f>
        <v>0.1111</v>
      </c>
      <c r="AL92" s="21">
        <f>[2]底表!BY92</f>
        <v>-0.152</v>
      </c>
      <c r="AM92" s="21">
        <f>[2]底表!BZ92</f>
        <v>0</v>
      </c>
      <c r="AN92" s="21">
        <f>[2]底表!CA92</f>
        <v>0</v>
      </c>
      <c r="AO92" s="21" t="str">
        <f>[2]底表!CB92</f>
        <v>持平</v>
      </c>
      <c r="AP92" s="21">
        <f>[2]底表!CC92</f>
        <v>0</v>
      </c>
      <c r="AQ92" s="21" t="str">
        <f>[2]底表!CD92</f>
        <v>持平</v>
      </c>
      <c r="AR92" s="21" t="str">
        <f>[2]底表!CE92</f>
        <v/>
      </c>
      <c r="AS92" s="21" t="str">
        <f>[2]底表!CF92</f>
        <v/>
      </c>
      <c r="AT92" s="21">
        <f>[2]底表!CG92</f>
        <v>14</v>
      </c>
      <c r="AU92" s="21">
        <f>[2]底表!CH92</f>
        <v>25</v>
      </c>
      <c r="AV92" s="21">
        <f>[2]底表!CI92</f>
        <v>-0.44</v>
      </c>
      <c r="AW92" s="21">
        <f>[2]底表!CJ92</f>
        <v>4</v>
      </c>
      <c r="AX92" s="21">
        <f>[2]底表!CK92</f>
        <v>2.5</v>
      </c>
      <c r="AY92" s="21">
        <f>[2]底表!CL92</f>
        <v>39</v>
      </c>
      <c r="AZ92" s="21">
        <f>[2]底表!CM92</f>
        <v>-29</v>
      </c>
      <c r="BA92" s="21">
        <f>[2]底表!CN92</f>
        <v>-0.4244</v>
      </c>
      <c r="BB92" s="21">
        <f>[2]底表!CO92</f>
        <v>18</v>
      </c>
      <c r="BC92" s="21">
        <f>[2]底表!CP92</f>
        <v>32</v>
      </c>
      <c r="BD92" s="21">
        <f>[2]底表!CQ92</f>
        <v>-0.4375</v>
      </c>
      <c r="BE92" s="21">
        <f>[2]底表!CR92</f>
        <v>3</v>
      </c>
      <c r="BF92" s="21">
        <f>[2]底表!CS92</f>
        <v>5</v>
      </c>
      <c r="BG92" s="21">
        <f>[2]底表!CT92</f>
        <v>1.2857</v>
      </c>
      <c r="BH92" s="21">
        <f>[2]底表!CU92</f>
        <v>0.0057</v>
      </c>
      <c r="BI92" s="21">
        <f>[2]底表!CV92</f>
        <v>50</v>
      </c>
      <c r="BJ92" s="21">
        <f>[2]底表!CW92</f>
        <v>-36</v>
      </c>
      <c r="BK92" s="21">
        <f>[2]底表!CX92</f>
        <v>-0.4219</v>
      </c>
      <c r="BL92" s="21">
        <f>[2]底表!CY92</f>
        <v>20</v>
      </c>
      <c r="BM92" s="21">
        <f>[2]底表!CZ92</f>
        <v>33</v>
      </c>
      <c r="BN92" s="23">
        <f>[2]底表!DA92</f>
        <v>-0.3939</v>
      </c>
      <c r="BO92" s="21">
        <f>[2]底表!DB92</f>
        <v>3</v>
      </c>
      <c r="BP92" s="21">
        <f>[2]底表!DC92</f>
        <v>5.6667</v>
      </c>
      <c r="BQ92" s="21">
        <f>[2]底表!DD92</f>
        <v>1.4286</v>
      </c>
      <c r="BR92" s="21">
        <f>[2]底表!DE92</f>
        <v>0.1086</v>
      </c>
      <c r="BS92" s="21">
        <f>[2]底表!DF92</f>
        <v>56</v>
      </c>
      <c r="BT92" s="21">
        <f>[2]底表!DG92</f>
        <v>-34</v>
      </c>
      <c r="BU92" s="21">
        <f>[2]底表!DH92</f>
        <v>-0.3771</v>
      </c>
      <c r="BV92" s="21">
        <f>[2]底表!DI92</f>
        <v>10</v>
      </c>
      <c r="BW92" s="21">
        <f>[2]底表!DJ92</f>
        <v>15</v>
      </c>
      <c r="BX92" s="23">
        <f>[2]底表!DK92</f>
        <v>-0.3333</v>
      </c>
      <c r="BY92" s="21">
        <f>[2]底表!DL92</f>
        <v>3</v>
      </c>
      <c r="BZ92" s="21">
        <f>[2]底表!DM92</f>
        <v>2.3333</v>
      </c>
      <c r="CA92" s="21">
        <f>[2]底表!DN92</f>
        <v>4</v>
      </c>
      <c r="CB92" s="21">
        <f>[2]底表!DO92</f>
        <v>5</v>
      </c>
      <c r="CC92" s="21">
        <f>[2]底表!DP92</f>
        <v>-0.2</v>
      </c>
      <c r="CD92" s="21">
        <f>[2]底表!DQ92</f>
        <v>8</v>
      </c>
      <c r="CE92" s="21">
        <f>[2]底表!DR92</f>
        <v>-0.5</v>
      </c>
      <c r="CF92" s="21">
        <f>[2]底表!DS92</f>
        <v>4</v>
      </c>
      <c r="CG92" s="21">
        <f>[2]底表!DT92</f>
        <v>5</v>
      </c>
      <c r="CH92" s="21">
        <f>[2]底表!DU92</f>
        <v>-0.2</v>
      </c>
      <c r="CI92" s="21">
        <f>[2]底表!DV92</f>
        <v>8</v>
      </c>
      <c r="CJ92" s="21">
        <f>[2]底表!DW92</f>
        <v>-0.5</v>
      </c>
      <c r="CK92" s="21">
        <f>[2]底表!DX92</f>
        <v>5</v>
      </c>
      <c r="CL92" s="21">
        <f>[2]底表!DY92</f>
        <v>4</v>
      </c>
      <c r="CM92" s="21">
        <f>[2]底表!DZ92</f>
        <v>0.25</v>
      </c>
      <c r="CN92" s="21">
        <f>[2]底表!EA92</f>
        <v>6</v>
      </c>
      <c r="CO92" s="21">
        <f>[2]底表!EB92</f>
        <v>-0.1667</v>
      </c>
      <c r="CP92" s="21">
        <f>[2]底表!EC92</f>
        <v>2</v>
      </c>
      <c r="CQ92" s="21">
        <f>[2]底表!ED92</f>
        <v>4</v>
      </c>
      <c r="CR92" s="21">
        <f>[2]底表!EE92</f>
        <v>-0.5</v>
      </c>
      <c r="CS92" s="21">
        <f>[2]底表!EF92</f>
        <v>5</v>
      </c>
      <c r="CT92" s="21">
        <f>[2]底表!EG92</f>
        <v>-0.6</v>
      </c>
      <c r="CU92" s="21">
        <f>[2]底表!EH92</f>
        <v>0.1111</v>
      </c>
      <c r="CV92" s="21">
        <f>[2]底表!EI92</f>
        <v>-0.0139</v>
      </c>
      <c r="CW92" s="21">
        <f>[2]底表!EJ92</f>
        <v>6</v>
      </c>
      <c r="CX92" s="21">
        <f>[2]底表!EK92</f>
        <v>-5</v>
      </c>
      <c r="CY92" s="21">
        <f>[2]底表!EL92</f>
        <v>-0.4861</v>
      </c>
      <c r="CZ92" s="21">
        <f>[2]底表!EM92</f>
        <v>2</v>
      </c>
      <c r="DA92" s="21">
        <f>[2]底表!EN92</f>
        <v>4</v>
      </c>
      <c r="DB92" s="21">
        <f>[2]底表!EO92</f>
        <v>-0.5</v>
      </c>
      <c r="DC92" s="21">
        <f>[2]底表!EP92</f>
        <v>5</v>
      </c>
      <c r="DD92" s="21">
        <f>[2]底表!EQ92</f>
        <v>-0.6</v>
      </c>
      <c r="DE92" s="21">
        <f>[2]底表!ER92</f>
        <v>4</v>
      </c>
      <c r="DF92" s="21">
        <f>[2]底表!ES92</f>
        <v>8</v>
      </c>
      <c r="DG92" s="23">
        <f>[2]底表!ET92</f>
        <v>-0.5</v>
      </c>
      <c r="DH92" s="21">
        <f>[2]底表!EU92</f>
        <v>8</v>
      </c>
      <c r="DI92" s="21">
        <f>[2]底表!EV92</f>
        <v>-0.5</v>
      </c>
      <c r="DJ92" s="21">
        <f>[2]底表!EW92</f>
        <v>0.2222</v>
      </c>
      <c r="DK92" s="21">
        <f>[2]底表!EX92</f>
        <v>-0.0278</v>
      </c>
      <c r="DL92" s="21">
        <f>[2]底表!EY92</f>
        <v>11</v>
      </c>
      <c r="DM92" s="21">
        <f>[2]底表!EZ92</f>
        <v>-11</v>
      </c>
      <c r="DN92" s="21">
        <f>[2]底表!FA92</f>
        <v>-0.4861</v>
      </c>
      <c r="DO92" s="21">
        <f>[2]底表!BQ92</f>
        <v>3</v>
      </c>
      <c r="DP92" s="21">
        <f>[2]底表!BR92</f>
        <v>5</v>
      </c>
      <c r="DQ92" s="24">
        <f>[2]底表!BS92</f>
        <v>-0.4</v>
      </c>
    </row>
    <row r="93" s="2" customFormat="1" ht="32" hidden="1" customHeight="1" spans="1:121">
      <c r="A93" s="27" t="str">
        <f>[2]底表!A93</f>
        <v>诈骗</v>
      </c>
      <c r="B93" s="28" t="str">
        <f>[2]底表!B93</f>
        <v>郁南县</v>
      </c>
      <c r="C93" s="21">
        <f>[2]底表!AM93</f>
        <v>3</v>
      </c>
      <c r="D93" s="21">
        <f>[2]底表!AN93</f>
        <v>3</v>
      </c>
      <c r="E93" s="23">
        <f>[2]底表!AO93</f>
        <v>0</v>
      </c>
      <c r="F93" s="21">
        <f>[2]底表!AP93</f>
        <v>4</v>
      </c>
      <c r="G93" s="21">
        <f>[2]底表!AQ93</f>
        <v>-0.25</v>
      </c>
      <c r="H93" s="21">
        <f>[2]底表!AR93</f>
        <v>0.75</v>
      </c>
      <c r="I93" s="21">
        <f>[2]底表!AS93</f>
        <v>0.45</v>
      </c>
      <c r="J93" s="21">
        <f>[2]底表!AT93</f>
        <v>3</v>
      </c>
      <c r="K93" s="21">
        <f>[2]底表!AU93</f>
        <v>7</v>
      </c>
      <c r="L93" s="21">
        <f>[2]底表!AV93</f>
        <v>-0.5714</v>
      </c>
      <c r="M93" s="21">
        <f>[2]底表!AW93</f>
        <v>7</v>
      </c>
      <c r="N93" s="21">
        <f>[2]底表!AX93</f>
        <v>-0.5714</v>
      </c>
      <c r="O93" s="21">
        <f>[2]底表!AY93</f>
        <v>0</v>
      </c>
      <c r="P93" s="21">
        <f>[2]底表!AZ93</f>
        <v>1</v>
      </c>
      <c r="Q93" s="21" t="str">
        <f>[2]底表!BA93</f>
        <v>少1起</v>
      </c>
      <c r="R93" s="21">
        <f>[2]底表!BB93</f>
        <v>2</v>
      </c>
      <c r="S93" s="21" t="str">
        <f>[2]底表!BC93</f>
        <v>少2起</v>
      </c>
      <c r="T93" s="21">
        <f>[2]底表!BD93</f>
        <v>0</v>
      </c>
      <c r="U93" s="21">
        <f>[2]底表!BE93</f>
        <v>-0.1429</v>
      </c>
      <c r="V93" s="21">
        <f>[2]底表!BF93</f>
        <v>1</v>
      </c>
      <c r="W93" s="21">
        <f>[2]底表!BG93</f>
        <v>3</v>
      </c>
      <c r="X93" s="21">
        <f>[2]底表!BH93</f>
        <v>-0.6667</v>
      </c>
      <c r="Y93" s="21">
        <f>[2]底表!BI93</f>
        <v>0</v>
      </c>
      <c r="Z93" s="21" t="str">
        <f>[2]底表!BJ93</f>
        <v>多1起</v>
      </c>
      <c r="AA93" s="21">
        <f>[2]底表!BK93</f>
        <v>0.25</v>
      </c>
      <c r="AB93" s="21">
        <f>[2]底表!BL93</f>
        <v>3</v>
      </c>
      <c r="AC93" s="21">
        <f>[2]底表!BM93</f>
        <v>2</v>
      </c>
      <c r="AD93" s="21">
        <f>[2]底表!BN93</f>
        <v>0.5</v>
      </c>
      <c r="AE93" s="21">
        <f>[2]底表!BO93</f>
        <v>2</v>
      </c>
      <c r="AF93" s="21">
        <f>[2]底表!BP93</f>
        <v>0.5</v>
      </c>
      <c r="AG93" s="21">
        <f>[2]底表!BT93</f>
        <v>0</v>
      </c>
      <c r="AH93" s="21" t="str">
        <f>[2]底表!BU93</f>
        <v>持平</v>
      </c>
      <c r="AI93" s="21">
        <f>[2]底表!BV93</f>
        <v>0</v>
      </c>
      <c r="AJ93" s="21">
        <f>[2]底表!BW93</f>
        <v>-0.1</v>
      </c>
      <c r="AK93" s="21">
        <f>[2]底表!BX93</f>
        <v>0</v>
      </c>
      <c r="AL93" s="21">
        <f>[2]底表!BY93</f>
        <v>-0.1429</v>
      </c>
      <c r="AM93" s="21">
        <f>[2]底表!BZ93</f>
        <v>0</v>
      </c>
      <c r="AN93" s="21">
        <f>[2]底表!CA93</f>
        <v>0</v>
      </c>
      <c r="AO93" s="21" t="str">
        <f>[2]底表!CB93</f>
        <v>持平</v>
      </c>
      <c r="AP93" s="21">
        <f>[2]底表!CC93</f>
        <v>0</v>
      </c>
      <c r="AQ93" s="21" t="str">
        <f>[2]底表!CD93</f>
        <v>持平</v>
      </c>
      <c r="AR93" s="21" t="str">
        <f>[2]底表!CE93</f>
        <v/>
      </c>
      <c r="AS93" s="21" t="str">
        <f>[2]底表!CF93</f>
        <v/>
      </c>
      <c r="AT93" s="21">
        <f>[2]底表!CG93</f>
        <v>0</v>
      </c>
      <c r="AU93" s="21">
        <f>[2]底表!CH93</f>
        <v>2</v>
      </c>
      <c r="AV93" s="21" t="str">
        <f>[2]底表!CI93</f>
        <v>少2人</v>
      </c>
      <c r="AW93" s="21">
        <f>[2]底表!CJ93</f>
        <v>2</v>
      </c>
      <c r="AX93" s="21" t="str">
        <f>[2]底表!CK93</f>
        <v>少2人</v>
      </c>
      <c r="AY93" s="21">
        <f>[2]底表!CL93</f>
        <v>0</v>
      </c>
      <c r="AZ93" s="21">
        <f>[2]底表!CM93</f>
        <v>-20</v>
      </c>
      <c r="BA93" s="21">
        <f>[2]底表!CN93</f>
        <v>-1</v>
      </c>
      <c r="BB93" s="21">
        <f>[2]底表!CO93</f>
        <v>0</v>
      </c>
      <c r="BC93" s="21">
        <f>[2]底表!CP93</f>
        <v>7</v>
      </c>
      <c r="BD93" s="21" t="str">
        <f>[2]底表!CQ93</f>
        <v>少7人</v>
      </c>
      <c r="BE93" s="21">
        <f>[2]底表!CR93</f>
        <v>1</v>
      </c>
      <c r="BF93" s="21" t="str">
        <f>[2]底表!CS93</f>
        <v>少1人</v>
      </c>
      <c r="BG93" s="21" t="str">
        <f>[2]底表!CT93</f>
        <v/>
      </c>
      <c r="BH93" s="21" t="str">
        <f>[2]底表!CU93</f>
        <v/>
      </c>
      <c r="BI93" s="21">
        <f>[2]底表!CV93</f>
        <v>0</v>
      </c>
      <c r="BJ93" s="21">
        <f>[2]底表!CW93</f>
        <v>-70</v>
      </c>
      <c r="BK93" s="21">
        <f>[2]底表!CX93</f>
        <v>-1</v>
      </c>
      <c r="BL93" s="21">
        <f>[2]底表!CY93</f>
        <v>0</v>
      </c>
      <c r="BM93" s="21">
        <f>[2]底表!CZ93</f>
        <v>7</v>
      </c>
      <c r="BN93" s="23" t="str">
        <f>[2]底表!DA93</f>
        <v>少7人</v>
      </c>
      <c r="BO93" s="21">
        <f>[2]底表!DB93</f>
        <v>1</v>
      </c>
      <c r="BP93" s="21" t="str">
        <f>[2]底表!DC93</f>
        <v>少1人</v>
      </c>
      <c r="BQ93" s="21" t="str">
        <f>[2]底表!DD93</f>
        <v/>
      </c>
      <c r="BR93" s="21" t="str">
        <f>[2]底表!DE93</f>
        <v/>
      </c>
      <c r="BS93" s="21">
        <f>[2]底表!DF93</f>
        <v>0</v>
      </c>
      <c r="BT93" s="21">
        <f>[2]底表!DG93</f>
        <v>-70</v>
      </c>
      <c r="BU93" s="21">
        <f>[2]底表!DH93</f>
        <v>-1</v>
      </c>
      <c r="BV93" s="21">
        <f>[2]底表!DI93</f>
        <v>0</v>
      </c>
      <c r="BW93" s="21">
        <f>[2]底表!DJ93</f>
        <v>6</v>
      </c>
      <c r="BX93" s="23" t="str">
        <f>[2]底表!DK93</f>
        <v>少6人</v>
      </c>
      <c r="BY93" s="21">
        <f>[2]底表!DL93</f>
        <v>3</v>
      </c>
      <c r="BZ93" s="21" t="str">
        <f>[2]底表!DM93</f>
        <v>少3人</v>
      </c>
      <c r="CA93" s="21">
        <f>[2]底表!DN93</f>
        <v>1</v>
      </c>
      <c r="CB93" s="21">
        <f>[2]底表!DO93</f>
        <v>5</v>
      </c>
      <c r="CC93" s="21">
        <f>[2]底表!DP93</f>
        <v>-0.8</v>
      </c>
      <c r="CD93" s="21">
        <f>[2]底表!DQ93</f>
        <v>4</v>
      </c>
      <c r="CE93" s="21">
        <f>[2]底表!DR93</f>
        <v>-0.75</v>
      </c>
      <c r="CF93" s="21">
        <f>[2]底表!DS93</f>
        <v>1</v>
      </c>
      <c r="CG93" s="21">
        <f>[2]底表!DT93</f>
        <v>5</v>
      </c>
      <c r="CH93" s="21">
        <f>[2]底表!DU93</f>
        <v>-0.8</v>
      </c>
      <c r="CI93" s="21">
        <f>[2]底表!DV93</f>
        <v>4</v>
      </c>
      <c r="CJ93" s="21">
        <f>[2]底表!DW93</f>
        <v>-0.75</v>
      </c>
      <c r="CK93" s="21">
        <f>[2]底表!DX93</f>
        <v>0</v>
      </c>
      <c r="CL93" s="21">
        <f>[2]底表!DY93</f>
        <v>5</v>
      </c>
      <c r="CM93" s="21" t="str">
        <f>[2]底表!DZ93</f>
        <v>少5人</v>
      </c>
      <c r="CN93" s="21">
        <f>[2]底表!EA93</f>
        <v>4</v>
      </c>
      <c r="CO93" s="21" t="str">
        <f>[2]底表!EB93</f>
        <v>少4人</v>
      </c>
      <c r="CP93" s="21">
        <f>[2]底表!EC93</f>
        <v>0</v>
      </c>
      <c r="CQ93" s="21">
        <f>[2]底表!ED93</f>
        <v>4</v>
      </c>
      <c r="CR93" s="21" t="str">
        <f>[2]底表!EE93</f>
        <v>少4人</v>
      </c>
      <c r="CS93" s="21">
        <f>[2]底表!EF93</f>
        <v>1</v>
      </c>
      <c r="CT93" s="21" t="str">
        <f>[2]底表!EG93</f>
        <v>少1人</v>
      </c>
      <c r="CU93" s="21" t="str">
        <f>[2]底表!EH93</f>
        <v/>
      </c>
      <c r="CV93" s="21" t="str">
        <f>[2]底表!EI93</f>
        <v/>
      </c>
      <c r="CW93" s="21">
        <f>[2]底表!EJ93</f>
        <v>0</v>
      </c>
      <c r="CX93" s="21">
        <f>[2]底表!EK93</f>
        <v>-40</v>
      </c>
      <c r="CY93" s="21">
        <f>[2]底表!EL93</f>
        <v>-1</v>
      </c>
      <c r="CZ93" s="21">
        <f>[2]底表!EM93</f>
        <v>0</v>
      </c>
      <c r="DA93" s="21">
        <f>[2]底表!EN93</f>
        <v>4</v>
      </c>
      <c r="DB93" s="21" t="str">
        <f>[2]底表!EO93</f>
        <v>少4人</v>
      </c>
      <c r="DC93" s="21">
        <f>[2]底表!EP93</f>
        <v>1</v>
      </c>
      <c r="DD93" s="21" t="str">
        <f>[2]底表!EQ93</f>
        <v>少1人</v>
      </c>
      <c r="DE93" s="21">
        <f>[2]底表!ER93</f>
        <v>2</v>
      </c>
      <c r="DF93" s="21">
        <f>[2]底表!ES93</f>
        <v>1</v>
      </c>
      <c r="DG93" s="23">
        <f>[2]底表!ET93</f>
        <v>1</v>
      </c>
      <c r="DH93" s="21">
        <f>[2]底表!EU93</f>
        <v>0</v>
      </c>
      <c r="DI93" s="21" t="str">
        <f>[2]底表!EV93</f>
        <v>多2人</v>
      </c>
      <c r="DJ93" s="21" t="str">
        <f>[2]底表!EW93</f>
        <v/>
      </c>
      <c r="DK93" s="21" t="str">
        <f>[2]底表!EX93</f>
        <v/>
      </c>
      <c r="DL93" s="21">
        <f>[2]底表!EY93</f>
        <v>50</v>
      </c>
      <c r="DM93" s="21">
        <f>[2]底表!EZ93</f>
        <v>40</v>
      </c>
      <c r="DN93" s="21">
        <f>[2]底表!FA93</f>
        <v>4</v>
      </c>
      <c r="DO93" s="21">
        <f>[2]底表!BQ93</f>
        <v>0</v>
      </c>
      <c r="DP93" s="21">
        <f>[2]底表!BR93</f>
        <v>1</v>
      </c>
      <c r="DQ93" s="24" t="str">
        <f>[2]底表!BS93</f>
        <v>少1起</v>
      </c>
    </row>
    <row r="94" s="2" customFormat="1" ht="32" hidden="1" customHeight="1" spans="1:121">
      <c r="A94" s="27" t="str">
        <f>[2]底表!A94</f>
        <v>诈骗</v>
      </c>
      <c r="B94" s="28" t="str">
        <f>[2]底表!B94</f>
        <v>罗定市</v>
      </c>
      <c r="C94" s="21">
        <f>[2]底表!AM94</f>
        <v>14</v>
      </c>
      <c r="D94" s="21">
        <f>[2]底表!AN94</f>
        <v>5</v>
      </c>
      <c r="E94" s="23">
        <f>[2]底表!AO94</f>
        <v>1.8</v>
      </c>
      <c r="F94" s="21">
        <f>[2]底表!AP94</f>
        <v>45</v>
      </c>
      <c r="G94" s="21">
        <f>[2]底表!AQ94</f>
        <v>-0.6889</v>
      </c>
      <c r="H94" s="21">
        <f>[2]底表!AR94</f>
        <v>0.5</v>
      </c>
      <c r="I94" s="21">
        <f>[2]底表!AS94</f>
        <v>0.3718</v>
      </c>
      <c r="J94" s="21">
        <f>[2]底表!AT94</f>
        <v>12</v>
      </c>
      <c r="K94" s="21">
        <f>[2]底表!AU94</f>
        <v>17</v>
      </c>
      <c r="L94" s="21">
        <f>[2]底表!AV94</f>
        <v>-0.2941</v>
      </c>
      <c r="M94" s="21">
        <f>[2]底表!AW94</f>
        <v>20</v>
      </c>
      <c r="N94" s="21">
        <f>[2]底表!AX94</f>
        <v>-0.4</v>
      </c>
      <c r="O94" s="21">
        <f>[2]底表!AY94</f>
        <v>0</v>
      </c>
      <c r="P94" s="21">
        <f>[2]底表!AZ94</f>
        <v>1</v>
      </c>
      <c r="Q94" s="21" t="str">
        <f>[2]底表!BA94</f>
        <v>少1起</v>
      </c>
      <c r="R94" s="21">
        <f>[2]底表!BB94</f>
        <v>10</v>
      </c>
      <c r="S94" s="21" t="str">
        <f>[2]底表!BC94</f>
        <v>少10起</v>
      </c>
      <c r="T94" s="21">
        <f>[2]底表!BD94</f>
        <v>0</v>
      </c>
      <c r="U94" s="21">
        <f>[2]底表!BE94</f>
        <v>-0.0588</v>
      </c>
      <c r="V94" s="21">
        <f>[2]底表!BF94</f>
        <v>16</v>
      </c>
      <c r="W94" s="21">
        <f>[2]底表!BG94</f>
        <v>22</v>
      </c>
      <c r="X94" s="21">
        <f>[2]底表!BH94</f>
        <v>-0.2727</v>
      </c>
      <c r="Y94" s="21">
        <f>[2]底表!BI94</f>
        <v>0</v>
      </c>
      <c r="Z94" s="21" t="str">
        <f>[2]底表!BJ94</f>
        <v>多16起</v>
      </c>
      <c r="AA94" s="21">
        <f>[2]底表!BK94</f>
        <v>0.5714</v>
      </c>
      <c r="AB94" s="21">
        <f>[2]底表!BL94</f>
        <v>14</v>
      </c>
      <c r="AC94" s="21">
        <f>[2]底表!BM94</f>
        <v>4</v>
      </c>
      <c r="AD94" s="21">
        <f>[2]底表!BN94</f>
        <v>2.5</v>
      </c>
      <c r="AE94" s="21">
        <f>[2]底表!BO94</f>
        <v>35</v>
      </c>
      <c r="AF94" s="21">
        <f>[2]底表!BP94</f>
        <v>-0.6</v>
      </c>
      <c r="AG94" s="21">
        <f>[2]底表!BT94</f>
        <v>12</v>
      </c>
      <c r="AH94" s="21">
        <f>[2]底表!BU94</f>
        <v>-0.5</v>
      </c>
      <c r="AI94" s="21">
        <f>[2]底表!BV94</f>
        <v>0.2143</v>
      </c>
      <c r="AJ94" s="21">
        <f>[2]底表!BW94</f>
        <v>0.1117</v>
      </c>
      <c r="AK94" s="21">
        <f>[2]底表!BX94</f>
        <v>0.5</v>
      </c>
      <c r="AL94" s="21">
        <f>[2]底表!BY94</f>
        <v>0.2647</v>
      </c>
      <c r="AM94" s="21">
        <f>[2]底表!BZ94</f>
        <v>0</v>
      </c>
      <c r="AN94" s="21">
        <f>[2]底表!CA94</f>
        <v>0</v>
      </c>
      <c r="AO94" s="21" t="str">
        <f>[2]底表!CB94</f>
        <v>持平</v>
      </c>
      <c r="AP94" s="21">
        <f>[2]底表!CC94</f>
        <v>2</v>
      </c>
      <c r="AQ94" s="21" t="str">
        <f>[2]底表!CD94</f>
        <v>少2起</v>
      </c>
      <c r="AR94" s="21" t="str">
        <f>[2]底表!CE94</f>
        <v/>
      </c>
      <c r="AS94" s="21" t="str">
        <f>[2]底表!CF94</f>
        <v/>
      </c>
      <c r="AT94" s="21">
        <f>[2]底表!CG94</f>
        <v>7</v>
      </c>
      <c r="AU94" s="21">
        <f>[2]底表!CH94</f>
        <v>42</v>
      </c>
      <c r="AV94" s="21">
        <f>[2]底表!CI94</f>
        <v>-0.8333</v>
      </c>
      <c r="AW94" s="21">
        <f>[2]底表!CJ94</f>
        <v>68</v>
      </c>
      <c r="AX94" s="21">
        <f>[2]底表!CK94</f>
        <v>-0.8971</v>
      </c>
      <c r="AY94" s="21">
        <f>[2]底表!CL94</f>
        <v>25</v>
      </c>
      <c r="AZ94" s="21">
        <f>[2]底表!CM94</f>
        <v>-83</v>
      </c>
      <c r="BA94" s="21">
        <f>[2]底表!CN94</f>
        <v>-0.7679</v>
      </c>
      <c r="BB94" s="21">
        <f>[2]底表!CO94</f>
        <v>5</v>
      </c>
      <c r="BC94" s="21">
        <f>[2]底表!CP94</f>
        <v>28</v>
      </c>
      <c r="BD94" s="21">
        <f>[2]底表!CQ94</f>
        <v>-0.8214</v>
      </c>
      <c r="BE94" s="21">
        <f>[2]底表!CR94</f>
        <v>3</v>
      </c>
      <c r="BF94" s="21">
        <f>[2]底表!CS94</f>
        <v>0.6667</v>
      </c>
      <c r="BG94" s="21">
        <f>[2]底表!CT94</f>
        <v>0.7143</v>
      </c>
      <c r="BH94" s="21">
        <f>[2]底表!CU94</f>
        <v>0.0476</v>
      </c>
      <c r="BI94" s="21">
        <f>[2]底表!CV94</f>
        <v>18</v>
      </c>
      <c r="BJ94" s="21">
        <f>[2]底表!CW94</f>
        <v>-54</v>
      </c>
      <c r="BK94" s="21">
        <f>[2]底表!CX94</f>
        <v>-0.7513</v>
      </c>
      <c r="BL94" s="21">
        <f>[2]底表!CY94</f>
        <v>6</v>
      </c>
      <c r="BM94" s="21">
        <f>[2]底表!CZ94</f>
        <v>42</v>
      </c>
      <c r="BN94" s="23">
        <f>[2]底表!DA94</f>
        <v>-0.8571</v>
      </c>
      <c r="BO94" s="21">
        <f>[2]底表!DB94</f>
        <v>4</v>
      </c>
      <c r="BP94" s="21">
        <f>[2]底表!DC94</f>
        <v>0.5</v>
      </c>
      <c r="BQ94" s="21">
        <f>[2]底表!DD94</f>
        <v>0.8571</v>
      </c>
      <c r="BR94" s="21">
        <f>[2]底表!DE94</f>
        <v>-0.1429</v>
      </c>
      <c r="BS94" s="21">
        <f>[2]底表!DF94</f>
        <v>21</v>
      </c>
      <c r="BT94" s="21">
        <f>[2]底表!DG94</f>
        <v>-86</v>
      </c>
      <c r="BU94" s="21">
        <f>[2]底表!DH94</f>
        <v>-0.801</v>
      </c>
      <c r="BV94" s="21">
        <f>[2]底表!DI94</f>
        <v>7</v>
      </c>
      <c r="BW94" s="21">
        <f>[2]底表!DJ94</f>
        <v>0</v>
      </c>
      <c r="BX94" s="23" t="str">
        <f>[2]底表!DK94</f>
        <v>多7人</v>
      </c>
      <c r="BY94" s="21">
        <f>[2]底表!DL94</f>
        <v>4</v>
      </c>
      <c r="BZ94" s="21">
        <f>[2]底表!DM94</f>
        <v>0.75</v>
      </c>
      <c r="CA94" s="21">
        <f>[2]底表!DN94</f>
        <v>6</v>
      </c>
      <c r="CB94" s="21">
        <f>[2]底表!DO94</f>
        <v>14</v>
      </c>
      <c r="CC94" s="21">
        <f>[2]底表!DP94</f>
        <v>-0.5714</v>
      </c>
      <c r="CD94" s="21">
        <f>[2]底表!DQ94</f>
        <v>9</v>
      </c>
      <c r="CE94" s="21">
        <f>[2]底表!DR94</f>
        <v>-0.3333</v>
      </c>
      <c r="CF94" s="21">
        <f>[2]底表!DS94</f>
        <v>6</v>
      </c>
      <c r="CG94" s="21">
        <f>[2]底表!DT94</f>
        <v>14</v>
      </c>
      <c r="CH94" s="21">
        <f>[2]底表!DU94</f>
        <v>-0.5714</v>
      </c>
      <c r="CI94" s="21">
        <f>[2]底表!DV94</f>
        <v>9</v>
      </c>
      <c r="CJ94" s="21">
        <f>[2]底表!DW94</f>
        <v>-0.3333</v>
      </c>
      <c r="CK94" s="21">
        <f>[2]底表!DX94</f>
        <v>4</v>
      </c>
      <c r="CL94" s="21">
        <f>[2]底表!DY94</f>
        <v>5</v>
      </c>
      <c r="CM94" s="21">
        <f>[2]底表!DZ94</f>
        <v>-0.2</v>
      </c>
      <c r="CN94" s="21">
        <f>[2]底表!EA94</f>
        <v>13</v>
      </c>
      <c r="CO94" s="21">
        <f>[2]底表!EB94</f>
        <v>-0.6923</v>
      </c>
      <c r="CP94" s="21">
        <f>[2]底表!EC94</f>
        <v>1</v>
      </c>
      <c r="CQ94" s="21">
        <f>[2]底表!ED94</f>
        <v>3</v>
      </c>
      <c r="CR94" s="21">
        <f>[2]底表!EE94</f>
        <v>-0.6667</v>
      </c>
      <c r="CS94" s="21">
        <f>[2]底表!EF94</f>
        <v>8</v>
      </c>
      <c r="CT94" s="21">
        <f>[2]底表!EG94</f>
        <v>-0.875</v>
      </c>
      <c r="CU94" s="21">
        <f>[2]底表!EH94</f>
        <v>0.2</v>
      </c>
      <c r="CV94" s="21">
        <f>[2]底表!EI94</f>
        <v>0.0929</v>
      </c>
      <c r="CW94" s="21">
        <f>[2]底表!EJ94</f>
        <v>4</v>
      </c>
      <c r="CX94" s="21">
        <f>[2]底表!EK94</f>
        <v>-4</v>
      </c>
      <c r="CY94" s="21">
        <f>[2]底表!EL94</f>
        <v>-0.5357</v>
      </c>
      <c r="CZ94" s="21">
        <f>[2]底表!EM94</f>
        <v>1</v>
      </c>
      <c r="DA94" s="21">
        <f>[2]底表!EN94</f>
        <v>3</v>
      </c>
      <c r="DB94" s="21">
        <f>[2]底表!EO94</f>
        <v>-0.6667</v>
      </c>
      <c r="DC94" s="21">
        <f>[2]底表!EP94</f>
        <v>8</v>
      </c>
      <c r="DD94" s="21">
        <f>[2]底表!EQ94</f>
        <v>-0.875</v>
      </c>
      <c r="DE94" s="21">
        <f>[2]底表!ER94</f>
        <v>12</v>
      </c>
      <c r="DF94" s="21">
        <f>[2]底表!ES94</f>
        <v>8</v>
      </c>
      <c r="DG94" s="23">
        <f>[2]底表!ET94</f>
        <v>0.5</v>
      </c>
      <c r="DH94" s="21">
        <f>[2]底表!EU94</f>
        <v>15</v>
      </c>
      <c r="DI94" s="21">
        <f>[2]底表!EV94</f>
        <v>-0.2</v>
      </c>
      <c r="DJ94" s="21">
        <f>[2]底表!EW94</f>
        <v>2.4</v>
      </c>
      <c r="DK94" s="21">
        <f>[2]底表!EX94</f>
        <v>2.1143</v>
      </c>
      <c r="DL94" s="21">
        <f>[2]底表!EY94</f>
        <v>43</v>
      </c>
      <c r="DM94" s="21">
        <f>[2]底表!EZ94</f>
        <v>22</v>
      </c>
      <c r="DN94" s="21">
        <f>[2]底表!FA94</f>
        <v>1.0893</v>
      </c>
      <c r="DO94" s="21">
        <f>[2]底表!BQ94</f>
        <v>6</v>
      </c>
      <c r="DP94" s="21">
        <f>[2]底表!BR94</f>
        <v>4</v>
      </c>
      <c r="DQ94" s="24">
        <f>[2]底表!BS94</f>
        <v>0.5</v>
      </c>
    </row>
    <row r="95" s="2" customFormat="1" ht="32" hidden="1" customHeight="1" spans="1:121">
      <c r="A95" s="27" t="str">
        <f>[2]底表!A95</f>
        <v>接触性诈骗</v>
      </c>
      <c r="B95" s="28" t="str">
        <f>[2]底表!B95</f>
        <v>全省</v>
      </c>
      <c r="C95" s="21">
        <f>[2]底表!AM95</f>
        <v>1294</v>
      </c>
      <c r="D95" s="21">
        <f>[2]底表!AN95</f>
        <v>792</v>
      </c>
      <c r="E95" s="23">
        <f>[2]底表!AO95</f>
        <v>0.6338</v>
      </c>
      <c r="F95" s="21">
        <f>[2]底表!AP95</f>
        <v>1900</v>
      </c>
      <c r="G95" s="21">
        <f>[2]底表!AQ95</f>
        <v>-0.3189</v>
      </c>
      <c r="H95" s="21">
        <f>[2]底表!AR95</f>
        <v>0.6957</v>
      </c>
      <c r="I95" s="21">
        <f>[2]底表!AS95</f>
        <v>0.3023</v>
      </c>
      <c r="J95" s="21">
        <f>[2]底表!AT95</f>
        <v>478</v>
      </c>
      <c r="K95" s="21">
        <f>[2]底表!AU95</f>
        <v>483</v>
      </c>
      <c r="L95" s="21">
        <f>[2]底表!AV95</f>
        <v>-0.0104</v>
      </c>
      <c r="M95" s="21">
        <f>[2]底表!AW95</f>
        <v>1757</v>
      </c>
      <c r="N95" s="21">
        <f>[2]底表!AX95</f>
        <v>-0.7279</v>
      </c>
      <c r="O95" s="21">
        <f>[2]底表!AY95</f>
        <v>203</v>
      </c>
      <c r="P95" s="21">
        <f>[2]底表!AZ95</f>
        <v>177</v>
      </c>
      <c r="Q95" s="21">
        <f>[2]底表!BA95</f>
        <v>0.1469</v>
      </c>
      <c r="R95" s="21">
        <f>[2]底表!BB95</f>
        <v>1293</v>
      </c>
      <c r="S95" s="21">
        <f>[2]底表!BC95</f>
        <v>-0.843</v>
      </c>
      <c r="T95" s="21">
        <f>[2]底表!BD95</f>
        <v>0.4247</v>
      </c>
      <c r="U95" s="21">
        <f>[2]底表!BE95</f>
        <v>0.0582</v>
      </c>
      <c r="V95" s="21">
        <f>[2]底表!BF95</f>
        <v>1382</v>
      </c>
      <c r="W95" s="21">
        <f>[2]底表!BG95</f>
        <v>1530</v>
      </c>
      <c r="X95" s="21">
        <f>[2]底表!BH95</f>
        <v>-0.0967</v>
      </c>
      <c r="Y95" s="21">
        <f>[2]底表!BI95</f>
        <v>506</v>
      </c>
      <c r="Z95" s="21">
        <f>[2]底表!BJ95</f>
        <v>1.7312</v>
      </c>
      <c r="AA95" s="21">
        <f>[2]底表!BK95</f>
        <v>0.743</v>
      </c>
      <c r="AB95" s="21">
        <f>[2]底表!BL95</f>
        <v>1091</v>
      </c>
      <c r="AC95" s="21">
        <f>[2]底表!BM95</f>
        <v>615</v>
      </c>
      <c r="AD95" s="21">
        <f>[2]底表!BN95</f>
        <v>0.774</v>
      </c>
      <c r="AE95" s="21">
        <f>[2]底表!BO95</f>
        <v>607</v>
      </c>
      <c r="AF95" s="21">
        <f>[2]底表!BP95</f>
        <v>0.7974</v>
      </c>
      <c r="AG95" s="21">
        <f>[2]底表!BT95</f>
        <v>880</v>
      </c>
      <c r="AH95" s="21">
        <f>[2]底表!BU95</f>
        <v>-0.3705</v>
      </c>
      <c r="AI95" s="21">
        <f>[2]底表!BV95</f>
        <v>0.2978</v>
      </c>
      <c r="AJ95" s="21">
        <f>[2]底表!BW95</f>
        <v>0.1275</v>
      </c>
      <c r="AK95" s="21">
        <f>[2]底表!BX95</f>
        <v>1.159</v>
      </c>
      <c r="AL95" s="21">
        <f>[2]底表!BY95</f>
        <v>0.4489</v>
      </c>
      <c r="AM95" s="21">
        <f>[2]底表!BZ95</f>
        <v>3</v>
      </c>
      <c r="AN95" s="21">
        <f>[2]底表!CA95</f>
        <v>1</v>
      </c>
      <c r="AO95" s="21">
        <f>[2]底表!CB95</f>
        <v>2</v>
      </c>
      <c r="AP95" s="21">
        <f>[2]底表!CC95</f>
        <v>91</v>
      </c>
      <c r="AQ95" s="21">
        <f>[2]底表!CD95</f>
        <v>-0.967</v>
      </c>
      <c r="AR95" s="21" t="str">
        <f>[2]底表!CE95</f>
        <v/>
      </c>
      <c r="AS95" s="21" t="str">
        <f>[2]底表!CF95</f>
        <v/>
      </c>
      <c r="AT95" s="21">
        <f>[2]底表!CG95</f>
        <v>1657</v>
      </c>
      <c r="AU95" s="21">
        <f>[2]底表!CH95</f>
        <v>1126</v>
      </c>
      <c r="AV95" s="21">
        <f>[2]底表!CI95</f>
        <v>0.4716</v>
      </c>
      <c r="AW95" s="21">
        <f>[2]底表!CJ95</f>
        <v>1681</v>
      </c>
      <c r="AX95" s="21">
        <f>[2]底表!CK95</f>
        <v>-0.0143</v>
      </c>
      <c r="AY95" s="21">
        <f>[2]底表!CL95</f>
        <v>89</v>
      </c>
      <c r="AZ95" s="21">
        <f>[2]底表!CM95</f>
        <v>33</v>
      </c>
      <c r="BA95" s="21">
        <f>[2]底表!CN95</f>
        <v>0.5926</v>
      </c>
      <c r="BB95" s="21">
        <f>[2]底表!CO95</f>
        <v>1782</v>
      </c>
      <c r="BC95" s="21">
        <f>[2]底表!CP95</f>
        <v>869</v>
      </c>
      <c r="BD95" s="21">
        <f>[2]底表!CQ95</f>
        <v>1.0506</v>
      </c>
      <c r="BE95" s="21">
        <f>[2]底表!CR95</f>
        <v>1618</v>
      </c>
      <c r="BF95" s="21">
        <f>[2]底表!CS95</f>
        <v>0.1014</v>
      </c>
      <c r="BG95" s="21">
        <f>[2]底表!CT95</f>
        <v>1.0754</v>
      </c>
      <c r="BH95" s="21">
        <f>[2]底表!CU95</f>
        <v>0.3037</v>
      </c>
      <c r="BI95" s="21">
        <f>[2]底表!CV95</f>
        <v>96</v>
      </c>
      <c r="BJ95" s="21">
        <f>[2]底表!CW95</f>
        <v>53</v>
      </c>
      <c r="BK95" s="21">
        <f>[2]底表!CX95</f>
        <v>1.2193</v>
      </c>
      <c r="BL95" s="21">
        <f>[2]底表!CY95</f>
        <v>1989</v>
      </c>
      <c r="BM95" s="21">
        <f>[2]底表!CZ95</f>
        <v>1025</v>
      </c>
      <c r="BN95" s="23">
        <f>[2]底表!DA95</f>
        <v>0.9405</v>
      </c>
      <c r="BO95" s="21">
        <f>[2]底表!DB95</f>
        <v>1829</v>
      </c>
      <c r="BP95" s="21">
        <f>[2]底表!DC95</f>
        <v>0.0875</v>
      </c>
      <c r="BQ95" s="21">
        <f>[2]底表!DD95</f>
        <v>1.2004</v>
      </c>
      <c r="BR95" s="21">
        <f>[2]底表!DE95</f>
        <v>0.2901</v>
      </c>
      <c r="BS95" s="21">
        <f>[2]底表!DF95</f>
        <v>107</v>
      </c>
      <c r="BT95" s="21">
        <f>[2]底表!DG95</f>
        <v>56</v>
      </c>
      <c r="BU95" s="21">
        <f>[2]底表!DH95</f>
        <v>1.1001</v>
      </c>
      <c r="BV95" s="21">
        <f>[2]底表!DI95</f>
        <v>0</v>
      </c>
      <c r="BW95" s="21">
        <f>[2]底表!DJ95</f>
        <v>0</v>
      </c>
      <c r="BX95" s="23" t="str">
        <f>[2]底表!DK95</f>
        <v>持平</v>
      </c>
      <c r="BY95" s="21">
        <f>[2]底表!DL95</f>
        <v>0</v>
      </c>
      <c r="BZ95" s="21" t="str">
        <f>[2]底表!DM95</f>
        <v>持平</v>
      </c>
      <c r="CA95" s="21">
        <f>[2]底表!DN95</f>
        <v>1189</v>
      </c>
      <c r="CB95" s="21">
        <f>[2]底表!DO95</f>
        <v>734</v>
      </c>
      <c r="CC95" s="21">
        <f>[2]底表!DP95</f>
        <v>0.6199</v>
      </c>
      <c r="CD95" s="21">
        <f>[2]底表!DQ95</f>
        <v>1336</v>
      </c>
      <c r="CE95" s="21">
        <f>[2]底表!DR95</f>
        <v>-0.11</v>
      </c>
      <c r="CF95" s="21">
        <f>[2]底表!DS95</f>
        <v>1190</v>
      </c>
      <c r="CG95" s="21">
        <f>[2]底表!DT95</f>
        <v>735</v>
      </c>
      <c r="CH95" s="21">
        <f>[2]底表!DU95</f>
        <v>0.619</v>
      </c>
      <c r="CI95" s="21">
        <f>[2]底表!DV95</f>
        <v>1336</v>
      </c>
      <c r="CJ95" s="21">
        <f>[2]底表!DW95</f>
        <v>-0.1093</v>
      </c>
      <c r="CK95" s="21">
        <f>[2]底表!DX95</f>
        <v>1267</v>
      </c>
      <c r="CL95" s="21">
        <f>[2]底表!DY95</f>
        <v>836</v>
      </c>
      <c r="CM95" s="21">
        <f>[2]底表!DZ95</f>
        <v>0.5156</v>
      </c>
      <c r="CN95" s="21">
        <f>[2]底表!EA95</f>
        <v>1273</v>
      </c>
      <c r="CO95" s="21">
        <f>[2]底表!EB95</f>
        <v>-0.0047</v>
      </c>
      <c r="CP95" s="21">
        <f>[2]底表!EC95</f>
        <v>505</v>
      </c>
      <c r="CQ95" s="21">
        <f>[2]底表!ED95</f>
        <v>519</v>
      </c>
      <c r="CR95" s="21">
        <f>[2]底表!EE95</f>
        <v>-0.027</v>
      </c>
      <c r="CS95" s="21">
        <f>[2]底表!EF95</f>
        <v>606</v>
      </c>
      <c r="CT95" s="21">
        <f>[2]底表!EG95</f>
        <v>-0.1667</v>
      </c>
      <c r="CU95" s="21">
        <f>[2]底表!EH95</f>
        <v>0.2834</v>
      </c>
      <c r="CV95" s="21">
        <f>[2]底表!EI95</f>
        <v>-0.3138</v>
      </c>
      <c r="CW95" s="21">
        <f>[2]底表!EJ95</f>
        <v>27</v>
      </c>
      <c r="CX95" s="21">
        <f>[2]底表!EK95</f>
        <v>1</v>
      </c>
      <c r="CY95" s="21">
        <f>[2]底表!EL95</f>
        <v>0.0531</v>
      </c>
      <c r="CZ95" s="21">
        <f>[2]底表!EM95</f>
        <v>507</v>
      </c>
      <c r="DA95" s="21">
        <f>[2]底表!EN95</f>
        <v>522</v>
      </c>
      <c r="DB95" s="21">
        <f>[2]底表!EO95</f>
        <v>-0.0287</v>
      </c>
      <c r="DC95" s="21">
        <f>[2]底表!EP95</f>
        <v>602</v>
      </c>
      <c r="DD95" s="21">
        <f>[2]底表!EQ95</f>
        <v>-0.1578</v>
      </c>
      <c r="DE95" s="21">
        <f>[2]底表!ER95</f>
        <v>700</v>
      </c>
      <c r="DF95" s="21">
        <f>[2]底表!ES95</f>
        <v>443</v>
      </c>
      <c r="DG95" s="23">
        <f>[2]底表!ET95</f>
        <v>0.5801</v>
      </c>
      <c r="DH95" s="21">
        <f>[2]底表!EU95</f>
        <v>1290</v>
      </c>
      <c r="DI95" s="21">
        <f>[2]底表!EV95</f>
        <v>-0.4574</v>
      </c>
      <c r="DJ95" s="21">
        <f>[2]底表!EW95</f>
        <v>0.3928</v>
      </c>
      <c r="DK95" s="21">
        <f>[2]底表!EX95</f>
        <v>-0.117</v>
      </c>
      <c r="DL95" s="21">
        <f>[2]底表!EY95</f>
        <v>38</v>
      </c>
      <c r="DM95" s="21">
        <f>[2]底表!EZ95</f>
        <v>16</v>
      </c>
      <c r="DN95" s="21">
        <f>[2]底表!FA95</f>
        <v>0.7101</v>
      </c>
      <c r="DO95" s="21">
        <f>[2]底表!BQ95</f>
        <v>554</v>
      </c>
      <c r="DP95" s="21">
        <f>[2]底表!BR95</f>
        <v>343</v>
      </c>
      <c r="DQ95" s="24">
        <f>[2]底表!BS95</f>
        <v>0.6152</v>
      </c>
    </row>
    <row r="96" s="2" customFormat="1" ht="32" hidden="1" customHeight="1" spans="1:121">
      <c r="A96" s="27" t="str">
        <f>[2]底表!A96</f>
        <v>接触性诈骗</v>
      </c>
      <c r="B96" s="28" t="str">
        <f>[2]底表!B96</f>
        <v>云浮</v>
      </c>
      <c r="C96" s="21">
        <f>[2]底表!AM96</f>
        <v>13</v>
      </c>
      <c r="D96" s="21">
        <f>[2]底表!AN96</f>
        <v>13</v>
      </c>
      <c r="E96" s="23">
        <f>[2]底表!AO96</f>
        <v>0</v>
      </c>
      <c r="F96" s="21">
        <f>[2]底表!AP96</f>
        <v>8</v>
      </c>
      <c r="G96" s="21">
        <f>[2]底表!AQ96</f>
        <v>0.625</v>
      </c>
      <c r="H96" s="21">
        <f>[2]底表!AR96</f>
        <v>0.65</v>
      </c>
      <c r="I96" s="21">
        <f>[2]底表!AS96</f>
        <v>-0.0722</v>
      </c>
      <c r="J96" s="21">
        <f>[2]底表!AT96</f>
        <v>4</v>
      </c>
      <c r="K96" s="21">
        <f>[2]底表!AU96</f>
        <v>5</v>
      </c>
      <c r="L96" s="21">
        <f>[2]底表!AV96</f>
        <v>-0.2</v>
      </c>
      <c r="M96" s="21">
        <f>[2]底表!AW96</f>
        <v>9</v>
      </c>
      <c r="N96" s="21">
        <f>[2]底表!AX96</f>
        <v>-0.5556</v>
      </c>
      <c r="O96" s="21">
        <f>[2]底表!AY96</f>
        <v>1</v>
      </c>
      <c r="P96" s="21">
        <f>[2]底表!AZ96</f>
        <v>2</v>
      </c>
      <c r="Q96" s="21">
        <f>[2]底表!BA96</f>
        <v>-0.5</v>
      </c>
      <c r="R96" s="21">
        <f>[2]底表!BB96</f>
        <v>8</v>
      </c>
      <c r="S96" s="21">
        <f>[2]底表!BC96</f>
        <v>-0.875</v>
      </c>
      <c r="T96" s="21">
        <f>[2]底表!BD96</f>
        <v>0.25</v>
      </c>
      <c r="U96" s="21">
        <f>[2]底表!BE96</f>
        <v>-0.15</v>
      </c>
      <c r="V96" s="21">
        <f>[2]底表!BF96</f>
        <v>16</v>
      </c>
      <c r="W96" s="21">
        <f>[2]底表!BG96</f>
        <v>13</v>
      </c>
      <c r="X96" s="21">
        <f>[2]底表!BH96</f>
        <v>0.2308</v>
      </c>
      <c r="Y96" s="21">
        <f>[2]底表!BI96</f>
        <v>1</v>
      </c>
      <c r="Z96" s="21">
        <f>[2]底表!BJ96</f>
        <v>15</v>
      </c>
      <c r="AA96" s="21">
        <f>[2]底表!BK96</f>
        <v>0.8</v>
      </c>
      <c r="AB96" s="21">
        <f>[2]底表!BL96</f>
        <v>12</v>
      </c>
      <c r="AC96" s="21">
        <f>[2]底表!BM96</f>
        <v>11</v>
      </c>
      <c r="AD96" s="21">
        <f>[2]底表!BN96</f>
        <v>0.0909</v>
      </c>
      <c r="AE96" s="21">
        <f>[2]底表!BO96</f>
        <v>0</v>
      </c>
      <c r="AF96" s="21" t="str">
        <f>[2]底表!BP96</f>
        <v>多12起</v>
      </c>
      <c r="AG96" s="21">
        <f>[2]底表!BT96</f>
        <v>7</v>
      </c>
      <c r="AH96" s="21">
        <f>[2]底表!BU96</f>
        <v>0.1429</v>
      </c>
      <c r="AI96" s="21">
        <f>[2]底表!BV96</f>
        <v>0.4</v>
      </c>
      <c r="AJ96" s="21">
        <f>[2]底表!BW96</f>
        <v>0.1222</v>
      </c>
      <c r="AK96" s="21">
        <f>[2]底表!BX96</f>
        <v>2</v>
      </c>
      <c r="AL96" s="21">
        <f>[2]底表!BY96</f>
        <v>1</v>
      </c>
      <c r="AM96" s="21">
        <f>[2]底表!BZ96</f>
        <v>0</v>
      </c>
      <c r="AN96" s="21">
        <f>[2]底表!CA96</f>
        <v>0</v>
      </c>
      <c r="AO96" s="21" t="str">
        <f>[2]底表!CB96</f>
        <v>持平</v>
      </c>
      <c r="AP96" s="21">
        <f>[2]底表!CC96</f>
        <v>2</v>
      </c>
      <c r="AQ96" s="21" t="str">
        <f>[2]底表!CD96</f>
        <v>少2起</v>
      </c>
      <c r="AR96" s="21" t="str">
        <f>[2]底表!CE96</f>
        <v/>
      </c>
      <c r="AS96" s="21" t="str">
        <f>[2]底表!CF96</f>
        <v/>
      </c>
      <c r="AT96" s="21">
        <f>[2]底表!CG96</f>
        <v>14</v>
      </c>
      <c r="AU96" s="21">
        <f>[2]底表!CH96</f>
        <v>10</v>
      </c>
      <c r="AV96" s="21">
        <f>[2]底表!CI96</f>
        <v>0.4</v>
      </c>
      <c r="AW96" s="21">
        <f>[2]底表!CJ96</f>
        <v>9</v>
      </c>
      <c r="AX96" s="21">
        <f>[2]底表!CK96</f>
        <v>0.5556</v>
      </c>
      <c r="AY96" s="21">
        <f>[2]底表!CL96</f>
        <v>70</v>
      </c>
      <c r="AZ96" s="21">
        <f>[2]底表!CM96</f>
        <v>14</v>
      </c>
      <c r="BA96" s="21">
        <f>[2]底表!CN96</f>
        <v>0.26</v>
      </c>
      <c r="BB96" s="21">
        <f>[2]底表!CO96</f>
        <v>16</v>
      </c>
      <c r="BC96" s="21">
        <f>[2]底表!CP96</f>
        <v>20</v>
      </c>
      <c r="BD96" s="21">
        <f>[2]底表!CQ96</f>
        <v>-0.2</v>
      </c>
      <c r="BE96" s="21">
        <f>[2]底表!CR96</f>
        <v>8</v>
      </c>
      <c r="BF96" s="21">
        <f>[2]底表!CS96</f>
        <v>1</v>
      </c>
      <c r="BG96" s="21">
        <f>[2]底表!CT96</f>
        <v>1.1429</v>
      </c>
      <c r="BH96" s="21">
        <f>[2]底表!CU96</f>
        <v>-0.8571</v>
      </c>
      <c r="BI96" s="21">
        <f>[2]底表!CV96</f>
        <v>80</v>
      </c>
      <c r="BJ96" s="21">
        <f>[2]底表!CW96</f>
        <v>-31</v>
      </c>
      <c r="BK96" s="21">
        <f>[2]底表!CX96</f>
        <v>-0.28</v>
      </c>
      <c r="BL96" s="21">
        <f>[2]底表!CY96</f>
        <v>17</v>
      </c>
      <c r="BM96" s="21">
        <f>[2]底表!CZ96</f>
        <v>23</v>
      </c>
      <c r="BN96" s="23">
        <f>[2]底表!DA96</f>
        <v>-0.2609</v>
      </c>
      <c r="BO96" s="21">
        <f>[2]底表!DB96</f>
        <v>9</v>
      </c>
      <c r="BP96" s="21">
        <f>[2]底表!DC96</f>
        <v>0.8889</v>
      </c>
      <c r="BQ96" s="21">
        <f>[2]底表!DD96</f>
        <v>1.2143</v>
      </c>
      <c r="BR96" s="21">
        <f>[2]底表!DE96</f>
        <v>-1.0857</v>
      </c>
      <c r="BS96" s="21">
        <f>[2]底表!DF96</f>
        <v>85</v>
      </c>
      <c r="BT96" s="21">
        <f>[2]底表!DG96</f>
        <v>-43</v>
      </c>
      <c r="BU96" s="21">
        <f>[2]底表!DH96</f>
        <v>-0.3348</v>
      </c>
      <c r="BV96" s="21">
        <f>[2]底表!DI96</f>
        <v>0</v>
      </c>
      <c r="BW96" s="21">
        <f>[2]底表!DJ96</f>
        <v>0</v>
      </c>
      <c r="BX96" s="23" t="str">
        <f>[2]底表!DK96</f>
        <v>持平</v>
      </c>
      <c r="BY96" s="21">
        <f>[2]底表!DL96</f>
        <v>0</v>
      </c>
      <c r="BZ96" s="21" t="str">
        <f>[2]底表!DM96</f>
        <v>持平</v>
      </c>
      <c r="CA96" s="21">
        <f>[2]底表!DN96</f>
        <v>6</v>
      </c>
      <c r="CB96" s="21">
        <f>[2]底表!DO96</f>
        <v>8</v>
      </c>
      <c r="CC96" s="21">
        <f>[2]底表!DP96</f>
        <v>-0.25</v>
      </c>
      <c r="CD96" s="21">
        <f>[2]底表!DQ96</f>
        <v>11</v>
      </c>
      <c r="CE96" s="21">
        <f>[2]底表!DR96</f>
        <v>-0.4545</v>
      </c>
      <c r="CF96" s="21">
        <f>[2]底表!DS96</f>
        <v>6</v>
      </c>
      <c r="CG96" s="21">
        <f>[2]底表!DT96</f>
        <v>8</v>
      </c>
      <c r="CH96" s="21">
        <f>[2]底表!DU96</f>
        <v>-0.25</v>
      </c>
      <c r="CI96" s="21">
        <f>[2]底表!DV96</f>
        <v>11</v>
      </c>
      <c r="CJ96" s="21">
        <f>[2]底表!DW96</f>
        <v>-0.4545</v>
      </c>
      <c r="CK96" s="21">
        <f>[2]底表!DX96</f>
        <v>7</v>
      </c>
      <c r="CL96" s="21">
        <f>[2]底表!DY96</f>
        <v>15</v>
      </c>
      <c r="CM96" s="21">
        <f>[2]底表!DZ96</f>
        <v>-0.5333</v>
      </c>
      <c r="CN96" s="21">
        <f>[2]底表!EA96</f>
        <v>16</v>
      </c>
      <c r="CO96" s="21">
        <f>[2]底表!EB96</f>
        <v>-0.5625</v>
      </c>
      <c r="CP96" s="21">
        <f>[2]底表!EC96</f>
        <v>6</v>
      </c>
      <c r="CQ96" s="21">
        <f>[2]底表!ED96</f>
        <v>12</v>
      </c>
      <c r="CR96" s="21">
        <f>[2]底表!EE96</f>
        <v>-0.5</v>
      </c>
      <c r="CS96" s="21">
        <f>[2]底表!EF96</f>
        <v>8</v>
      </c>
      <c r="CT96" s="21">
        <f>[2]底表!EG96</f>
        <v>-0.25</v>
      </c>
      <c r="CU96" s="21">
        <f>[2]底表!EH96</f>
        <v>0.375</v>
      </c>
      <c r="CV96" s="21">
        <f>[2]底表!EI96</f>
        <v>-0.225</v>
      </c>
      <c r="CW96" s="21">
        <f>[2]底表!EJ96</f>
        <v>30</v>
      </c>
      <c r="CX96" s="21">
        <f>[2]底表!EK96</f>
        <v>-37</v>
      </c>
      <c r="CY96" s="21">
        <f>[2]底表!EL96</f>
        <v>-0.55</v>
      </c>
      <c r="CZ96" s="21">
        <f>[2]底表!EM96</f>
        <v>6</v>
      </c>
      <c r="DA96" s="21">
        <f>[2]底表!EN96</f>
        <v>12</v>
      </c>
      <c r="DB96" s="21">
        <f>[2]底表!EO96</f>
        <v>-0.5</v>
      </c>
      <c r="DC96" s="21">
        <f>[2]底表!EP96</f>
        <v>8</v>
      </c>
      <c r="DD96" s="21">
        <f>[2]底表!EQ96</f>
        <v>-0.25</v>
      </c>
      <c r="DE96" s="21">
        <f>[2]底表!ER96</f>
        <v>13</v>
      </c>
      <c r="DF96" s="21">
        <f>[2]底表!ES96</f>
        <v>6</v>
      </c>
      <c r="DG96" s="23">
        <f>[2]底表!ET96</f>
        <v>1.1667</v>
      </c>
      <c r="DH96" s="21">
        <f>[2]底表!EU96</f>
        <v>9</v>
      </c>
      <c r="DI96" s="21">
        <f>[2]底表!EV96</f>
        <v>0.4444</v>
      </c>
      <c r="DJ96" s="21">
        <f>[2]底表!EW96</f>
        <v>0.8125</v>
      </c>
      <c r="DK96" s="21">
        <f>[2]底表!EX96</f>
        <v>0.5125</v>
      </c>
      <c r="DL96" s="21">
        <f>[2]底表!EY96</f>
        <v>65</v>
      </c>
      <c r="DM96" s="21">
        <f>[2]底表!EZ96</f>
        <v>32</v>
      </c>
      <c r="DN96" s="21">
        <f>[2]底表!FA96</f>
        <v>0.95</v>
      </c>
      <c r="DO96" s="21">
        <f>[2]底表!BQ96</f>
        <v>8</v>
      </c>
      <c r="DP96" s="21">
        <f>[2]底表!BR96</f>
        <v>5</v>
      </c>
      <c r="DQ96" s="24">
        <f>[2]底表!BS96</f>
        <v>0.6</v>
      </c>
    </row>
    <row r="97" s="2" customFormat="1" ht="32" hidden="1" customHeight="1" spans="1:121">
      <c r="A97" s="27" t="str">
        <f>[2]底表!A97</f>
        <v>接触性诈骗</v>
      </c>
      <c r="B97" s="28" t="str">
        <f>[2]底表!B97</f>
        <v>云城区</v>
      </c>
      <c r="C97" s="21">
        <f>[2]底表!AM97</f>
        <v>8</v>
      </c>
      <c r="D97" s="21">
        <f>[2]底表!AN97</f>
        <v>2</v>
      </c>
      <c r="E97" s="23">
        <f>[2]底表!AO97</f>
        <v>3</v>
      </c>
      <c r="F97" s="21">
        <f>[2]底表!AP97</f>
        <v>2</v>
      </c>
      <c r="G97" s="21">
        <f>[2]底表!AQ97</f>
        <v>3</v>
      </c>
      <c r="H97" s="21">
        <f>[2]底表!AR97</f>
        <v>1.1429</v>
      </c>
      <c r="I97" s="21">
        <f>[2]底表!AS97</f>
        <v>0.7429</v>
      </c>
      <c r="J97" s="21">
        <f>[2]底表!AT97</f>
        <v>0</v>
      </c>
      <c r="K97" s="21">
        <f>[2]底表!AU97</f>
        <v>1</v>
      </c>
      <c r="L97" s="21" t="str">
        <f>[2]底表!AV97</f>
        <v>少1起</v>
      </c>
      <c r="M97" s="21">
        <f>[2]底表!AW97</f>
        <v>4</v>
      </c>
      <c r="N97" s="21" t="str">
        <f>[2]底表!AX97</f>
        <v>少4起</v>
      </c>
      <c r="O97" s="21">
        <f>[2]底表!AY97</f>
        <v>0</v>
      </c>
      <c r="P97" s="21">
        <f>[2]底表!AZ97</f>
        <v>0</v>
      </c>
      <c r="Q97" s="21" t="str">
        <f>[2]底表!BA97</f>
        <v>持平</v>
      </c>
      <c r="R97" s="21">
        <f>[2]底表!BB97</f>
        <v>2</v>
      </c>
      <c r="S97" s="21" t="str">
        <f>[2]底表!BC97</f>
        <v>少2起</v>
      </c>
      <c r="T97" s="21" t="str">
        <f>[2]底表!BD97</f>
        <v/>
      </c>
      <c r="U97" s="21" t="str">
        <f>[2]底表!BE97</f>
        <v/>
      </c>
      <c r="V97" s="21">
        <f>[2]底表!BF97</f>
        <v>7</v>
      </c>
      <c r="W97" s="21">
        <f>[2]底表!BG97</f>
        <v>4</v>
      </c>
      <c r="X97" s="21">
        <f>[2]底表!BH97</f>
        <v>0.75</v>
      </c>
      <c r="Y97" s="21">
        <f>[2]底表!BI97</f>
        <v>0</v>
      </c>
      <c r="Z97" s="21" t="str">
        <f>[2]底表!BJ97</f>
        <v>多7起</v>
      </c>
      <c r="AA97" s="21">
        <f>[2]底表!BK97</f>
        <v>1</v>
      </c>
      <c r="AB97" s="21">
        <f>[2]底表!BL97</f>
        <v>8</v>
      </c>
      <c r="AC97" s="21">
        <f>[2]底表!BM97</f>
        <v>2</v>
      </c>
      <c r="AD97" s="21">
        <f>[2]底表!BN97</f>
        <v>3</v>
      </c>
      <c r="AE97" s="21">
        <f>[2]底表!BO97</f>
        <v>0</v>
      </c>
      <c r="AF97" s="21" t="str">
        <f>[2]底表!BP97</f>
        <v>多8起</v>
      </c>
      <c r="AG97" s="21">
        <f>[2]底表!BT97</f>
        <v>2</v>
      </c>
      <c r="AH97" s="21" t="str">
        <f>[2]底表!BU97</f>
        <v>少2起</v>
      </c>
      <c r="AI97" s="21">
        <f>[2]底表!BV97</f>
        <v>0</v>
      </c>
      <c r="AJ97" s="21">
        <f>[2]底表!BW97</f>
        <v>-0.4</v>
      </c>
      <c r="AK97" s="21" t="str">
        <f>[2]底表!BX97</f>
        <v/>
      </c>
      <c r="AL97" s="21" t="str">
        <f>[2]底表!BY97</f>
        <v/>
      </c>
      <c r="AM97" s="21">
        <f>[2]底表!BZ97</f>
        <v>0</v>
      </c>
      <c r="AN97" s="21">
        <f>[2]底表!CA97</f>
        <v>0</v>
      </c>
      <c r="AO97" s="21" t="str">
        <f>[2]底表!CB97</f>
        <v>持平</v>
      </c>
      <c r="AP97" s="21">
        <f>[2]底表!CC97</f>
        <v>0</v>
      </c>
      <c r="AQ97" s="21" t="str">
        <f>[2]底表!CD97</f>
        <v>持平</v>
      </c>
      <c r="AR97" s="21" t="str">
        <f>[2]底表!CE97</f>
        <v/>
      </c>
      <c r="AS97" s="21" t="str">
        <f>[2]底表!CF97</f>
        <v/>
      </c>
      <c r="AT97" s="21">
        <f>[2]底表!CG97</f>
        <v>1</v>
      </c>
      <c r="AU97" s="21">
        <f>[2]底表!CH97</f>
        <v>2</v>
      </c>
      <c r="AV97" s="21">
        <f>[2]底表!CI97</f>
        <v>-0.5</v>
      </c>
      <c r="AW97" s="21">
        <f>[2]底表!CJ97</f>
        <v>2</v>
      </c>
      <c r="AX97" s="21">
        <f>[2]底表!CK97</f>
        <v>-0.5</v>
      </c>
      <c r="AY97" s="21">
        <f>[2]底表!CL97</f>
        <v>14</v>
      </c>
      <c r="AZ97" s="21">
        <f>[2]底表!CM97</f>
        <v>-26</v>
      </c>
      <c r="BA97" s="21">
        <f>[2]底表!CN97</f>
        <v>-0.6429</v>
      </c>
      <c r="BB97" s="21">
        <f>[2]底表!CO97</f>
        <v>4</v>
      </c>
      <c r="BC97" s="21">
        <f>[2]底表!CP97</f>
        <v>3</v>
      </c>
      <c r="BD97" s="21">
        <f>[2]底表!CQ97</f>
        <v>0.3333</v>
      </c>
      <c r="BE97" s="21">
        <f>[2]底表!CR97</f>
        <v>4</v>
      </c>
      <c r="BF97" s="21">
        <f>[2]底表!CS97</f>
        <v>0</v>
      </c>
      <c r="BG97" s="21">
        <f>[2]底表!CT97</f>
        <v>4</v>
      </c>
      <c r="BH97" s="21">
        <f>[2]底表!CU97</f>
        <v>2.5</v>
      </c>
      <c r="BI97" s="21">
        <f>[2]底表!CV97</f>
        <v>57</v>
      </c>
      <c r="BJ97" s="21">
        <f>[2]底表!CW97</f>
        <v>-3</v>
      </c>
      <c r="BK97" s="21">
        <f>[2]底表!CX97</f>
        <v>-0.0476</v>
      </c>
      <c r="BL97" s="21">
        <f>[2]底表!CY97</f>
        <v>4</v>
      </c>
      <c r="BM97" s="21">
        <f>[2]底表!CZ97</f>
        <v>3</v>
      </c>
      <c r="BN97" s="23">
        <f>[2]底表!DA97</f>
        <v>0.3333</v>
      </c>
      <c r="BO97" s="21">
        <f>[2]底表!DB97</f>
        <v>4</v>
      </c>
      <c r="BP97" s="21">
        <f>[2]底表!DC97</f>
        <v>0</v>
      </c>
      <c r="BQ97" s="21">
        <f>[2]底表!DD97</f>
        <v>4</v>
      </c>
      <c r="BR97" s="21">
        <f>[2]底表!DE97</f>
        <v>2.5</v>
      </c>
      <c r="BS97" s="21">
        <f>[2]底表!DF97</f>
        <v>57</v>
      </c>
      <c r="BT97" s="21">
        <f>[2]底表!DG97</f>
        <v>-3</v>
      </c>
      <c r="BU97" s="21">
        <f>[2]底表!DH97</f>
        <v>-0.0476</v>
      </c>
      <c r="BV97" s="21">
        <f>[2]底表!DI97</f>
        <v>0</v>
      </c>
      <c r="BW97" s="21">
        <f>[2]底表!DJ97</f>
        <v>0</v>
      </c>
      <c r="BX97" s="23" t="str">
        <f>[2]底表!DK97</f>
        <v>持平</v>
      </c>
      <c r="BY97" s="21">
        <f>[2]底表!DL97</f>
        <v>0</v>
      </c>
      <c r="BZ97" s="21" t="str">
        <f>[2]底表!DM97</f>
        <v>持平</v>
      </c>
      <c r="CA97" s="21">
        <f>[2]底表!DN97</f>
        <v>1</v>
      </c>
      <c r="CB97" s="21">
        <f>[2]底表!DO97</f>
        <v>1</v>
      </c>
      <c r="CC97" s="21">
        <f>[2]底表!DP97</f>
        <v>0</v>
      </c>
      <c r="CD97" s="21">
        <f>[2]底表!DQ97</f>
        <v>1</v>
      </c>
      <c r="CE97" s="21">
        <f>[2]底表!DR97</f>
        <v>0</v>
      </c>
      <c r="CF97" s="21">
        <f>[2]底表!DS97</f>
        <v>1</v>
      </c>
      <c r="CG97" s="21">
        <f>[2]底表!DT97</f>
        <v>1</v>
      </c>
      <c r="CH97" s="21">
        <f>[2]底表!DU97</f>
        <v>0</v>
      </c>
      <c r="CI97" s="21">
        <f>[2]底表!DV97</f>
        <v>1</v>
      </c>
      <c r="CJ97" s="21">
        <f>[2]底表!DW97</f>
        <v>0</v>
      </c>
      <c r="CK97" s="21">
        <f>[2]底表!DX97</f>
        <v>3</v>
      </c>
      <c r="CL97" s="21">
        <f>[2]底表!DY97</f>
        <v>3</v>
      </c>
      <c r="CM97" s="21">
        <f>[2]底表!DZ97</f>
        <v>0</v>
      </c>
      <c r="CN97" s="21">
        <f>[2]底表!EA97</f>
        <v>0</v>
      </c>
      <c r="CO97" s="21" t="str">
        <f>[2]底表!EB97</f>
        <v>多3人</v>
      </c>
      <c r="CP97" s="21">
        <f>[2]底表!EC97</f>
        <v>3</v>
      </c>
      <c r="CQ97" s="21">
        <f>[2]底表!ED97</f>
        <v>3</v>
      </c>
      <c r="CR97" s="21">
        <f>[2]底表!EE97</f>
        <v>0</v>
      </c>
      <c r="CS97" s="21">
        <f>[2]底表!EF97</f>
        <v>0</v>
      </c>
      <c r="CT97" s="21" t="str">
        <f>[2]底表!EG97</f>
        <v>多3人</v>
      </c>
      <c r="CU97" s="21">
        <f>[2]底表!EH97</f>
        <v>0.75</v>
      </c>
      <c r="CV97" s="21">
        <f>[2]底表!EI97</f>
        <v>-0.25</v>
      </c>
      <c r="CW97" s="21">
        <f>[2]底表!EJ97</f>
        <v>43</v>
      </c>
      <c r="CX97" s="21">
        <f>[2]底表!EK97</f>
        <v>-17</v>
      </c>
      <c r="CY97" s="21">
        <f>[2]底表!EL97</f>
        <v>-0.2857</v>
      </c>
      <c r="CZ97" s="21">
        <f>[2]底表!EM97</f>
        <v>3</v>
      </c>
      <c r="DA97" s="21">
        <f>[2]底表!EN97</f>
        <v>3</v>
      </c>
      <c r="DB97" s="21">
        <f>[2]底表!EO97</f>
        <v>0</v>
      </c>
      <c r="DC97" s="21">
        <f>[2]底表!EP97</f>
        <v>0</v>
      </c>
      <c r="DD97" s="21" t="str">
        <f>[2]底表!EQ97</f>
        <v>多3人</v>
      </c>
      <c r="DE97" s="21">
        <f>[2]底表!ER97</f>
        <v>0</v>
      </c>
      <c r="DF97" s="21">
        <f>[2]底表!ES97</f>
        <v>3</v>
      </c>
      <c r="DG97" s="23" t="str">
        <f>[2]底表!ET97</f>
        <v>少3人</v>
      </c>
      <c r="DH97" s="21">
        <f>[2]底表!EU97</f>
        <v>4</v>
      </c>
      <c r="DI97" s="21" t="str">
        <f>[2]底表!EV97</f>
        <v>少4人</v>
      </c>
      <c r="DJ97" s="21">
        <f>[2]底表!EW97</f>
        <v>0</v>
      </c>
      <c r="DK97" s="21">
        <f>[2]底表!EX97</f>
        <v>-1</v>
      </c>
      <c r="DL97" s="21">
        <f>[2]底表!EY97</f>
        <v>0</v>
      </c>
      <c r="DM97" s="21">
        <f>[2]底表!EZ97</f>
        <v>-60</v>
      </c>
      <c r="DN97" s="21">
        <f>[2]底表!FA97</f>
        <v>-1</v>
      </c>
      <c r="DO97" s="21">
        <f>[2]底表!BQ97</f>
        <v>0</v>
      </c>
      <c r="DP97" s="21">
        <f>[2]底表!BR97</f>
        <v>2</v>
      </c>
      <c r="DQ97" s="24" t="str">
        <f>[2]底表!BS97</f>
        <v>少2起</v>
      </c>
    </row>
    <row r="98" s="2" customFormat="1" ht="32" hidden="1" customHeight="1" spans="1:121">
      <c r="A98" s="27" t="str">
        <f>[2]底表!A98</f>
        <v>接触性诈骗</v>
      </c>
      <c r="B98" s="28" t="str">
        <f>[2]底表!B98</f>
        <v>云安区</v>
      </c>
      <c r="C98" s="21">
        <f>[2]底表!AM98</f>
        <v>1</v>
      </c>
      <c r="D98" s="21">
        <f>[2]底表!AN98</f>
        <v>1</v>
      </c>
      <c r="E98" s="23">
        <f>[2]底表!AO98</f>
        <v>0</v>
      </c>
      <c r="F98" s="21">
        <f>[2]底表!AP98</f>
        <v>1</v>
      </c>
      <c r="G98" s="21">
        <f>[2]底表!AQ98</f>
        <v>0</v>
      </c>
      <c r="H98" s="21" t="str">
        <f>[2]底表!AR98</f>
        <v/>
      </c>
      <c r="I98" s="21" t="str">
        <f>[2]底表!AS98</f>
        <v/>
      </c>
      <c r="J98" s="21">
        <f>[2]底表!AT98</f>
        <v>0</v>
      </c>
      <c r="K98" s="21">
        <f>[2]底表!AU98</f>
        <v>0</v>
      </c>
      <c r="L98" s="21" t="str">
        <f>[2]底表!AV98</f>
        <v>持平</v>
      </c>
      <c r="M98" s="21">
        <f>[2]底表!AW98</f>
        <v>0</v>
      </c>
      <c r="N98" s="21" t="str">
        <f>[2]底表!AX98</f>
        <v>持平</v>
      </c>
      <c r="O98" s="21">
        <f>[2]底表!AY98</f>
        <v>0</v>
      </c>
      <c r="P98" s="21">
        <f>[2]底表!AZ98</f>
        <v>0</v>
      </c>
      <c r="Q98" s="21" t="str">
        <f>[2]底表!BA98</f>
        <v>持平</v>
      </c>
      <c r="R98" s="21">
        <f>[2]底表!BB98</f>
        <v>1</v>
      </c>
      <c r="S98" s="21" t="str">
        <f>[2]底表!BC98</f>
        <v>少1起</v>
      </c>
      <c r="T98" s="21" t="str">
        <f>[2]底表!BD98</f>
        <v/>
      </c>
      <c r="U98" s="21" t="str">
        <f>[2]底表!BE98</f>
        <v/>
      </c>
      <c r="V98" s="21">
        <f>[2]底表!BF98</f>
        <v>0</v>
      </c>
      <c r="W98" s="21">
        <f>[2]底表!BG98</f>
        <v>0</v>
      </c>
      <c r="X98" s="21" t="str">
        <f>[2]底表!BH98</f>
        <v>持平</v>
      </c>
      <c r="Y98" s="21">
        <f>[2]底表!BI98</f>
        <v>1</v>
      </c>
      <c r="Z98" s="21" t="str">
        <f>[2]底表!BJ98</f>
        <v>少1起</v>
      </c>
      <c r="AA98" s="21" t="str">
        <f>[2]底表!BK98</f>
        <v/>
      </c>
      <c r="AB98" s="21">
        <f>[2]底表!BL98</f>
        <v>1</v>
      </c>
      <c r="AC98" s="21">
        <f>[2]底表!BM98</f>
        <v>1</v>
      </c>
      <c r="AD98" s="21">
        <f>[2]底表!BN98</f>
        <v>0</v>
      </c>
      <c r="AE98" s="21">
        <f>[2]底表!BO98</f>
        <v>0</v>
      </c>
      <c r="AF98" s="21" t="str">
        <f>[2]底表!BP98</f>
        <v>多1起</v>
      </c>
      <c r="AG98" s="21">
        <f>[2]底表!BT98</f>
        <v>0</v>
      </c>
      <c r="AH98" s="21" t="str">
        <f>[2]底表!BU98</f>
        <v>持平</v>
      </c>
      <c r="AI98" s="21" t="str">
        <f>[2]底表!BV98</f>
        <v/>
      </c>
      <c r="AJ98" s="21" t="str">
        <f>[2]底表!BW98</f>
        <v/>
      </c>
      <c r="AK98" s="21" t="str">
        <f>[2]底表!BX98</f>
        <v/>
      </c>
      <c r="AL98" s="21" t="str">
        <f>[2]底表!BY98</f>
        <v/>
      </c>
      <c r="AM98" s="21">
        <f>[2]底表!BZ98</f>
        <v>0</v>
      </c>
      <c r="AN98" s="21">
        <f>[2]底表!CA98</f>
        <v>0</v>
      </c>
      <c r="AO98" s="21" t="str">
        <f>[2]底表!CB98</f>
        <v>持平</v>
      </c>
      <c r="AP98" s="21">
        <f>[2]底表!CC98</f>
        <v>0</v>
      </c>
      <c r="AQ98" s="21" t="str">
        <f>[2]底表!CD98</f>
        <v>持平</v>
      </c>
      <c r="AR98" s="21" t="str">
        <f>[2]底表!CE98</f>
        <v/>
      </c>
      <c r="AS98" s="21" t="str">
        <f>[2]底表!CF98</f>
        <v/>
      </c>
      <c r="AT98" s="21">
        <f>[2]底表!CG98</f>
        <v>0</v>
      </c>
      <c r="AU98" s="21">
        <f>[2]底表!CH98</f>
        <v>0</v>
      </c>
      <c r="AV98" s="21" t="str">
        <f>[2]底表!CI98</f>
        <v>持平</v>
      </c>
      <c r="AW98" s="21">
        <f>[2]底表!CJ98</f>
        <v>1</v>
      </c>
      <c r="AX98" s="21" t="str">
        <f>[2]底表!CK98</f>
        <v>少1人</v>
      </c>
      <c r="AY98" s="21" t="str">
        <f>[2]底表!CL98</f>
        <v/>
      </c>
      <c r="AZ98" s="21" t="str">
        <f>[2]底表!CM98</f>
        <v/>
      </c>
      <c r="BA98" s="21" t="str">
        <f>[2]底表!CN98</f>
        <v/>
      </c>
      <c r="BB98" s="21">
        <f>[2]底表!CO98</f>
        <v>0</v>
      </c>
      <c r="BC98" s="21">
        <f>[2]底表!CP98</f>
        <v>0</v>
      </c>
      <c r="BD98" s="21" t="str">
        <f>[2]底表!CQ98</f>
        <v>持平</v>
      </c>
      <c r="BE98" s="21">
        <f>[2]底表!CR98</f>
        <v>2</v>
      </c>
      <c r="BF98" s="21" t="str">
        <f>[2]底表!CS98</f>
        <v>少2人</v>
      </c>
      <c r="BG98" s="21" t="str">
        <f>[2]底表!CT98</f>
        <v/>
      </c>
      <c r="BH98" s="21" t="str">
        <f>[2]底表!CU98</f>
        <v/>
      </c>
      <c r="BI98" s="21" t="str">
        <f>[2]底表!CV98</f>
        <v/>
      </c>
      <c r="BJ98" s="21" t="str">
        <f>[2]底表!CW98</f>
        <v/>
      </c>
      <c r="BK98" s="21" t="str">
        <f>[2]底表!CX98</f>
        <v/>
      </c>
      <c r="BL98" s="21">
        <f>[2]底表!CY98</f>
        <v>0</v>
      </c>
      <c r="BM98" s="21">
        <f>[2]底表!CZ98</f>
        <v>0</v>
      </c>
      <c r="BN98" s="23" t="str">
        <f>[2]底表!DA98</f>
        <v>持平</v>
      </c>
      <c r="BO98" s="21">
        <f>[2]底表!DB98</f>
        <v>3</v>
      </c>
      <c r="BP98" s="21" t="str">
        <f>[2]底表!DC98</f>
        <v>少3人</v>
      </c>
      <c r="BQ98" s="21" t="str">
        <f>[2]底表!DD98</f>
        <v/>
      </c>
      <c r="BR98" s="21" t="str">
        <f>[2]底表!DE98</f>
        <v/>
      </c>
      <c r="BS98" s="21" t="str">
        <f>[2]底表!DF98</f>
        <v/>
      </c>
      <c r="BT98" s="21" t="str">
        <f>[2]底表!DG98</f>
        <v/>
      </c>
      <c r="BU98" s="21" t="str">
        <f>[2]底表!DH98</f>
        <v/>
      </c>
      <c r="BV98" s="21">
        <f>[2]底表!DI98</f>
        <v>0</v>
      </c>
      <c r="BW98" s="21">
        <f>[2]底表!DJ98</f>
        <v>0</v>
      </c>
      <c r="BX98" s="23" t="str">
        <f>[2]底表!DK98</f>
        <v>持平</v>
      </c>
      <c r="BY98" s="21">
        <f>[2]底表!DL98</f>
        <v>0</v>
      </c>
      <c r="BZ98" s="21" t="str">
        <f>[2]底表!DM98</f>
        <v>持平</v>
      </c>
      <c r="CA98" s="21">
        <f>[2]底表!DN98</f>
        <v>0</v>
      </c>
      <c r="CB98" s="21">
        <f>[2]底表!DO98</f>
        <v>1</v>
      </c>
      <c r="CC98" s="21" t="str">
        <f>[2]底表!DP98</f>
        <v>少1人</v>
      </c>
      <c r="CD98" s="21">
        <f>[2]底表!DQ98</f>
        <v>1</v>
      </c>
      <c r="CE98" s="21" t="str">
        <f>[2]底表!DR98</f>
        <v>少1人</v>
      </c>
      <c r="CF98" s="21">
        <f>[2]底表!DS98</f>
        <v>0</v>
      </c>
      <c r="CG98" s="21">
        <f>[2]底表!DT98</f>
        <v>1</v>
      </c>
      <c r="CH98" s="21" t="str">
        <f>[2]底表!DU98</f>
        <v>少1人</v>
      </c>
      <c r="CI98" s="21">
        <f>[2]底表!DV98</f>
        <v>1</v>
      </c>
      <c r="CJ98" s="21" t="str">
        <f>[2]底表!DW98</f>
        <v>少1人</v>
      </c>
      <c r="CK98" s="21">
        <f>[2]底表!DX98</f>
        <v>0</v>
      </c>
      <c r="CL98" s="21">
        <f>[2]底表!DY98</f>
        <v>0</v>
      </c>
      <c r="CM98" s="21" t="str">
        <f>[2]底表!DZ98</f>
        <v>持平</v>
      </c>
      <c r="CN98" s="21">
        <f>[2]底表!EA98</f>
        <v>2</v>
      </c>
      <c r="CO98" s="21" t="str">
        <f>[2]底表!EB98</f>
        <v>少2人</v>
      </c>
      <c r="CP98" s="21">
        <f>[2]底表!EC98</f>
        <v>1</v>
      </c>
      <c r="CQ98" s="21">
        <f>[2]底表!ED98</f>
        <v>0</v>
      </c>
      <c r="CR98" s="21" t="str">
        <f>[2]底表!EE98</f>
        <v>多1人</v>
      </c>
      <c r="CS98" s="21">
        <f>[2]底表!EF98</f>
        <v>1</v>
      </c>
      <c r="CT98" s="21">
        <f>[2]底表!EG98</f>
        <v>0</v>
      </c>
      <c r="CU98" s="21" t="str">
        <f>[2]底表!EH98</f>
        <v/>
      </c>
      <c r="CV98" s="21" t="str">
        <f>[2]底表!EI98</f>
        <v/>
      </c>
      <c r="CW98" s="21" t="str">
        <f>[2]底表!EJ98</f>
        <v/>
      </c>
      <c r="CX98" s="21" t="str">
        <f>[2]底表!EK98</f>
        <v/>
      </c>
      <c r="CY98" s="21" t="str">
        <f>[2]底表!EL98</f>
        <v/>
      </c>
      <c r="CZ98" s="21">
        <f>[2]底表!EM98</f>
        <v>1</v>
      </c>
      <c r="DA98" s="21">
        <f>[2]底表!EN98</f>
        <v>0</v>
      </c>
      <c r="DB98" s="21" t="str">
        <f>[2]底表!EO98</f>
        <v>多1人</v>
      </c>
      <c r="DC98" s="21">
        <f>[2]底表!EP98</f>
        <v>1</v>
      </c>
      <c r="DD98" s="21">
        <f>[2]底表!EQ98</f>
        <v>0</v>
      </c>
      <c r="DE98" s="21">
        <f>[2]底表!ER98</f>
        <v>0</v>
      </c>
      <c r="DF98" s="21">
        <f>[2]底表!ES98</f>
        <v>0</v>
      </c>
      <c r="DG98" s="23" t="str">
        <f>[2]底表!ET98</f>
        <v>持平</v>
      </c>
      <c r="DH98" s="21">
        <f>[2]底表!EU98</f>
        <v>0</v>
      </c>
      <c r="DI98" s="21" t="str">
        <f>[2]底表!EV98</f>
        <v>持平</v>
      </c>
      <c r="DJ98" s="21" t="str">
        <f>[2]底表!EW98</f>
        <v/>
      </c>
      <c r="DK98" s="21" t="str">
        <f>[2]底表!EX98</f>
        <v/>
      </c>
      <c r="DL98" s="21" t="str">
        <f>[2]底表!EY98</f>
        <v/>
      </c>
      <c r="DM98" s="21" t="str">
        <f>[2]底表!EZ98</f>
        <v/>
      </c>
      <c r="DN98" s="21" t="str">
        <f>[2]底表!FA98</f>
        <v/>
      </c>
      <c r="DO98" s="21">
        <f>[2]底表!BQ98</f>
        <v>0</v>
      </c>
      <c r="DP98" s="21">
        <f>[2]底表!BR98</f>
        <v>0</v>
      </c>
      <c r="DQ98" s="24" t="str">
        <f>[2]底表!BS98</f>
        <v>持平</v>
      </c>
    </row>
    <row r="99" s="2" customFormat="1" ht="32" hidden="1" customHeight="1" spans="1:121">
      <c r="A99" s="27" t="str">
        <f>[2]底表!A99</f>
        <v>接触性诈骗</v>
      </c>
      <c r="B99" s="28" t="str">
        <f>[2]底表!B99</f>
        <v>新兴县</v>
      </c>
      <c r="C99" s="21">
        <f>[2]底表!AM99</f>
        <v>3</v>
      </c>
      <c r="D99" s="21">
        <f>[2]底表!AN99</f>
        <v>4</v>
      </c>
      <c r="E99" s="23">
        <f>[2]底表!AO99</f>
        <v>-0.25</v>
      </c>
      <c r="F99" s="21">
        <f>[2]底表!AP99</f>
        <v>3</v>
      </c>
      <c r="G99" s="21">
        <f>[2]底表!AQ99</f>
        <v>0</v>
      </c>
      <c r="H99" s="21">
        <f>[2]底表!AR99</f>
        <v>0.4286</v>
      </c>
      <c r="I99" s="21">
        <f>[2]底表!AS99</f>
        <v>-0.3714</v>
      </c>
      <c r="J99" s="21">
        <f>[2]底表!AT99</f>
        <v>2</v>
      </c>
      <c r="K99" s="21">
        <f>[2]底表!AU99</f>
        <v>3</v>
      </c>
      <c r="L99" s="21">
        <f>[2]底表!AV99</f>
        <v>-0.3333</v>
      </c>
      <c r="M99" s="21">
        <f>[2]底表!AW99</f>
        <v>1</v>
      </c>
      <c r="N99" s="21">
        <f>[2]底表!AX99</f>
        <v>1</v>
      </c>
      <c r="O99" s="21">
        <f>[2]底表!AY99</f>
        <v>1</v>
      </c>
      <c r="P99" s="21">
        <f>[2]底表!AZ99</f>
        <v>1</v>
      </c>
      <c r="Q99" s="21">
        <f>[2]底表!BA99</f>
        <v>0</v>
      </c>
      <c r="R99" s="21">
        <f>[2]底表!BB99</f>
        <v>3</v>
      </c>
      <c r="S99" s="21">
        <f>[2]底表!BC99</f>
        <v>-0.6667</v>
      </c>
      <c r="T99" s="21">
        <f>[2]底表!BD99</f>
        <v>0.5</v>
      </c>
      <c r="U99" s="21">
        <f>[2]底表!BE99</f>
        <v>0.1667</v>
      </c>
      <c r="V99" s="21">
        <f>[2]底表!BF99</f>
        <v>5</v>
      </c>
      <c r="W99" s="21">
        <f>[2]底表!BG99</f>
        <v>2</v>
      </c>
      <c r="X99" s="21">
        <f>[2]底表!BH99</f>
        <v>1.5</v>
      </c>
      <c r="Y99" s="21">
        <f>[2]底表!BI99</f>
        <v>0</v>
      </c>
      <c r="Z99" s="21" t="str">
        <f>[2]底表!BJ99</f>
        <v>多5起</v>
      </c>
      <c r="AA99" s="21">
        <f>[2]底表!BK99</f>
        <v>0.7143</v>
      </c>
      <c r="AB99" s="21">
        <f>[2]底表!BL99</f>
        <v>2</v>
      </c>
      <c r="AC99" s="21">
        <f>[2]底表!BM99</f>
        <v>3</v>
      </c>
      <c r="AD99" s="21">
        <f>[2]底表!BN99</f>
        <v>-0.3333</v>
      </c>
      <c r="AE99" s="21">
        <f>[2]底表!BO99</f>
        <v>0</v>
      </c>
      <c r="AF99" s="21" t="str">
        <f>[2]底表!BP99</f>
        <v>多2起</v>
      </c>
      <c r="AG99" s="21">
        <f>[2]底表!BT99</f>
        <v>2</v>
      </c>
      <c r="AH99" s="21">
        <f>[2]底表!BU99</f>
        <v>0</v>
      </c>
      <c r="AI99" s="21">
        <f>[2]底表!BV99</f>
        <v>0.2857</v>
      </c>
      <c r="AJ99" s="21">
        <f>[2]底表!BW99</f>
        <v>-0.1143</v>
      </c>
      <c r="AK99" s="21">
        <f>[2]底表!BX99</f>
        <v>1</v>
      </c>
      <c r="AL99" s="21">
        <f>[2]底表!BY99</f>
        <v>0.3333</v>
      </c>
      <c r="AM99" s="21">
        <f>[2]底表!BZ99</f>
        <v>0</v>
      </c>
      <c r="AN99" s="21">
        <f>[2]底表!CA99</f>
        <v>0</v>
      </c>
      <c r="AO99" s="21" t="str">
        <f>[2]底表!CB99</f>
        <v>持平</v>
      </c>
      <c r="AP99" s="21">
        <f>[2]底表!CC99</f>
        <v>0</v>
      </c>
      <c r="AQ99" s="21" t="str">
        <f>[2]底表!CD99</f>
        <v>持平</v>
      </c>
      <c r="AR99" s="21" t="str">
        <f>[2]底表!CE99</f>
        <v/>
      </c>
      <c r="AS99" s="21" t="str">
        <f>[2]底表!CF99</f>
        <v/>
      </c>
      <c r="AT99" s="21">
        <f>[2]底表!CG99</f>
        <v>10</v>
      </c>
      <c r="AU99" s="21">
        <f>[2]底表!CH99</f>
        <v>1</v>
      </c>
      <c r="AV99" s="21">
        <f>[2]底表!CI99</f>
        <v>9</v>
      </c>
      <c r="AW99" s="21">
        <f>[2]底表!CJ99</f>
        <v>2</v>
      </c>
      <c r="AX99" s="21">
        <f>[2]底表!CK99</f>
        <v>4</v>
      </c>
      <c r="AY99" s="21">
        <f>[2]底表!CL99</f>
        <v>143</v>
      </c>
      <c r="AZ99" s="21">
        <f>[2]底表!CM99</f>
        <v>123</v>
      </c>
      <c r="BA99" s="21">
        <f>[2]底表!CN99</f>
        <v>6.1429</v>
      </c>
      <c r="BB99" s="21">
        <f>[2]底表!CO99</f>
        <v>8</v>
      </c>
      <c r="BC99" s="21">
        <f>[2]底表!CP99</f>
        <v>4</v>
      </c>
      <c r="BD99" s="21">
        <f>[2]底表!CQ99</f>
        <v>1</v>
      </c>
      <c r="BE99" s="21">
        <f>[2]底表!CR99</f>
        <v>0</v>
      </c>
      <c r="BF99" s="21" t="str">
        <f>[2]底表!CS99</f>
        <v>多8人</v>
      </c>
      <c r="BG99" s="21">
        <f>[2]底表!CT99</f>
        <v>0.8</v>
      </c>
      <c r="BH99" s="21">
        <f>[2]底表!CU99</f>
        <v>-3.2</v>
      </c>
      <c r="BI99" s="21">
        <f>[2]底表!CV99</f>
        <v>114</v>
      </c>
      <c r="BJ99" s="21">
        <f>[2]底表!CW99</f>
        <v>34</v>
      </c>
      <c r="BK99" s="21">
        <f>[2]底表!CX99</f>
        <v>0.4286</v>
      </c>
      <c r="BL99" s="21">
        <f>[2]底表!CY99</f>
        <v>9</v>
      </c>
      <c r="BM99" s="21">
        <f>[2]底表!CZ99</f>
        <v>4</v>
      </c>
      <c r="BN99" s="23">
        <f>[2]底表!DA99</f>
        <v>1.25</v>
      </c>
      <c r="BO99" s="21">
        <f>[2]底表!DB99</f>
        <v>0</v>
      </c>
      <c r="BP99" s="21" t="str">
        <f>[2]底表!DC99</f>
        <v>多9人</v>
      </c>
      <c r="BQ99" s="21">
        <f>[2]底表!DD99</f>
        <v>0.9</v>
      </c>
      <c r="BR99" s="21">
        <f>[2]底表!DE99</f>
        <v>-3.1</v>
      </c>
      <c r="BS99" s="21">
        <f>[2]底表!DF99</f>
        <v>129</v>
      </c>
      <c r="BT99" s="21">
        <f>[2]底表!DG99</f>
        <v>49</v>
      </c>
      <c r="BU99" s="21">
        <f>[2]底表!DH99</f>
        <v>0.6071</v>
      </c>
      <c r="BV99" s="21">
        <f>[2]底表!DI99</f>
        <v>0</v>
      </c>
      <c r="BW99" s="21">
        <f>[2]底表!DJ99</f>
        <v>0</v>
      </c>
      <c r="BX99" s="23" t="str">
        <f>[2]底表!DK99</f>
        <v>持平</v>
      </c>
      <c r="BY99" s="21">
        <f>[2]底表!DL99</f>
        <v>0</v>
      </c>
      <c r="BZ99" s="21" t="str">
        <f>[2]底表!DM99</f>
        <v>持平</v>
      </c>
      <c r="CA99" s="21">
        <f>[2]底表!DN99</f>
        <v>2</v>
      </c>
      <c r="CB99" s="21">
        <f>[2]底表!DO99</f>
        <v>2</v>
      </c>
      <c r="CC99" s="21">
        <f>[2]底表!DP99</f>
        <v>0</v>
      </c>
      <c r="CD99" s="21">
        <f>[2]底表!DQ99</f>
        <v>2</v>
      </c>
      <c r="CE99" s="21">
        <f>[2]底表!DR99</f>
        <v>0</v>
      </c>
      <c r="CF99" s="21">
        <f>[2]底表!DS99</f>
        <v>2</v>
      </c>
      <c r="CG99" s="21">
        <f>[2]底表!DT99</f>
        <v>2</v>
      </c>
      <c r="CH99" s="21">
        <f>[2]底表!DU99</f>
        <v>0</v>
      </c>
      <c r="CI99" s="21">
        <f>[2]底表!DV99</f>
        <v>2</v>
      </c>
      <c r="CJ99" s="21">
        <f>[2]底表!DW99</f>
        <v>0</v>
      </c>
      <c r="CK99" s="21">
        <f>[2]底表!DX99</f>
        <v>2</v>
      </c>
      <c r="CL99" s="21">
        <f>[2]底表!DY99</f>
        <v>2</v>
      </c>
      <c r="CM99" s="21">
        <f>[2]底表!DZ99</f>
        <v>0</v>
      </c>
      <c r="CN99" s="21">
        <f>[2]底表!EA99</f>
        <v>3</v>
      </c>
      <c r="CO99" s="21">
        <f>[2]底表!EB99</f>
        <v>-0.3333</v>
      </c>
      <c r="CP99" s="21">
        <f>[2]底表!EC99</f>
        <v>1</v>
      </c>
      <c r="CQ99" s="21">
        <f>[2]底表!ED99</f>
        <v>2</v>
      </c>
      <c r="CR99" s="21">
        <f>[2]底表!EE99</f>
        <v>-0.5</v>
      </c>
      <c r="CS99" s="21">
        <f>[2]底表!EF99</f>
        <v>2</v>
      </c>
      <c r="CT99" s="21">
        <f>[2]底表!EG99</f>
        <v>-0.5</v>
      </c>
      <c r="CU99" s="21">
        <f>[2]底表!EH99</f>
        <v>0.125</v>
      </c>
      <c r="CV99" s="21">
        <f>[2]底表!EI99</f>
        <v>-0.375</v>
      </c>
      <c r="CW99" s="21">
        <f>[2]底表!EJ99</f>
        <v>14</v>
      </c>
      <c r="CX99" s="21">
        <f>[2]底表!EK99</f>
        <v>-26</v>
      </c>
      <c r="CY99" s="21">
        <f>[2]底表!EL99</f>
        <v>-0.6429</v>
      </c>
      <c r="CZ99" s="21">
        <f>[2]底表!EM99</f>
        <v>1</v>
      </c>
      <c r="DA99" s="21">
        <f>[2]底表!EN99</f>
        <v>2</v>
      </c>
      <c r="DB99" s="21">
        <f>[2]底表!EO99</f>
        <v>-0.5</v>
      </c>
      <c r="DC99" s="21">
        <f>[2]底表!EP99</f>
        <v>2</v>
      </c>
      <c r="DD99" s="21">
        <f>[2]底表!EQ99</f>
        <v>-0.5</v>
      </c>
      <c r="DE99" s="21">
        <f>[2]底表!ER99</f>
        <v>2</v>
      </c>
      <c r="DF99" s="21">
        <f>[2]底表!ES99</f>
        <v>2</v>
      </c>
      <c r="DG99" s="23">
        <f>[2]底表!ET99</f>
        <v>0</v>
      </c>
      <c r="DH99" s="21">
        <f>[2]底表!EU99</f>
        <v>2</v>
      </c>
      <c r="DI99" s="21">
        <f>[2]底表!EV99</f>
        <v>0</v>
      </c>
      <c r="DJ99" s="21">
        <f>[2]底表!EW99</f>
        <v>0.25</v>
      </c>
      <c r="DK99" s="21">
        <f>[2]底表!EX99</f>
        <v>-0.25</v>
      </c>
      <c r="DL99" s="21">
        <f>[2]底表!EY99</f>
        <v>29</v>
      </c>
      <c r="DM99" s="21">
        <f>[2]底表!EZ99</f>
        <v>-11</v>
      </c>
      <c r="DN99" s="21">
        <f>[2]底表!FA99</f>
        <v>-0.2857</v>
      </c>
      <c r="DO99" s="21">
        <f>[2]底表!BQ99</f>
        <v>2</v>
      </c>
      <c r="DP99" s="21">
        <f>[2]底表!BR99</f>
        <v>2</v>
      </c>
      <c r="DQ99" s="24">
        <f>[2]底表!BS99</f>
        <v>0</v>
      </c>
    </row>
    <row r="100" s="2" customFormat="1" ht="32" hidden="1" customHeight="1" spans="1:121">
      <c r="A100" s="27" t="str">
        <f>[2]底表!A100</f>
        <v>接触性诈骗</v>
      </c>
      <c r="B100" s="28" t="str">
        <f>[2]底表!B100</f>
        <v>郁南县</v>
      </c>
      <c r="C100" s="21">
        <f>[2]底表!AM100</f>
        <v>0</v>
      </c>
      <c r="D100" s="21">
        <f>[2]底表!AN100</f>
        <v>2</v>
      </c>
      <c r="E100" s="23" t="str">
        <f>[2]底表!AO100</f>
        <v>少2起</v>
      </c>
      <c r="F100" s="21">
        <f>[2]底表!AP100</f>
        <v>1</v>
      </c>
      <c r="G100" s="21" t="str">
        <f>[2]底表!AQ100</f>
        <v>少1起</v>
      </c>
      <c r="H100" s="21" t="str">
        <f>[2]底表!AR100</f>
        <v/>
      </c>
      <c r="I100" s="21" t="str">
        <f>[2]底表!AS100</f>
        <v/>
      </c>
      <c r="J100" s="21">
        <f>[2]底表!AT100</f>
        <v>0</v>
      </c>
      <c r="K100" s="21">
        <f>[2]底表!AU100</f>
        <v>1</v>
      </c>
      <c r="L100" s="21" t="str">
        <f>[2]底表!AV100</f>
        <v>少1起</v>
      </c>
      <c r="M100" s="21">
        <f>[2]底表!AW100</f>
        <v>1</v>
      </c>
      <c r="N100" s="21" t="str">
        <f>[2]底表!AX100</f>
        <v>少1起</v>
      </c>
      <c r="O100" s="21">
        <f>[2]底表!AY100</f>
        <v>0</v>
      </c>
      <c r="P100" s="21">
        <f>[2]底表!AZ100</f>
        <v>1</v>
      </c>
      <c r="Q100" s="21" t="str">
        <f>[2]底表!BA100</f>
        <v>少1起</v>
      </c>
      <c r="R100" s="21">
        <f>[2]底表!BB100</f>
        <v>1</v>
      </c>
      <c r="S100" s="21" t="str">
        <f>[2]底表!BC100</f>
        <v>少1起</v>
      </c>
      <c r="T100" s="21" t="str">
        <f>[2]底表!BD100</f>
        <v/>
      </c>
      <c r="U100" s="21" t="str">
        <f>[2]底表!BE100</f>
        <v/>
      </c>
      <c r="V100" s="21">
        <f>[2]底表!BF100</f>
        <v>0</v>
      </c>
      <c r="W100" s="21">
        <f>[2]底表!BG100</f>
        <v>1</v>
      </c>
      <c r="X100" s="21" t="str">
        <f>[2]底表!BH100</f>
        <v>少1起</v>
      </c>
      <c r="Y100" s="21">
        <f>[2]底表!BI100</f>
        <v>0</v>
      </c>
      <c r="Z100" s="21" t="str">
        <f>[2]底表!BJ100</f>
        <v>持平</v>
      </c>
      <c r="AA100" s="21" t="str">
        <f>[2]底表!BK100</f>
        <v/>
      </c>
      <c r="AB100" s="21">
        <f>[2]底表!BL100</f>
        <v>0</v>
      </c>
      <c r="AC100" s="21">
        <f>[2]底表!BM100</f>
        <v>1</v>
      </c>
      <c r="AD100" s="21" t="str">
        <f>[2]底表!BN100</f>
        <v>少1起</v>
      </c>
      <c r="AE100" s="21">
        <f>[2]底表!BO100</f>
        <v>0</v>
      </c>
      <c r="AF100" s="21" t="str">
        <f>[2]底表!BP100</f>
        <v>持平</v>
      </c>
      <c r="AG100" s="21">
        <f>[2]底表!BT100</f>
        <v>0</v>
      </c>
      <c r="AH100" s="21" t="str">
        <f>[2]底表!BU100</f>
        <v>持平</v>
      </c>
      <c r="AI100" s="21" t="str">
        <f>[2]底表!BV100</f>
        <v/>
      </c>
      <c r="AJ100" s="21" t="str">
        <f>[2]底表!BW100</f>
        <v/>
      </c>
      <c r="AK100" s="21" t="str">
        <f>[2]底表!BX100</f>
        <v/>
      </c>
      <c r="AL100" s="21" t="str">
        <f>[2]底表!BY100</f>
        <v/>
      </c>
      <c r="AM100" s="21">
        <f>[2]底表!BZ100</f>
        <v>0</v>
      </c>
      <c r="AN100" s="21">
        <f>[2]底表!CA100</f>
        <v>0</v>
      </c>
      <c r="AO100" s="21" t="str">
        <f>[2]底表!CB100</f>
        <v>持平</v>
      </c>
      <c r="AP100" s="21">
        <f>[2]底表!CC100</f>
        <v>0</v>
      </c>
      <c r="AQ100" s="21" t="str">
        <f>[2]底表!CD100</f>
        <v>持平</v>
      </c>
      <c r="AR100" s="21" t="str">
        <f>[2]底表!CE100</f>
        <v/>
      </c>
      <c r="AS100" s="21" t="str">
        <f>[2]底表!CF100</f>
        <v/>
      </c>
      <c r="AT100" s="21">
        <f>[2]底表!CG100</f>
        <v>0</v>
      </c>
      <c r="AU100" s="21">
        <f>[2]底表!CH100</f>
        <v>2</v>
      </c>
      <c r="AV100" s="21" t="str">
        <f>[2]底表!CI100</f>
        <v>少2人</v>
      </c>
      <c r="AW100" s="21">
        <f>[2]底表!CJ100</f>
        <v>1</v>
      </c>
      <c r="AX100" s="21" t="str">
        <f>[2]底表!CK100</f>
        <v>少1人</v>
      </c>
      <c r="AY100" s="21" t="str">
        <f>[2]底表!CL100</f>
        <v/>
      </c>
      <c r="AZ100" s="21" t="str">
        <f>[2]底表!CM100</f>
        <v/>
      </c>
      <c r="BA100" s="21" t="str">
        <f>[2]底表!CN100</f>
        <v/>
      </c>
      <c r="BB100" s="21">
        <f>[2]底表!CO100</f>
        <v>0</v>
      </c>
      <c r="BC100" s="21">
        <f>[2]底表!CP100</f>
        <v>6</v>
      </c>
      <c r="BD100" s="21" t="str">
        <f>[2]底表!CQ100</f>
        <v>少6人</v>
      </c>
      <c r="BE100" s="21">
        <f>[2]底表!CR100</f>
        <v>1</v>
      </c>
      <c r="BF100" s="21" t="str">
        <f>[2]底表!CS100</f>
        <v>少1人</v>
      </c>
      <c r="BG100" s="21" t="str">
        <f>[2]底表!CT100</f>
        <v/>
      </c>
      <c r="BH100" s="21" t="str">
        <f>[2]底表!CU100</f>
        <v/>
      </c>
      <c r="BI100" s="21" t="str">
        <f>[2]底表!CV100</f>
        <v/>
      </c>
      <c r="BJ100" s="21" t="str">
        <f>[2]底表!CW100</f>
        <v/>
      </c>
      <c r="BK100" s="21" t="str">
        <f>[2]底表!CX100</f>
        <v/>
      </c>
      <c r="BL100" s="21">
        <f>[2]底表!CY100</f>
        <v>0</v>
      </c>
      <c r="BM100" s="21">
        <f>[2]底表!CZ100</f>
        <v>6</v>
      </c>
      <c r="BN100" s="23" t="str">
        <f>[2]底表!DA100</f>
        <v>少6人</v>
      </c>
      <c r="BO100" s="21">
        <f>[2]底表!DB100</f>
        <v>1</v>
      </c>
      <c r="BP100" s="21" t="str">
        <f>[2]底表!DC100</f>
        <v>少1人</v>
      </c>
      <c r="BQ100" s="21" t="str">
        <f>[2]底表!DD100</f>
        <v/>
      </c>
      <c r="BR100" s="21" t="str">
        <f>[2]底表!DE100</f>
        <v/>
      </c>
      <c r="BS100" s="21" t="str">
        <f>[2]底表!DF100</f>
        <v/>
      </c>
      <c r="BT100" s="21" t="str">
        <f>[2]底表!DG100</f>
        <v/>
      </c>
      <c r="BU100" s="21" t="str">
        <f>[2]底表!DH100</f>
        <v/>
      </c>
      <c r="BV100" s="21">
        <f>[2]底表!DI100</f>
        <v>0</v>
      </c>
      <c r="BW100" s="21">
        <f>[2]底表!DJ100</f>
        <v>0</v>
      </c>
      <c r="BX100" s="23" t="str">
        <f>[2]底表!DK100</f>
        <v>持平</v>
      </c>
      <c r="BY100" s="21">
        <f>[2]底表!DL100</f>
        <v>0</v>
      </c>
      <c r="BZ100" s="21" t="str">
        <f>[2]底表!DM100</f>
        <v>持平</v>
      </c>
      <c r="CA100" s="21">
        <f>[2]底表!DN100</f>
        <v>1</v>
      </c>
      <c r="CB100" s="21">
        <f>[2]底表!DO100</f>
        <v>1</v>
      </c>
      <c r="CC100" s="21">
        <f>[2]底表!DP100</f>
        <v>0</v>
      </c>
      <c r="CD100" s="21">
        <f>[2]底表!DQ100</f>
        <v>0</v>
      </c>
      <c r="CE100" s="21" t="str">
        <f>[2]底表!DR100</f>
        <v>多1人</v>
      </c>
      <c r="CF100" s="21">
        <f>[2]底表!DS100</f>
        <v>1</v>
      </c>
      <c r="CG100" s="21">
        <f>[2]底表!DT100</f>
        <v>1</v>
      </c>
      <c r="CH100" s="21">
        <f>[2]底表!DU100</f>
        <v>0</v>
      </c>
      <c r="CI100" s="21">
        <f>[2]底表!DV100</f>
        <v>0</v>
      </c>
      <c r="CJ100" s="21" t="str">
        <f>[2]底表!DW100</f>
        <v>多1人</v>
      </c>
      <c r="CK100" s="21">
        <f>[2]底表!DX100</f>
        <v>0</v>
      </c>
      <c r="CL100" s="21">
        <f>[2]底表!DY100</f>
        <v>5</v>
      </c>
      <c r="CM100" s="21" t="str">
        <f>[2]底表!DZ100</f>
        <v>少5人</v>
      </c>
      <c r="CN100" s="21">
        <f>[2]底表!EA100</f>
        <v>1</v>
      </c>
      <c r="CO100" s="21" t="str">
        <f>[2]底表!EB100</f>
        <v>少1人</v>
      </c>
      <c r="CP100" s="21">
        <f>[2]底表!EC100</f>
        <v>0</v>
      </c>
      <c r="CQ100" s="21">
        <f>[2]底表!ED100</f>
        <v>4</v>
      </c>
      <c r="CR100" s="21" t="str">
        <f>[2]底表!EE100</f>
        <v>少4人</v>
      </c>
      <c r="CS100" s="21">
        <f>[2]底表!EF100</f>
        <v>0</v>
      </c>
      <c r="CT100" s="21" t="str">
        <f>[2]底表!EG100</f>
        <v>持平</v>
      </c>
      <c r="CU100" s="21" t="str">
        <f>[2]底表!EH100</f>
        <v/>
      </c>
      <c r="CV100" s="21" t="str">
        <f>[2]底表!EI100</f>
        <v/>
      </c>
      <c r="CW100" s="21" t="str">
        <f>[2]底表!EJ100</f>
        <v/>
      </c>
      <c r="CX100" s="21" t="str">
        <f>[2]底表!EK100</f>
        <v/>
      </c>
      <c r="CY100" s="21" t="str">
        <f>[2]底表!EL100</f>
        <v/>
      </c>
      <c r="CZ100" s="21">
        <f>[2]底表!EM100</f>
        <v>0</v>
      </c>
      <c r="DA100" s="21">
        <f>[2]底表!EN100</f>
        <v>4</v>
      </c>
      <c r="DB100" s="21" t="str">
        <f>[2]底表!EO100</f>
        <v>少4人</v>
      </c>
      <c r="DC100" s="21">
        <f>[2]底表!EP100</f>
        <v>0</v>
      </c>
      <c r="DD100" s="21" t="str">
        <f>[2]底表!EQ100</f>
        <v>持平</v>
      </c>
      <c r="DE100" s="21">
        <f>[2]底表!ER100</f>
        <v>2</v>
      </c>
      <c r="DF100" s="21">
        <f>[2]底表!ES100</f>
        <v>1</v>
      </c>
      <c r="DG100" s="23">
        <f>[2]底表!ET100</f>
        <v>1</v>
      </c>
      <c r="DH100" s="21">
        <f>[2]底表!EU100</f>
        <v>0</v>
      </c>
      <c r="DI100" s="21" t="str">
        <f>[2]底表!EV100</f>
        <v>多2人</v>
      </c>
      <c r="DJ100" s="21" t="str">
        <f>[2]底表!EW100</f>
        <v/>
      </c>
      <c r="DK100" s="21" t="str">
        <f>[2]底表!EX100</f>
        <v/>
      </c>
      <c r="DL100" s="21" t="str">
        <f>[2]底表!EY100</f>
        <v/>
      </c>
      <c r="DM100" s="21" t="str">
        <f>[2]底表!EZ100</f>
        <v/>
      </c>
      <c r="DN100" s="21" t="str">
        <f>[2]底表!FA100</f>
        <v/>
      </c>
      <c r="DO100" s="21">
        <f>[2]底表!BQ100</f>
        <v>0</v>
      </c>
      <c r="DP100" s="21">
        <f>[2]底表!BR100</f>
        <v>1</v>
      </c>
      <c r="DQ100" s="24" t="str">
        <f>[2]底表!BS100</f>
        <v>少1起</v>
      </c>
    </row>
    <row r="101" s="2" customFormat="1" ht="32" hidden="1" customHeight="1" spans="1:121">
      <c r="A101" s="27" t="str">
        <f>[2]底表!A101</f>
        <v>接触性诈骗</v>
      </c>
      <c r="B101" s="28" t="str">
        <f>[2]底表!B101</f>
        <v>罗定市</v>
      </c>
      <c r="C101" s="21">
        <f>[2]底表!AM101</f>
        <v>1</v>
      </c>
      <c r="D101" s="21">
        <f>[2]底表!AN101</f>
        <v>4</v>
      </c>
      <c r="E101" s="23">
        <f>[2]底表!AO101</f>
        <v>-0.75</v>
      </c>
      <c r="F101" s="21">
        <f>[2]底表!AP101</f>
        <v>1</v>
      </c>
      <c r="G101" s="21">
        <f>[2]底表!AQ101</f>
        <v>0</v>
      </c>
      <c r="H101" s="21">
        <f>[2]底表!AR101</f>
        <v>0.1667</v>
      </c>
      <c r="I101" s="21">
        <f>[2]底表!AS101</f>
        <v>-0.5</v>
      </c>
      <c r="J101" s="21">
        <f>[2]底表!AT101</f>
        <v>2</v>
      </c>
      <c r="K101" s="21">
        <f>[2]底表!AU101</f>
        <v>0</v>
      </c>
      <c r="L101" s="21" t="str">
        <f>[2]底表!AV101</f>
        <v>多2起</v>
      </c>
      <c r="M101" s="21">
        <f>[2]底表!AW101</f>
        <v>3</v>
      </c>
      <c r="N101" s="21">
        <f>[2]底表!AX101</f>
        <v>-0.3333</v>
      </c>
      <c r="O101" s="21">
        <f>[2]底表!AY101</f>
        <v>0</v>
      </c>
      <c r="P101" s="21">
        <f>[2]底表!AZ101</f>
        <v>0</v>
      </c>
      <c r="Q101" s="21" t="str">
        <f>[2]底表!BA101</f>
        <v>持平</v>
      </c>
      <c r="R101" s="21">
        <f>[2]底表!BB101</f>
        <v>1</v>
      </c>
      <c r="S101" s="21" t="str">
        <f>[2]底表!BC101</f>
        <v>少1起</v>
      </c>
      <c r="T101" s="21">
        <f>[2]底表!BD101</f>
        <v>0</v>
      </c>
      <c r="U101" s="21" t="str">
        <f>[2]底表!BE101</f>
        <v/>
      </c>
      <c r="V101" s="21">
        <f>[2]底表!BF101</f>
        <v>4</v>
      </c>
      <c r="W101" s="21">
        <f>[2]底表!BG101</f>
        <v>6</v>
      </c>
      <c r="X101" s="21">
        <f>[2]底表!BH101</f>
        <v>-0.3333</v>
      </c>
      <c r="Y101" s="21">
        <f>[2]底表!BI101</f>
        <v>0</v>
      </c>
      <c r="Z101" s="21" t="str">
        <f>[2]底表!BJ101</f>
        <v>多4起</v>
      </c>
      <c r="AA101" s="21">
        <f>[2]底表!BK101</f>
        <v>0.6667</v>
      </c>
      <c r="AB101" s="21">
        <f>[2]底表!BL101</f>
        <v>1</v>
      </c>
      <c r="AC101" s="21">
        <f>[2]底表!BM101</f>
        <v>4</v>
      </c>
      <c r="AD101" s="21">
        <f>[2]底表!BN101</f>
        <v>-0.75</v>
      </c>
      <c r="AE101" s="21">
        <f>[2]底表!BO101</f>
        <v>0</v>
      </c>
      <c r="AF101" s="21" t="str">
        <f>[2]底表!BP101</f>
        <v>多1起</v>
      </c>
      <c r="AG101" s="21">
        <f>[2]底表!BT101</f>
        <v>3</v>
      </c>
      <c r="AH101" s="21">
        <f>[2]底表!BU101</f>
        <v>1</v>
      </c>
      <c r="AI101" s="21">
        <f>[2]底表!BV101</f>
        <v>1</v>
      </c>
      <c r="AJ101" s="21">
        <f>[2]底表!BW101</f>
        <v>1</v>
      </c>
      <c r="AK101" s="21">
        <f>[2]底表!BX101</f>
        <v>3</v>
      </c>
      <c r="AL101" s="21" t="str">
        <f>[2]底表!BY101</f>
        <v/>
      </c>
      <c r="AM101" s="21">
        <f>[2]底表!BZ101</f>
        <v>0</v>
      </c>
      <c r="AN101" s="21">
        <f>[2]底表!CA101</f>
        <v>0</v>
      </c>
      <c r="AO101" s="21" t="str">
        <f>[2]底表!CB101</f>
        <v>持平</v>
      </c>
      <c r="AP101" s="21">
        <f>[2]底表!CC101</f>
        <v>2</v>
      </c>
      <c r="AQ101" s="21" t="str">
        <f>[2]底表!CD101</f>
        <v>少2起</v>
      </c>
      <c r="AR101" s="21" t="str">
        <f>[2]底表!CE101</f>
        <v/>
      </c>
      <c r="AS101" s="21" t="str">
        <f>[2]底表!CF101</f>
        <v/>
      </c>
      <c r="AT101" s="21">
        <f>[2]底表!CG101</f>
        <v>3</v>
      </c>
      <c r="AU101" s="21">
        <f>[2]底表!CH101</f>
        <v>5</v>
      </c>
      <c r="AV101" s="21">
        <f>[2]底表!CI101</f>
        <v>-0.4</v>
      </c>
      <c r="AW101" s="21">
        <f>[2]底表!CJ101</f>
        <v>3</v>
      </c>
      <c r="AX101" s="21">
        <f>[2]底表!CK101</f>
        <v>0</v>
      </c>
      <c r="AY101" s="21">
        <f>[2]底表!CL101</f>
        <v>50</v>
      </c>
      <c r="AZ101" s="21">
        <f>[2]底表!CM101</f>
        <v>-33</v>
      </c>
      <c r="BA101" s="21">
        <f>[2]底表!CN101</f>
        <v>-0.4</v>
      </c>
      <c r="BB101" s="21">
        <f>[2]底表!CO101</f>
        <v>4</v>
      </c>
      <c r="BC101" s="21">
        <f>[2]底表!CP101</f>
        <v>7</v>
      </c>
      <c r="BD101" s="21">
        <f>[2]底表!CQ101</f>
        <v>-0.4286</v>
      </c>
      <c r="BE101" s="21">
        <f>[2]底表!CR101</f>
        <v>1</v>
      </c>
      <c r="BF101" s="21">
        <f>[2]底表!CS101</f>
        <v>3</v>
      </c>
      <c r="BG101" s="21">
        <f>[2]底表!CT101</f>
        <v>1.3333</v>
      </c>
      <c r="BH101" s="21">
        <f>[2]底表!CU101</f>
        <v>-0.0667</v>
      </c>
      <c r="BI101" s="21">
        <f>[2]底表!CV101</f>
        <v>67</v>
      </c>
      <c r="BJ101" s="21">
        <f>[2]底表!CW101</f>
        <v>-50</v>
      </c>
      <c r="BK101" s="21">
        <f>[2]底表!CX101</f>
        <v>-0.4286</v>
      </c>
      <c r="BL101" s="21">
        <f>[2]底表!CY101</f>
        <v>4</v>
      </c>
      <c r="BM101" s="21">
        <f>[2]底表!CZ101</f>
        <v>10</v>
      </c>
      <c r="BN101" s="23">
        <f>[2]底表!DA101</f>
        <v>-0.6</v>
      </c>
      <c r="BO101" s="21">
        <f>[2]底表!DB101</f>
        <v>1</v>
      </c>
      <c r="BP101" s="21">
        <f>[2]底表!DC101</f>
        <v>3</v>
      </c>
      <c r="BQ101" s="21">
        <f>[2]底表!DD101</f>
        <v>1.3333</v>
      </c>
      <c r="BR101" s="21">
        <f>[2]底表!DE101</f>
        <v>-0.6667</v>
      </c>
      <c r="BS101" s="21">
        <f>[2]底表!DF101</f>
        <v>67</v>
      </c>
      <c r="BT101" s="21">
        <f>[2]底表!DG101</f>
        <v>-100</v>
      </c>
      <c r="BU101" s="21">
        <f>[2]底表!DH101</f>
        <v>-0.6</v>
      </c>
      <c r="BV101" s="21">
        <f>[2]底表!DI101</f>
        <v>0</v>
      </c>
      <c r="BW101" s="21">
        <f>[2]底表!DJ101</f>
        <v>0</v>
      </c>
      <c r="BX101" s="23" t="str">
        <f>[2]底表!DK101</f>
        <v>持平</v>
      </c>
      <c r="BY101" s="21">
        <f>[2]底表!DL101</f>
        <v>0</v>
      </c>
      <c r="BZ101" s="21" t="str">
        <f>[2]底表!DM101</f>
        <v>持平</v>
      </c>
      <c r="CA101" s="21">
        <f>[2]底表!DN101</f>
        <v>2</v>
      </c>
      <c r="CB101" s="21">
        <f>[2]底表!DO101</f>
        <v>3</v>
      </c>
      <c r="CC101" s="21">
        <f>[2]底表!DP101</f>
        <v>-0.3333</v>
      </c>
      <c r="CD101" s="21">
        <f>[2]底表!DQ101</f>
        <v>7</v>
      </c>
      <c r="CE101" s="21">
        <f>[2]底表!DR101</f>
        <v>-0.7143</v>
      </c>
      <c r="CF101" s="21">
        <f>[2]底表!DS101</f>
        <v>2</v>
      </c>
      <c r="CG101" s="21">
        <f>[2]底表!DT101</f>
        <v>3</v>
      </c>
      <c r="CH101" s="21">
        <f>[2]底表!DU101</f>
        <v>-0.3333</v>
      </c>
      <c r="CI101" s="21">
        <f>[2]底表!DV101</f>
        <v>7</v>
      </c>
      <c r="CJ101" s="21">
        <f>[2]底表!DW101</f>
        <v>-0.7143</v>
      </c>
      <c r="CK101" s="21">
        <f>[2]底表!DX101</f>
        <v>2</v>
      </c>
      <c r="CL101" s="21">
        <f>[2]底表!DY101</f>
        <v>5</v>
      </c>
      <c r="CM101" s="21">
        <f>[2]底表!DZ101</f>
        <v>-0.6</v>
      </c>
      <c r="CN101" s="21">
        <f>[2]底表!EA101</f>
        <v>10</v>
      </c>
      <c r="CO101" s="21">
        <f>[2]底表!EB101</f>
        <v>-0.8</v>
      </c>
      <c r="CP101" s="21">
        <f>[2]底表!EC101</f>
        <v>1</v>
      </c>
      <c r="CQ101" s="21">
        <f>[2]底表!ED101</f>
        <v>3</v>
      </c>
      <c r="CR101" s="21">
        <f>[2]底表!EE101</f>
        <v>-0.6667</v>
      </c>
      <c r="CS101" s="21">
        <f>[2]底表!EF101</f>
        <v>5</v>
      </c>
      <c r="CT101" s="21">
        <f>[2]底表!EG101</f>
        <v>-0.8</v>
      </c>
      <c r="CU101" s="21">
        <f>[2]底表!EH101</f>
        <v>0.25</v>
      </c>
      <c r="CV101" s="21">
        <f>[2]底表!EI101</f>
        <v>-0.1786</v>
      </c>
      <c r="CW101" s="21">
        <f>[2]底表!EJ101</f>
        <v>17</v>
      </c>
      <c r="CX101" s="21">
        <f>[2]底表!EK101</f>
        <v>-33</v>
      </c>
      <c r="CY101" s="21">
        <f>[2]底表!EL101</f>
        <v>-0.6667</v>
      </c>
      <c r="CZ101" s="21">
        <f>[2]底表!EM101</f>
        <v>1</v>
      </c>
      <c r="DA101" s="21">
        <f>[2]底表!EN101</f>
        <v>3</v>
      </c>
      <c r="DB101" s="21">
        <f>[2]底表!EO101</f>
        <v>-0.6667</v>
      </c>
      <c r="DC101" s="21">
        <f>[2]底表!EP101</f>
        <v>5</v>
      </c>
      <c r="DD101" s="21">
        <f>[2]底表!EQ101</f>
        <v>-0.8</v>
      </c>
      <c r="DE101" s="21">
        <f>[2]底表!ER101</f>
        <v>9</v>
      </c>
      <c r="DF101" s="21">
        <f>[2]底表!ES101</f>
        <v>0</v>
      </c>
      <c r="DG101" s="23" t="str">
        <f>[2]底表!ET101</f>
        <v>多9人</v>
      </c>
      <c r="DH101" s="21">
        <f>[2]底表!EU101</f>
        <v>3</v>
      </c>
      <c r="DI101" s="21">
        <f>[2]底表!EV101</f>
        <v>2</v>
      </c>
      <c r="DJ101" s="21">
        <f>[2]底表!EW101</f>
        <v>2.25</v>
      </c>
      <c r="DK101" s="21">
        <f>[2]底表!EX101</f>
        <v>2.25</v>
      </c>
      <c r="DL101" s="21">
        <f>[2]底表!EY101</f>
        <v>150</v>
      </c>
      <c r="DM101" s="21">
        <f>[2]底表!EZ101</f>
        <v>150</v>
      </c>
      <c r="DN101" s="21" t="str">
        <f>[2]底表!FA101</f>
        <v/>
      </c>
      <c r="DO101" s="21">
        <f>[2]底表!BQ101</f>
        <v>6</v>
      </c>
      <c r="DP101" s="21">
        <f>[2]底表!BR101</f>
        <v>0</v>
      </c>
      <c r="DQ101" s="24" t="str">
        <f>[2]底表!BS101</f>
        <v>多6起</v>
      </c>
    </row>
    <row r="102" s="2" customFormat="1" ht="32" hidden="1" customHeight="1" spans="1:121">
      <c r="A102" s="27" t="str">
        <f>[2]底表!A102</f>
        <v>电诈</v>
      </c>
      <c r="B102" s="28" t="str">
        <f>[2]底表!B102</f>
        <v>全省</v>
      </c>
      <c r="C102" s="21">
        <f>[2]底表!AM102</f>
        <v>1625</v>
      </c>
      <c r="D102" s="21">
        <f>[2]底表!AN102</f>
        <v>983</v>
      </c>
      <c r="E102" s="23">
        <f>[2]底表!AO102</f>
        <v>0.6531</v>
      </c>
      <c r="F102" s="21">
        <f>[2]底表!AP102</f>
        <v>2970</v>
      </c>
      <c r="G102" s="21">
        <f>[2]底表!AQ102</f>
        <v>-0.4529</v>
      </c>
      <c r="H102" s="21">
        <f>[2]底表!AR102</f>
        <v>0.2667</v>
      </c>
      <c r="I102" s="21">
        <f>[2]底表!AS102</f>
        <v>0.0899</v>
      </c>
      <c r="J102" s="21">
        <f>[2]底表!AT102</f>
        <v>3774</v>
      </c>
      <c r="K102" s="21">
        <f>[2]底表!AU102</f>
        <v>2804</v>
      </c>
      <c r="L102" s="21">
        <f>[2]底表!AV102</f>
        <v>0.3459</v>
      </c>
      <c r="M102" s="21">
        <f>[2]底表!AW102</f>
        <v>6635</v>
      </c>
      <c r="N102" s="21">
        <f>[2]底表!AX102</f>
        <v>-0.4312</v>
      </c>
      <c r="O102" s="21">
        <f>[2]底表!AY102</f>
        <v>376</v>
      </c>
      <c r="P102" s="21">
        <f>[2]底表!AZ102</f>
        <v>301</v>
      </c>
      <c r="Q102" s="21">
        <f>[2]底表!BA102</f>
        <v>0.2492</v>
      </c>
      <c r="R102" s="21">
        <f>[2]底表!BB102</f>
        <v>2279</v>
      </c>
      <c r="S102" s="21">
        <f>[2]底表!BC102</f>
        <v>-0.835</v>
      </c>
      <c r="T102" s="21">
        <f>[2]底表!BD102</f>
        <v>0.0996</v>
      </c>
      <c r="U102" s="21">
        <f>[2]底表!BE102</f>
        <v>-0.0077</v>
      </c>
      <c r="V102" s="21">
        <f>[2]底表!BF102</f>
        <v>2318</v>
      </c>
      <c r="W102" s="21">
        <f>[2]底表!BG102</f>
        <v>2756</v>
      </c>
      <c r="X102" s="21">
        <f>[2]底表!BH102</f>
        <v>-0.1589</v>
      </c>
      <c r="Y102" s="21">
        <f>[2]底表!BI102</f>
        <v>79</v>
      </c>
      <c r="Z102" s="21">
        <f>[2]底表!BJ102</f>
        <v>28.3418</v>
      </c>
      <c r="AA102" s="21">
        <f>[2]底表!BK102</f>
        <v>0.3805</v>
      </c>
      <c r="AB102" s="21">
        <f>[2]底表!BL102</f>
        <v>1249</v>
      </c>
      <c r="AC102" s="21">
        <f>[2]底表!BM102</f>
        <v>682</v>
      </c>
      <c r="AD102" s="21">
        <f>[2]底表!BN102</f>
        <v>0.8314</v>
      </c>
      <c r="AE102" s="21">
        <f>[2]底表!BO102</f>
        <v>691</v>
      </c>
      <c r="AF102" s="21">
        <f>[2]底表!BP102</f>
        <v>0.8075</v>
      </c>
      <c r="AG102" s="21">
        <f>[2]底表!BT102</f>
        <v>637</v>
      </c>
      <c r="AH102" s="21">
        <f>[2]底表!BU102</f>
        <v>-0.5604</v>
      </c>
      <c r="AI102" s="21">
        <f>[2]底表!BV102</f>
        <v>0.046</v>
      </c>
      <c r="AJ102" s="21">
        <f>[2]底表!BW102</f>
        <v>0.0116</v>
      </c>
      <c r="AK102" s="21">
        <f>[2]底表!BX102</f>
        <v>0.0742</v>
      </c>
      <c r="AL102" s="21">
        <f>[2]底表!BY102</f>
        <v>0.0061</v>
      </c>
      <c r="AM102" s="21">
        <f>[2]底表!BZ102</f>
        <v>5</v>
      </c>
      <c r="AN102" s="21">
        <f>[2]底表!CA102</f>
        <v>3</v>
      </c>
      <c r="AO102" s="21">
        <f>[2]底表!CB102</f>
        <v>0.6667</v>
      </c>
      <c r="AP102" s="21">
        <f>[2]底表!CC102</f>
        <v>52</v>
      </c>
      <c r="AQ102" s="21">
        <f>[2]底表!CD102</f>
        <v>-0.9038</v>
      </c>
      <c r="AR102" s="21" t="str">
        <f>[2]底表!CE102</f>
        <v/>
      </c>
      <c r="AS102" s="21" t="str">
        <f>[2]底表!CF102</f>
        <v/>
      </c>
      <c r="AT102" s="21">
        <f>[2]底表!CG102</f>
        <v>2073</v>
      </c>
      <c r="AU102" s="21">
        <f>[2]底表!CH102</f>
        <v>1670</v>
      </c>
      <c r="AV102" s="21">
        <f>[2]底表!CI102</f>
        <v>0.2413</v>
      </c>
      <c r="AW102" s="21">
        <f>[2]底表!CJ102</f>
        <v>2447</v>
      </c>
      <c r="AX102" s="21">
        <f>[2]底表!CK102</f>
        <v>-0.1528</v>
      </c>
      <c r="AY102" s="21">
        <f>[2]底表!CL102</f>
        <v>34</v>
      </c>
      <c r="AZ102" s="21">
        <f>[2]底表!CM102</f>
        <v>4</v>
      </c>
      <c r="BA102" s="21">
        <f>[2]底表!CN102</f>
        <v>0.1329</v>
      </c>
      <c r="BB102" s="21">
        <f>[2]底表!CO102</f>
        <v>2678</v>
      </c>
      <c r="BC102" s="21">
        <f>[2]底表!CP102</f>
        <v>1432</v>
      </c>
      <c r="BD102" s="21">
        <f>[2]底表!CQ102</f>
        <v>0.8701</v>
      </c>
      <c r="BE102" s="21">
        <f>[2]底表!CR102</f>
        <v>2510</v>
      </c>
      <c r="BF102" s="21">
        <f>[2]底表!CS102</f>
        <v>0.0669</v>
      </c>
      <c r="BG102" s="21">
        <f>[2]底表!CT102</f>
        <v>1.2918</v>
      </c>
      <c r="BH102" s="21">
        <f>[2]底表!CU102</f>
        <v>0.4344</v>
      </c>
      <c r="BI102" s="21">
        <f>[2]底表!CV102</f>
        <v>44</v>
      </c>
      <c r="BJ102" s="21">
        <f>[2]底表!CW102</f>
        <v>18</v>
      </c>
      <c r="BK102" s="21">
        <f>[2]底表!CX102</f>
        <v>0.7068</v>
      </c>
      <c r="BL102" s="21">
        <f>[2]底表!CY102</f>
        <v>2863</v>
      </c>
      <c r="BM102" s="21">
        <f>[2]底表!CZ102</f>
        <v>1603</v>
      </c>
      <c r="BN102" s="23">
        <f>[2]底表!DA102</f>
        <v>0.786</v>
      </c>
      <c r="BO102" s="21">
        <f>[2]底表!DB102</f>
        <v>2740</v>
      </c>
      <c r="BP102" s="21">
        <f>[2]底表!DC102</f>
        <v>0.0449</v>
      </c>
      <c r="BQ102" s="21">
        <f>[2]底表!DD102</f>
        <v>1.3811</v>
      </c>
      <c r="BR102" s="21">
        <f>[2]底表!DE102</f>
        <v>0.4212</v>
      </c>
      <c r="BS102" s="21">
        <f>[2]底表!DF102</f>
        <v>47</v>
      </c>
      <c r="BT102" s="21">
        <f>[2]底表!DG102</f>
        <v>18</v>
      </c>
      <c r="BU102" s="21">
        <f>[2]底表!DH102</f>
        <v>0.6301</v>
      </c>
      <c r="BV102" s="21">
        <f>[2]底表!DI102</f>
        <v>0</v>
      </c>
      <c r="BW102" s="21">
        <f>[2]底表!DJ102</f>
        <v>0</v>
      </c>
      <c r="BX102" s="23" t="str">
        <f>[2]底表!DK102</f>
        <v>持平</v>
      </c>
      <c r="BY102" s="21">
        <f>[2]底表!DL102</f>
        <v>0</v>
      </c>
      <c r="BZ102" s="21" t="str">
        <f>[2]底表!DM102</f>
        <v>持平</v>
      </c>
      <c r="CA102" s="21">
        <f>[2]底表!DN102</f>
        <v>1513</v>
      </c>
      <c r="CB102" s="21">
        <f>[2]底表!DO102</f>
        <v>803</v>
      </c>
      <c r="CC102" s="21">
        <f>[2]底表!DP102</f>
        <v>0.8842</v>
      </c>
      <c r="CD102" s="21">
        <f>[2]底表!DQ102</f>
        <v>1560</v>
      </c>
      <c r="CE102" s="21">
        <f>[2]底表!DR102</f>
        <v>-0.0301</v>
      </c>
      <c r="CF102" s="21">
        <f>[2]底表!DS102</f>
        <v>1513</v>
      </c>
      <c r="CG102" s="21">
        <f>[2]底表!DT102</f>
        <v>803</v>
      </c>
      <c r="CH102" s="21">
        <f>[2]底表!DU102</f>
        <v>0.8842</v>
      </c>
      <c r="CI102" s="21">
        <f>[2]底表!DV102</f>
        <v>1561</v>
      </c>
      <c r="CJ102" s="21">
        <f>[2]底表!DW102</f>
        <v>-0.0307</v>
      </c>
      <c r="CK102" s="21">
        <f>[2]底表!DX102</f>
        <v>876</v>
      </c>
      <c r="CL102" s="21">
        <f>[2]底表!DY102</f>
        <v>597</v>
      </c>
      <c r="CM102" s="21">
        <f>[2]底表!DZ102</f>
        <v>0.4673</v>
      </c>
      <c r="CN102" s="21">
        <f>[2]底表!EA102</f>
        <v>818</v>
      </c>
      <c r="CO102" s="21">
        <f>[2]底表!EB102</f>
        <v>0.0709</v>
      </c>
      <c r="CP102" s="21">
        <f>[2]底表!EC102</f>
        <v>439</v>
      </c>
      <c r="CQ102" s="21">
        <f>[2]底表!ED102</f>
        <v>387</v>
      </c>
      <c r="CR102" s="21">
        <f>[2]底表!EE102</f>
        <v>0.1344</v>
      </c>
      <c r="CS102" s="21">
        <f>[2]底表!EF102</f>
        <v>358</v>
      </c>
      <c r="CT102" s="21">
        <f>[2]底表!EG102</f>
        <v>0.2263</v>
      </c>
      <c r="CU102" s="21">
        <f>[2]底表!EH102</f>
        <v>0.1639</v>
      </c>
      <c r="CV102" s="21">
        <f>[2]底表!EI102</f>
        <v>-0.1063</v>
      </c>
      <c r="CW102" s="21">
        <f>[2]底表!EJ102</f>
        <v>7</v>
      </c>
      <c r="CX102" s="21">
        <f>[2]底表!EK102</f>
        <v>0</v>
      </c>
      <c r="CY102" s="21">
        <f>[2]底表!EL102</f>
        <v>0.0353</v>
      </c>
      <c r="CZ102" s="21">
        <f>[2]底表!EM102</f>
        <v>455</v>
      </c>
      <c r="DA102" s="21">
        <f>[2]底表!EN102</f>
        <v>388</v>
      </c>
      <c r="DB102" s="21">
        <f>[2]底表!EO102</f>
        <v>0.1727</v>
      </c>
      <c r="DC102" s="21">
        <f>[2]底表!EP102</f>
        <v>375</v>
      </c>
      <c r="DD102" s="21">
        <f>[2]底表!EQ102</f>
        <v>0.2133</v>
      </c>
      <c r="DE102" s="21">
        <f>[2]底表!ER102</f>
        <v>527</v>
      </c>
      <c r="DF102" s="21">
        <f>[2]底表!ES102</f>
        <v>326</v>
      </c>
      <c r="DG102" s="23">
        <f>[2]底表!ET102</f>
        <v>0.6166</v>
      </c>
      <c r="DH102" s="21">
        <f>[2]底表!EU102</f>
        <v>999</v>
      </c>
      <c r="DI102" s="21">
        <f>[2]底表!EV102</f>
        <v>-0.4725</v>
      </c>
      <c r="DJ102" s="21">
        <f>[2]底表!EW102</f>
        <v>0.1968</v>
      </c>
      <c r="DK102" s="21">
        <f>[2]底表!EX102</f>
        <v>-0.0309</v>
      </c>
      <c r="DL102" s="21">
        <f>[2]底表!EY102</f>
        <v>9</v>
      </c>
      <c r="DM102" s="21">
        <f>[2]底表!EZ102</f>
        <v>3</v>
      </c>
      <c r="DN102" s="21">
        <f>[2]底表!FA102</f>
        <v>0.4754</v>
      </c>
      <c r="DO102" s="21">
        <f>[2]底表!BQ102</f>
        <v>280</v>
      </c>
      <c r="DP102" s="21">
        <f>[2]底表!BR102</f>
        <v>191</v>
      </c>
      <c r="DQ102" s="24">
        <f>[2]底表!BS102</f>
        <v>0.466</v>
      </c>
    </row>
    <row r="103" s="2" customFormat="1" ht="32" hidden="1" customHeight="1" spans="1:121">
      <c r="A103" s="27" t="str">
        <f>[2]底表!A103</f>
        <v>电诈</v>
      </c>
      <c r="B103" s="28" t="str">
        <f>[2]底表!B103</f>
        <v>云浮</v>
      </c>
      <c r="C103" s="21">
        <f>[2]底表!AM103</f>
        <v>22</v>
      </c>
      <c r="D103" s="21">
        <f>[2]底表!AN103</f>
        <v>11</v>
      </c>
      <c r="E103" s="23">
        <f>[2]底表!AO103</f>
        <v>1</v>
      </c>
      <c r="F103" s="21">
        <f>[2]底表!AP103</f>
        <v>50</v>
      </c>
      <c r="G103" s="21">
        <f>[2]底表!AQ103</f>
        <v>-0.56</v>
      </c>
      <c r="H103" s="21">
        <f>[2]底表!AR103</f>
        <v>0.2933</v>
      </c>
      <c r="I103" s="21">
        <f>[2]底表!AS103</f>
        <v>0.1876</v>
      </c>
      <c r="J103" s="21">
        <f>[2]底表!AT103</f>
        <v>43</v>
      </c>
      <c r="K103" s="21">
        <f>[2]底表!AU103</f>
        <v>48</v>
      </c>
      <c r="L103" s="21">
        <f>[2]底表!AV103</f>
        <v>-0.1042</v>
      </c>
      <c r="M103" s="21">
        <f>[2]底表!AW103</f>
        <v>66</v>
      </c>
      <c r="N103" s="21">
        <f>[2]底表!AX103</f>
        <v>-0.3485</v>
      </c>
      <c r="O103" s="21">
        <f>[2]底表!AY103</f>
        <v>2</v>
      </c>
      <c r="P103" s="21">
        <f>[2]底表!AZ103</f>
        <v>2</v>
      </c>
      <c r="Q103" s="21">
        <f>[2]底表!BA103</f>
        <v>0</v>
      </c>
      <c r="R103" s="21">
        <f>[2]底表!BB103</f>
        <v>31</v>
      </c>
      <c r="S103" s="21">
        <f>[2]底表!BC103</f>
        <v>-0.9355</v>
      </c>
      <c r="T103" s="21">
        <f>[2]底表!BD103</f>
        <v>0.0465</v>
      </c>
      <c r="U103" s="21">
        <f>[2]底表!BE103</f>
        <v>0.0048</v>
      </c>
      <c r="V103" s="21">
        <f>[2]底表!BF103</f>
        <v>32</v>
      </c>
      <c r="W103" s="21">
        <f>[2]底表!BG103</f>
        <v>56</v>
      </c>
      <c r="X103" s="21">
        <f>[2]底表!BH103</f>
        <v>-0.4286</v>
      </c>
      <c r="Y103" s="21">
        <f>[2]底表!BI103</f>
        <v>1</v>
      </c>
      <c r="Z103" s="21">
        <f>[2]底表!BJ103</f>
        <v>31</v>
      </c>
      <c r="AA103" s="21">
        <f>[2]底表!BK103</f>
        <v>0.4267</v>
      </c>
      <c r="AB103" s="21">
        <f>[2]底表!BL103</f>
        <v>20</v>
      </c>
      <c r="AC103" s="21">
        <f>[2]底表!BM103</f>
        <v>9</v>
      </c>
      <c r="AD103" s="21">
        <f>[2]底表!BN103</f>
        <v>1.2222</v>
      </c>
      <c r="AE103" s="21">
        <f>[2]底表!BO103</f>
        <v>19</v>
      </c>
      <c r="AF103" s="21">
        <f>[2]底表!BP103</f>
        <v>0.0526</v>
      </c>
      <c r="AG103" s="21">
        <f>[2]底表!BT103</f>
        <v>6</v>
      </c>
      <c r="AH103" s="21">
        <f>[2]底表!BU103</f>
        <v>-0.5</v>
      </c>
      <c r="AI103" s="21">
        <f>[2]底表!BV103</f>
        <v>0.04</v>
      </c>
      <c r="AJ103" s="21">
        <f>[2]底表!BW103</f>
        <v>-0.0273</v>
      </c>
      <c r="AK103" s="21">
        <f>[2]底表!BX103</f>
        <v>0.0698</v>
      </c>
      <c r="AL103" s="21">
        <f>[2]底表!BY103</f>
        <v>-0.0761</v>
      </c>
      <c r="AM103" s="21">
        <f>[2]底表!BZ103</f>
        <v>0</v>
      </c>
      <c r="AN103" s="21">
        <f>[2]底表!CA103</f>
        <v>0</v>
      </c>
      <c r="AO103" s="21" t="str">
        <f>[2]底表!CB103</f>
        <v>持平</v>
      </c>
      <c r="AP103" s="21">
        <f>[2]底表!CC103</f>
        <v>1</v>
      </c>
      <c r="AQ103" s="21" t="str">
        <f>[2]底表!CD103</f>
        <v>少1起</v>
      </c>
      <c r="AR103" s="21" t="str">
        <f>[2]底表!CE103</f>
        <v/>
      </c>
      <c r="AS103" s="21" t="str">
        <f>[2]底表!CF103</f>
        <v/>
      </c>
      <c r="AT103" s="21">
        <f>[2]底表!CG103</f>
        <v>13</v>
      </c>
      <c r="AU103" s="21">
        <f>[2]底表!CH103</f>
        <v>62</v>
      </c>
      <c r="AV103" s="21">
        <f>[2]底表!CI103</f>
        <v>-0.7903</v>
      </c>
      <c r="AW103" s="21">
        <f>[2]底表!CJ103</f>
        <v>28</v>
      </c>
      <c r="AX103" s="21">
        <f>[2]底表!CK103</f>
        <v>-0.5357</v>
      </c>
      <c r="AY103" s="21">
        <f>[2]底表!CL103</f>
        <v>17</v>
      </c>
      <c r="AZ103" s="21">
        <f>[2]底表!CM103</f>
        <v>-42</v>
      </c>
      <c r="BA103" s="21">
        <f>[2]底表!CN103</f>
        <v>-0.7092</v>
      </c>
      <c r="BB103" s="21">
        <f>[2]底表!CO103</f>
        <v>21</v>
      </c>
      <c r="BC103" s="21">
        <f>[2]底表!CP103</f>
        <v>51</v>
      </c>
      <c r="BD103" s="21">
        <f>[2]底表!CQ103</f>
        <v>-0.5882</v>
      </c>
      <c r="BE103" s="21">
        <f>[2]底表!CR103</f>
        <v>14</v>
      </c>
      <c r="BF103" s="21">
        <f>[2]底表!CS103</f>
        <v>0.5</v>
      </c>
      <c r="BG103" s="21">
        <f>[2]底表!CT103</f>
        <v>1.6154</v>
      </c>
      <c r="BH103" s="21">
        <f>[2]底表!CU103</f>
        <v>0.7928</v>
      </c>
      <c r="BI103" s="21">
        <f>[2]底表!CV103</f>
        <v>28</v>
      </c>
      <c r="BJ103" s="21">
        <f>[2]底表!CW103</f>
        <v>-21</v>
      </c>
      <c r="BK103" s="21">
        <f>[2]底表!CX103</f>
        <v>-0.429</v>
      </c>
      <c r="BL103" s="21">
        <f>[2]底表!CY103</f>
        <v>24</v>
      </c>
      <c r="BM103" s="21">
        <f>[2]底表!CZ103</f>
        <v>63</v>
      </c>
      <c r="BN103" s="23">
        <f>[2]底表!DA103</f>
        <v>-0.619</v>
      </c>
      <c r="BO103" s="21">
        <f>[2]底表!DB103</f>
        <v>15</v>
      </c>
      <c r="BP103" s="21">
        <f>[2]底表!DC103</f>
        <v>0.6</v>
      </c>
      <c r="BQ103" s="21">
        <f>[2]底表!DD103</f>
        <v>1.8462</v>
      </c>
      <c r="BR103" s="21">
        <f>[2]底表!DE103</f>
        <v>0.83</v>
      </c>
      <c r="BS103" s="21">
        <f>[2]底表!DF103</f>
        <v>32</v>
      </c>
      <c r="BT103" s="21">
        <f>[2]底表!DG103</f>
        <v>-29</v>
      </c>
      <c r="BU103" s="21">
        <f>[2]底表!DH103</f>
        <v>-0.4717</v>
      </c>
      <c r="BV103" s="21">
        <f>[2]底表!DI103</f>
        <v>0</v>
      </c>
      <c r="BW103" s="21">
        <f>[2]底表!DJ103</f>
        <v>0</v>
      </c>
      <c r="BX103" s="23" t="str">
        <f>[2]底表!DK103</f>
        <v>持平</v>
      </c>
      <c r="BY103" s="21">
        <f>[2]底表!DL103</f>
        <v>0</v>
      </c>
      <c r="BZ103" s="21" t="str">
        <f>[2]底表!DM103</f>
        <v>持平</v>
      </c>
      <c r="CA103" s="21">
        <f>[2]底表!DN103</f>
        <v>11</v>
      </c>
      <c r="CB103" s="21">
        <f>[2]底表!DO103</f>
        <v>26</v>
      </c>
      <c r="CC103" s="21">
        <f>[2]底表!DP103</f>
        <v>-0.5769</v>
      </c>
      <c r="CD103" s="21">
        <f>[2]底表!DQ103</f>
        <v>11</v>
      </c>
      <c r="CE103" s="21">
        <f>[2]底表!DR103</f>
        <v>0</v>
      </c>
      <c r="CF103" s="21">
        <f>[2]底表!DS103</f>
        <v>11</v>
      </c>
      <c r="CG103" s="21">
        <f>[2]底表!DT103</f>
        <v>26</v>
      </c>
      <c r="CH103" s="21">
        <f>[2]底表!DU103</f>
        <v>-0.5769</v>
      </c>
      <c r="CI103" s="21">
        <f>[2]底表!DV103</f>
        <v>11</v>
      </c>
      <c r="CJ103" s="21">
        <f>[2]底表!DW103</f>
        <v>0</v>
      </c>
      <c r="CK103" s="21">
        <f>[2]底表!DX103</f>
        <v>13</v>
      </c>
      <c r="CL103" s="21">
        <f>[2]底表!DY103</f>
        <v>4</v>
      </c>
      <c r="CM103" s="21">
        <f>[2]底表!DZ103</f>
        <v>2.25</v>
      </c>
      <c r="CN103" s="21">
        <f>[2]底表!EA103</f>
        <v>10</v>
      </c>
      <c r="CO103" s="21">
        <f>[2]底表!EB103</f>
        <v>0.3</v>
      </c>
      <c r="CP103" s="21">
        <f>[2]底表!EC103</f>
        <v>2</v>
      </c>
      <c r="CQ103" s="21">
        <f>[2]底表!ED103</f>
        <v>3</v>
      </c>
      <c r="CR103" s="21">
        <f>[2]底表!EE103</f>
        <v>-0.3333</v>
      </c>
      <c r="CS103" s="21">
        <f>[2]底表!EF103</f>
        <v>7</v>
      </c>
      <c r="CT103" s="21">
        <f>[2]底表!EG103</f>
        <v>-0.7143</v>
      </c>
      <c r="CU103" s="21">
        <f>[2]底表!EH103</f>
        <v>0.0952</v>
      </c>
      <c r="CV103" s="21">
        <f>[2]底表!EI103</f>
        <v>0.0364</v>
      </c>
      <c r="CW103" s="21">
        <f>[2]底表!EJ103</f>
        <v>3</v>
      </c>
      <c r="CX103" s="21">
        <f>[2]底表!EK103</f>
        <v>0</v>
      </c>
      <c r="CY103" s="21">
        <f>[2]底表!EL103</f>
        <v>-0.0756</v>
      </c>
      <c r="CZ103" s="21">
        <f>[2]底表!EM103</f>
        <v>2</v>
      </c>
      <c r="DA103" s="21">
        <f>[2]底表!EN103</f>
        <v>3</v>
      </c>
      <c r="DB103" s="21">
        <f>[2]底表!EO103</f>
        <v>-0.3333</v>
      </c>
      <c r="DC103" s="21">
        <f>[2]底表!EP103</f>
        <v>7</v>
      </c>
      <c r="DD103" s="21">
        <f>[2]底表!EQ103</f>
        <v>-0.7143</v>
      </c>
      <c r="DE103" s="21">
        <f>[2]底表!ER103</f>
        <v>9</v>
      </c>
      <c r="DF103" s="21">
        <f>[2]底表!ES103</f>
        <v>11</v>
      </c>
      <c r="DG103" s="23">
        <f>[2]底表!ET103</f>
        <v>-0.1818</v>
      </c>
      <c r="DH103" s="21">
        <f>[2]底表!EU103</f>
        <v>20</v>
      </c>
      <c r="DI103" s="21">
        <f>[2]底表!EV103</f>
        <v>-0.55</v>
      </c>
      <c r="DJ103" s="21">
        <f>[2]底表!EW103</f>
        <v>0.4286</v>
      </c>
      <c r="DK103" s="21">
        <f>[2]底表!EX103</f>
        <v>0.2129</v>
      </c>
      <c r="DL103" s="21">
        <f>[2]底表!EY103</f>
        <v>12</v>
      </c>
      <c r="DM103" s="21">
        <f>[2]底表!EZ103</f>
        <v>1</v>
      </c>
      <c r="DN103" s="21">
        <f>[2]底表!FA103</f>
        <v>0.1345</v>
      </c>
      <c r="DO103" s="21">
        <f>[2]底表!BQ103</f>
        <v>3</v>
      </c>
      <c r="DP103" s="21">
        <f>[2]底表!BR103</f>
        <v>7</v>
      </c>
      <c r="DQ103" s="24">
        <f>[2]底表!BS103</f>
        <v>-0.5714</v>
      </c>
    </row>
    <row r="104" s="2" customFormat="1" ht="32" hidden="1" customHeight="1" spans="1:121">
      <c r="A104" s="27" t="str">
        <f>[2]底表!A104</f>
        <v>电诈</v>
      </c>
      <c r="B104" s="28" t="str">
        <f>[2]底表!B104</f>
        <v>云城区</v>
      </c>
      <c r="C104" s="21">
        <f>[2]底表!AM104</f>
        <v>3</v>
      </c>
      <c r="D104" s="21">
        <f>[2]底表!AN104</f>
        <v>1</v>
      </c>
      <c r="E104" s="23">
        <f>[2]底表!AO104</f>
        <v>2</v>
      </c>
      <c r="F104" s="21">
        <f>[2]底表!AP104</f>
        <v>7</v>
      </c>
      <c r="G104" s="21">
        <f>[2]底表!AQ104</f>
        <v>-0.5714</v>
      </c>
      <c r="H104" s="21">
        <f>[2]底表!AR104</f>
        <v>0.1667</v>
      </c>
      <c r="I104" s="21">
        <f>[2]底表!AS104</f>
        <v>0.1322</v>
      </c>
      <c r="J104" s="21">
        <f>[2]底表!AT104</f>
        <v>3</v>
      </c>
      <c r="K104" s="21">
        <f>[2]底表!AU104</f>
        <v>7</v>
      </c>
      <c r="L104" s="21">
        <f>[2]底表!AV104</f>
        <v>-0.5714</v>
      </c>
      <c r="M104" s="21">
        <f>[2]底表!AW104</f>
        <v>19</v>
      </c>
      <c r="N104" s="21">
        <f>[2]底表!AX104</f>
        <v>-0.8421</v>
      </c>
      <c r="O104" s="21">
        <f>[2]底表!AY104</f>
        <v>0</v>
      </c>
      <c r="P104" s="21">
        <f>[2]底表!AZ104</f>
        <v>0</v>
      </c>
      <c r="Q104" s="21" t="str">
        <f>[2]底表!BA104</f>
        <v>持平</v>
      </c>
      <c r="R104" s="21">
        <f>[2]底表!BB104</f>
        <v>5</v>
      </c>
      <c r="S104" s="21" t="str">
        <f>[2]底表!BC104</f>
        <v>少5起</v>
      </c>
      <c r="T104" s="21">
        <f>[2]底表!BD104</f>
        <v>0</v>
      </c>
      <c r="U104" s="21">
        <f>[2]底表!BE104</f>
        <v>0</v>
      </c>
      <c r="V104" s="21">
        <f>[2]底表!BF104</f>
        <v>15</v>
      </c>
      <c r="W104" s="21">
        <f>[2]底表!BG104</f>
        <v>22</v>
      </c>
      <c r="X104" s="21">
        <f>[2]底表!BH104</f>
        <v>-0.3182</v>
      </c>
      <c r="Y104" s="21">
        <f>[2]底表!BI104</f>
        <v>0</v>
      </c>
      <c r="Z104" s="21" t="str">
        <f>[2]底表!BJ104</f>
        <v>多15起</v>
      </c>
      <c r="AA104" s="21">
        <f>[2]底表!BK104</f>
        <v>0.8333</v>
      </c>
      <c r="AB104" s="21">
        <f>[2]底表!BL104</f>
        <v>3</v>
      </c>
      <c r="AC104" s="21">
        <f>[2]底表!BM104</f>
        <v>1</v>
      </c>
      <c r="AD104" s="21">
        <f>[2]底表!BN104</f>
        <v>2</v>
      </c>
      <c r="AE104" s="21">
        <f>[2]底表!BO104</f>
        <v>2</v>
      </c>
      <c r="AF104" s="21">
        <f>[2]底表!BP104</f>
        <v>0.5</v>
      </c>
      <c r="AG104" s="21">
        <f>[2]底表!BT104</f>
        <v>0</v>
      </c>
      <c r="AH104" s="21" t="str">
        <f>[2]底表!BU104</f>
        <v>持平</v>
      </c>
      <c r="AI104" s="21">
        <f>[2]底表!BV104</f>
        <v>0</v>
      </c>
      <c r="AJ104" s="21">
        <f>[2]底表!BW104</f>
        <v>-0.0345</v>
      </c>
      <c r="AK104" s="21">
        <f>[2]底表!BX104</f>
        <v>0</v>
      </c>
      <c r="AL104" s="21">
        <f>[2]底表!BY104</f>
        <v>-0.1429</v>
      </c>
      <c r="AM104" s="21">
        <f>[2]底表!BZ104</f>
        <v>0</v>
      </c>
      <c r="AN104" s="21">
        <f>[2]底表!CA104</f>
        <v>0</v>
      </c>
      <c r="AO104" s="21" t="str">
        <f>[2]底表!CB104</f>
        <v>持平</v>
      </c>
      <c r="AP104" s="21">
        <f>[2]底表!CC104</f>
        <v>1</v>
      </c>
      <c r="AQ104" s="21" t="str">
        <f>[2]底表!CD104</f>
        <v>少1起</v>
      </c>
      <c r="AR104" s="21" t="str">
        <f>[2]底表!CE104</f>
        <v/>
      </c>
      <c r="AS104" s="21" t="str">
        <f>[2]底表!CF104</f>
        <v/>
      </c>
      <c r="AT104" s="21">
        <f>[2]底表!CG104</f>
        <v>8</v>
      </c>
      <c r="AU104" s="21">
        <f>[2]底表!CH104</f>
        <v>1</v>
      </c>
      <c r="AV104" s="21">
        <f>[2]底表!CI104</f>
        <v>7</v>
      </c>
      <c r="AW104" s="21">
        <f>[2]底表!CJ104</f>
        <v>1</v>
      </c>
      <c r="AX104" s="21">
        <f>[2]底表!CK104</f>
        <v>7</v>
      </c>
      <c r="AY104" s="21">
        <f>[2]底表!CL104</f>
        <v>44</v>
      </c>
      <c r="AZ104" s="21">
        <f>[2]底表!CM104</f>
        <v>41</v>
      </c>
      <c r="BA104" s="21">
        <f>[2]底表!CN104</f>
        <v>11.8889</v>
      </c>
      <c r="BB104" s="21">
        <f>[2]底表!CO104</f>
        <v>11</v>
      </c>
      <c r="BC104" s="21">
        <f>[2]底表!CP104</f>
        <v>1</v>
      </c>
      <c r="BD104" s="21">
        <f>[2]底表!CQ104</f>
        <v>10</v>
      </c>
      <c r="BE104" s="21">
        <f>[2]底表!CR104</f>
        <v>1</v>
      </c>
      <c r="BF104" s="21">
        <f>[2]底表!CS104</f>
        <v>10</v>
      </c>
      <c r="BG104" s="21">
        <f>[2]底表!CT104</f>
        <v>1.375</v>
      </c>
      <c r="BH104" s="21">
        <f>[2]底表!CU104</f>
        <v>0.375</v>
      </c>
      <c r="BI104" s="21">
        <f>[2]底表!CV104</f>
        <v>61</v>
      </c>
      <c r="BJ104" s="21">
        <f>[2]底表!CW104</f>
        <v>58</v>
      </c>
      <c r="BK104" s="21">
        <f>[2]底表!CX104</f>
        <v>16.7222</v>
      </c>
      <c r="BL104" s="21">
        <f>[2]底表!CY104</f>
        <v>11</v>
      </c>
      <c r="BM104" s="21">
        <f>[2]底表!CZ104</f>
        <v>1</v>
      </c>
      <c r="BN104" s="23">
        <f>[2]底表!DA104</f>
        <v>10</v>
      </c>
      <c r="BO104" s="21">
        <f>[2]底表!DB104</f>
        <v>1</v>
      </c>
      <c r="BP104" s="21">
        <f>[2]底表!DC104</f>
        <v>10</v>
      </c>
      <c r="BQ104" s="21">
        <f>[2]底表!DD104</f>
        <v>1.375</v>
      </c>
      <c r="BR104" s="21">
        <f>[2]底表!DE104</f>
        <v>0.375</v>
      </c>
      <c r="BS104" s="21">
        <f>[2]底表!DF104</f>
        <v>61</v>
      </c>
      <c r="BT104" s="21">
        <f>[2]底表!DG104</f>
        <v>58</v>
      </c>
      <c r="BU104" s="21">
        <f>[2]底表!DH104</f>
        <v>16.7222</v>
      </c>
      <c r="BV104" s="21">
        <f>[2]底表!DI104</f>
        <v>0</v>
      </c>
      <c r="BW104" s="21">
        <f>[2]底表!DJ104</f>
        <v>0</v>
      </c>
      <c r="BX104" s="23" t="str">
        <f>[2]底表!DK104</f>
        <v>持平</v>
      </c>
      <c r="BY104" s="21">
        <f>[2]底表!DL104</f>
        <v>0</v>
      </c>
      <c r="BZ104" s="21" t="str">
        <f>[2]底表!DM104</f>
        <v>持平</v>
      </c>
      <c r="CA104" s="21">
        <f>[2]底表!DN104</f>
        <v>3</v>
      </c>
      <c r="CB104" s="21">
        <f>[2]底表!DO104</f>
        <v>0</v>
      </c>
      <c r="CC104" s="21" t="str">
        <f>[2]底表!DP104</f>
        <v>多3人</v>
      </c>
      <c r="CD104" s="21">
        <f>[2]底表!DQ104</f>
        <v>0</v>
      </c>
      <c r="CE104" s="21" t="str">
        <f>[2]底表!DR104</f>
        <v>多3人</v>
      </c>
      <c r="CF104" s="21">
        <f>[2]底表!DS104</f>
        <v>3</v>
      </c>
      <c r="CG104" s="21">
        <f>[2]底表!DT104</f>
        <v>0</v>
      </c>
      <c r="CH104" s="21" t="str">
        <f>[2]底表!DU104</f>
        <v>多3人</v>
      </c>
      <c r="CI104" s="21">
        <f>[2]底表!DV104</f>
        <v>0</v>
      </c>
      <c r="CJ104" s="21" t="str">
        <f>[2]底表!DW104</f>
        <v>多3人</v>
      </c>
      <c r="CK104" s="21">
        <f>[2]底表!DX104</f>
        <v>2</v>
      </c>
      <c r="CL104" s="21">
        <f>[2]底表!DY104</f>
        <v>1</v>
      </c>
      <c r="CM104" s="21">
        <f>[2]底表!DZ104</f>
        <v>1</v>
      </c>
      <c r="CN104" s="21">
        <f>[2]底表!EA104</f>
        <v>1</v>
      </c>
      <c r="CO104" s="21">
        <f>[2]底表!EB104</f>
        <v>1</v>
      </c>
      <c r="CP104" s="21">
        <f>[2]底表!EC104</f>
        <v>0</v>
      </c>
      <c r="CQ104" s="21">
        <f>[2]底表!ED104</f>
        <v>1</v>
      </c>
      <c r="CR104" s="21" t="str">
        <f>[2]底表!EE104</f>
        <v>少1人</v>
      </c>
      <c r="CS104" s="21">
        <f>[2]底表!EF104</f>
        <v>0</v>
      </c>
      <c r="CT104" s="21" t="str">
        <f>[2]底表!EG104</f>
        <v>持平</v>
      </c>
      <c r="CU104" s="21">
        <f>[2]底表!EH104</f>
        <v>0</v>
      </c>
      <c r="CV104" s="21">
        <f>[2]底表!EI104</f>
        <v>-1</v>
      </c>
      <c r="CW104" s="21">
        <f>[2]底表!EJ104</f>
        <v>0</v>
      </c>
      <c r="CX104" s="21">
        <f>[2]底表!EK104</f>
        <v>-3</v>
      </c>
      <c r="CY104" s="21">
        <f>[2]底表!EL104</f>
        <v>-1</v>
      </c>
      <c r="CZ104" s="21">
        <f>[2]底表!EM104</f>
        <v>0</v>
      </c>
      <c r="DA104" s="21">
        <f>[2]底表!EN104</f>
        <v>1</v>
      </c>
      <c r="DB104" s="21" t="str">
        <f>[2]底表!EO104</f>
        <v>少1人</v>
      </c>
      <c r="DC104" s="21">
        <f>[2]底表!EP104</f>
        <v>0</v>
      </c>
      <c r="DD104" s="21" t="str">
        <f>[2]底表!EQ104</f>
        <v>持平</v>
      </c>
      <c r="DE104" s="21">
        <f>[2]底表!ER104</f>
        <v>0</v>
      </c>
      <c r="DF104" s="21">
        <f>[2]底表!ES104</f>
        <v>2</v>
      </c>
      <c r="DG104" s="23" t="str">
        <f>[2]底表!ET104</f>
        <v>少2人</v>
      </c>
      <c r="DH104" s="21">
        <f>[2]底表!EU104</f>
        <v>7</v>
      </c>
      <c r="DI104" s="21" t="str">
        <f>[2]底表!EV104</f>
        <v>少7人</v>
      </c>
      <c r="DJ104" s="21">
        <f>[2]底表!EW104</f>
        <v>0</v>
      </c>
      <c r="DK104" s="21">
        <f>[2]底表!EX104</f>
        <v>-2</v>
      </c>
      <c r="DL104" s="21">
        <f>[2]底表!EY104</f>
        <v>0</v>
      </c>
      <c r="DM104" s="21">
        <f>[2]底表!EZ104</f>
        <v>-7</v>
      </c>
      <c r="DN104" s="21">
        <f>[2]底表!FA104</f>
        <v>-1</v>
      </c>
      <c r="DO104" s="21">
        <f>[2]底表!BQ104</f>
        <v>0</v>
      </c>
      <c r="DP104" s="21">
        <f>[2]底表!BR104</f>
        <v>1</v>
      </c>
      <c r="DQ104" s="24" t="str">
        <f>[2]底表!BS104</f>
        <v>少1起</v>
      </c>
    </row>
    <row r="105" s="2" customFormat="1" ht="32" hidden="1" customHeight="1" spans="1:121">
      <c r="A105" s="27" t="str">
        <f>[2]底表!A105</f>
        <v>电诈</v>
      </c>
      <c r="B105" s="28" t="str">
        <f>[2]底表!B105</f>
        <v>云安区</v>
      </c>
      <c r="C105" s="21">
        <f>[2]底表!AM105</f>
        <v>6</v>
      </c>
      <c r="D105" s="21">
        <f>[2]底表!AN105</f>
        <v>4</v>
      </c>
      <c r="E105" s="23">
        <f>[2]底表!AO105</f>
        <v>0.5</v>
      </c>
      <c r="F105" s="21">
        <f>[2]底表!AP105</f>
        <v>0</v>
      </c>
      <c r="G105" s="21" t="str">
        <f>[2]底表!AQ105</f>
        <v>多6起</v>
      </c>
      <c r="H105" s="21">
        <f>[2]底表!AR105</f>
        <v>1.5</v>
      </c>
      <c r="I105" s="21">
        <f>[2]底表!AS105</f>
        <v>-0.5</v>
      </c>
      <c r="J105" s="21">
        <f>[2]底表!AT105</f>
        <v>4</v>
      </c>
      <c r="K105" s="21">
        <f>[2]底表!AU105</f>
        <v>2</v>
      </c>
      <c r="L105" s="21">
        <f>[2]底表!AV105</f>
        <v>1</v>
      </c>
      <c r="M105" s="21">
        <f>[2]底表!AW105</f>
        <v>3</v>
      </c>
      <c r="N105" s="21">
        <f>[2]底表!AX105</f>
        <v>0.3333</v>
      </c>
      <c r="O105" s="21">
        <f>[2]底表!AY105</f>
        <v>2</v>
      </c>
      <c r="P105" s="21">
        <f>[2]底表!AZ105</f>
        <v>0</v>
      </c>
      <c r="Q105" s="21" t="str">
        <f>[2]底表!BA105</f>
        <v>多2起</v>
      </c>
      <c r="R105" s="21">
        <f>[2]底表!BB105</f>
        <v>0</v>
      </c>
      <c r="S105" s="21" t="str">
        <f>[2]底表!BC105</f>
        <v>多2起</v>
      </c>
      <c r="T105" s="21">
        <f>[2]底表!BD105</f>
        <v>0.5</v>
      </c>
      <c r="U105" s="21">
        <f>[2]底表!BE105</f>
        <v>0.5</v>
      </c>
      <c r="V105" s="21">
        <f>[2]底表!BF105</f>
        <v>0</v>
      </c>
      <c r="W105" s="21">
        <f>[2]底表!BG105</f>
        <v>0</v>
      </c>
      <c r="X105" s="21" t="str">
        <f>[2]底表!BH105</f>
        <v>持平</v>
      </c>
      <c r="Y105" s="21">
        <f>[2]底表!BI105</f>
        <v>1</v>
      </c>
      <c r="Z105" s="21" t="str">
        <f>[2]底表!BJ105</f>
        <v>少1起</v>
      </c>
      <c r="AA105" s="21">
        <f>[2]底表!BK105</f>
        <v>0</v>
      </c>
      <c r="AB105" s="21">
        <f>[2]底表!BL105</f>
        <v>4</v>
      </c>
      <c r="AC105" s="21">
        <f>[2]底表!BM105</f>
        <v>4</v>
      </c>
      <c r="AD105" s="21">
        <f>[2]底表!BN105</f>
        <v>0</v>
      </c>
      <c r="AE105" s="21">
        <f>[2]底表!BO105</f>
        <v>0</v>
      </c>
      <c r="AF105" s="21" t="str">
        <f>[2]底表!BP105</f>
        <v>多4起</v>
      </c>
      <c r="AG105" s="21">
        <f>[2]底表!BT105</f>
        <v>0</v>
      </c>
      <c r="AH105" s="21" t="str">
        <f>[2]底表!BU105</f>
        <v>多2起</v>
      </c>
      <c r="AI105" s="21">
        <f>[2]底表!BV105</f>
        <v>0.5</v>
      </c>
      <c r="AJ105" s="21">
        <f>[2]底表!BW105</f>
        <v>0.5</v>
      </c>
      <c r="AK105" s="21">
        <f>[2]底表!BX105</f>
        <v>0.5</v>
      </c>
      <c r="AL105" s="21">
        <f>[2]底表!BY105</f>
        <v>0.5</v>
      </c>
      <c r="AM105" s="21">
        <f>[2]底表!BZ105</f>
        <v>0</v>
      </c>
      <c r="AN105" s="21">
        <f>[2]底表!CA105</f>
        <v>0</v>
      </c>
      <c r="AO105" s="21" t="str">
        <f>[2]底表!CB105</f>
        <v>持平</v>
      </c>
      <c r="AP105" s="21">
        <f>[2]底表!CC105</f>
        <v>0</v>
      </c>
      <c r="AQ105" s="21" t="str">
        <f>[2]底表!CD105</f>
        <v>持平</v>
      </c>
      <c r="AR105" s="21" t="str">
        <f>[2]底表!CE105</f>
        <v/>
      </c>
      <c r="AS105" s="21" t="str">
        <f>[2]底表!CF105</f>
        <v/>
      </c>
      <c r="AT105" s="21">
        <f>[2]底表!CG105</f>
        <v>1</v>
      </c>
      <c r="AU105" s="21">
        <f>[2]底表!CH105</f>
        <v>0</v>
      </c>
      <c r="AV105" s="21" t="str">
        <f>[2]底表!CI105</f>
        <v>多1人</v>
      </c>
      <c r="AW105" s="21">
        <f>[2]底表!CJ105</f>
        <v>4</v>
      </c>
      <c r="AX105" s="21">
        <f>[2]底表!CK105</f>
        <v>-0.75</v>
      </c>
      <c r="AY105" s="21">
        <f>[2]底表!CL105</f>
        <v>25</v>
      </c>
      <c r="AZ105" s="21">
        <f>[2]底表!CM105</f>
        <v>25</v>
      </c>
      <c r="BA105" s="21" t="str">
        <f>[2]底表!CN105</f>
        <v/>
      </c>
      <c r="BB105" s="21">
        <f>[2]底表!CO105</f>
        <v>2</v>
      </c>
      <c r="BC105" s="21">
        <f>[2]底表!CP105</f>
        <v>0</v>
      </c>
      <c r="BD105" s="21" t="str">
        <f>[2]底表!CQ105</f>
        <v>多2人</v>
      </c>
      <c r="BE105" s="21">
        <f>[2]底表!CR105</f>
        <v>9</v>
      </c>
      <c r="BF105" s="21">
        <f>[2]底表!CS105</f>
        <v>-0.7778</v>
      </c>
      <c r="BG105" s="21">
        <f>[2]底表!CT105</f>
        <v>2</v>
      </c>
      <c r="BH105" s="21" t="str">
        <f>[2]底表!CU105</f>
        <v/>
      </c>
      <c r="BI105" s="21">
        <f>[2]底表!CV105</f>
        <v>50</v>
      </c>
      <c r="BJ105" s="21">
        <f>[2]底表!CW105</f>
        <v>50</v>
      </c>
      <c r="BK105" s="21" t="str">
        <f>[2]底表!CX105</f>
        <v/>
      </c>
      <c r="BL105" s="21">
        <f>[2]底表!CY105</f>
        <v>3</v>
      </c>
      <c r="BM105" s="21">
        <f>[2]底表!CZ105</f>
        <v>0</v>
      </c>
      <c r="BN105" s="23" t="str">
        <f>[2]底表!DA105</f>
        <v>多3人</v>
      </c>
      <c r="BO105" s="21">
        <f>[2]底表!DB105</f>
        <v>9</v>
      </c>
      <c r="BP105" s="21">
        <f>[2]底表!DC105</f>
        <v>-0.6667</v>
      </c>
      <c r="BQ105" s="21">
        <f>[2]底表!DD105</f>
        <v>3</v>
      </c>
      <c r="BR105" s="21" t="str">
        <f>[2]底表!DE105</f>
        <v/>
      </c>
      <c r="BS105" s="21">
        <f>[2]底表!DF105</f>
        <v>75</v>
      </c>
      <c r="BT105" s="21">
        <f>[2]底表!DG105</f>
        <v>75</v>
      </c>
      <c r="BU105" s="21" t="str">
        <f>[2]底表!DH105</f>
        <v/>
      </c>
      <c r="BV105" s="21">
        <f>[2]底表!DI105</f>
        <v>0</v>
      </c>
      <c r="BW105" s="21">
        <f>[2]底表!DJ105</f>
        <v>0</v>
      </c>
      <c r="BX105" s="23" t="str">
        <f>[2]底表!DK105</f>
        <v>持平</v>
      </c>
      <c r="BY105" s="21">
        <f>[2]底表!DL105</f>
        <v>0</v>
      </c>
      <c r="BZ105" s="21" t="str">
        <f>[2]底表!DM105</f>
        <v>持平</v>
      </c>
      <c r="CA105" s="21">
        <f>[2]底表!DN105</f>
        <v>2</v>
      </c>
      <c r="CB105" s="21">
        <f>[2]底表!DO105</f>
        <v>8</v>
      </c>
      <c r="CC105" s="21">
        <f>[2]底表!DP105</f>
        <v>-0.75</v>
      </c>
      <c r="CD105" s="21">
        <f>[2]底表!DQ105</f>
        <v>1</v>
      </c>
      <c r="CE105" s="21">
        <f>[2]底表!DR105</f>
        <v>1</v>
      </c>
      <c r="CF105" s="21">
        <f>[2]底表!DS105</f>
        <v>2</v>
      </c>
      <c r="CG105" s="21">
        <f>[2]底表!DT105</f>
        <v>8</v>
      </c>
      <c r="CH105" s="21">
        <f>[2]底表!DU105</f>
        <v>-0.75</v>
      </c>
      <c r="CI105" s="21">
        <f>[2]底表!DV105</f>
        <v>1</v>
      </c>
      <c r="CJ105" s="21">
        <f>[2]底表!DW105</f>
        <v>1</v>
      </c>
      <c r="CK105" s="21">
        <f>[2]底表!DX105</f>
        <v>6</v>
      </c>
      <c r="CL105" s="21">
        <f>[2]底表!DY105</f>
        <v>1</v>
      </c>
      <c r="CM105" s="21">
        <f>[2]底表!DZ105</f>
        <v>5</v>
      </c>
      <c r="CN105" s="21">
        <f>[2]底表!EA105</f>
        <v>1</v>
      </c>
      <c r="CO105" s="21">
        <f>[2]底表!EB105</f>
        <v>5</v>
      </c>
      <c r="CP105" s="21">
        <f>[2]底表!EC105</f>
        <v>1</v>
      </c>
      <c r="CQ105" s="21">
        <f>[2]底表!ED105</f>
        <v>0</v>
      </c>
      <c r="CR105" s="21" t="str">
        <f>[2]底表!EE105</f>
        <v>多1人</v>
      </c>
      <c r="CS105" s="21">
        <f>[2]底表!EF105</f>
        <v>0</v>
      </c>
      <c r="CT105" s="21" t="str">
        <f>[2]底表!EG105</f>
        <v>多1人</v>
      </c>
      <c r="CU105" s="21">
        <f>[2]底表!EH105</f>
        <v>0.5</v>
      </c>
      <c r="CV105" s="21" t="str">
        <f>[2]底表!EI105</f>
        <v/>
      </c>
      <c r="CW105" s="21">
        <f>[2]底表!EJ105</f>
        <v>25</v>
      </c>
      <c r="CX105" s="21">
        <f>[2]底表!EK105</f>
        <v>25</v>
      </c>
      <c r="CY105" s="21" t="str">
        <f>[2]底表!EL105</f>
        <v/>
      </c>
      <c r="CZ105" s="21">
        <f>[2]底表!EM105</f>
        <v>1</v>
      </c>
      <c r="DA105" s="21">
        <f>[2]底表!EN105</f>
        <v>0</v>
      </c>
      <c r="DB105" s="21" t="str">
        <f>[2]底表!EO105</f>
        <v>多1人</v>
      </c>
      <c r="DC105" s="21">
        <f>[2]底表!EP105</f>
        <v>0</v>
      </c>
      <c r="DD105" s="21" t="str">
        <f>[2]底表!EQ105</f>
        <v>多1人</v>
      </c>
      <c r="DE105" s="21">
        <f>[2]底表!ER105</f>
        <v>4</v>
      </c>
      <c r="DF105" s="21">
        <f>[2]底表!ES105</f>
        <v>0</v>
      </c>
      <c r="DG105" s="23" t="str">
        <f>[2]底表!ET105</f>
        <v>多4人</v>
      </c>
      <c r="DH105" s="21">
        <f>[2]底表!EU105</f>
        <v>1</v>
      </c>
      <c r="DI105" s="21">
        <f>[2]底表!EV105</f>
        <v>3</v>
      </c>
      <c r="DJ105" s="21">
        <f>[2]底表!EW105</f>
        <v>2</v>
      </c>
      <c r="DK105" s="21" t="str">
        <f>[2]底表!EX105</f>
        <v/>
      </c>
      <c r="DL105" s="21">
        <f>[2]底表!EY105</f>
        <v>100</v>
      </c>
      <c r="DM105" s="21">
        <f>[2]底表!EZ105</f>
        <v>100</v>
      </c>
      <c r="DN105" s="21" t="str">
        <f>[2]底表!FA105</f>
        <v/>
      </c>
      <c r="DO105" s="21">
        <f>[2]底表!BQ105</f>
        <v>2</v>
      </c>
      <c r="DP105" s="21">
        <f>[2]底表!BR105</f>
        <v>0</v>
      </c>
      <c r="DQ105" s="24" t="str">
        <f>[2]底表!BS105</f>
        <v>多2起</v>
      </c>
    </row>
    <row r="106" s="2" customFormat="1" ht="32" hidden="1" customHeight="1" spans="1:121">
      <c r="A106" s="27" t="str">
        <f>[2]底表!A106</f>
        <v>电诈</v>
      </c>
      <c r="B106" s="28" t="str">
        <f>[2]底表!B106</f>
        <v>新兴县</v>
      </c>
      <c r="C106" s="21">
        <f>[2]底表!AM106</f>
        <v>4</v>
      </c>
      <c r="D106" s="21">
        <f>[2]底表!AN106</f>
        <v>4</v>
      </c>
      <c r="E106" s="23">
        <f>[2]底表!AO106</f>
        <v>0</v>
      </c>
      <c r="F106" s="21">
        <f>[2]底表!AP106</f>
        <v>25</v>
      </c>
      <c r="G106" s="21">
        <f>[2]底表!AQ106</f>
        <v>-0.84</v>
      </c>
      <c r="H106" s="21">
        <f>[2]底表!AR106</f>
        <v>0.1481</v>
      </c>
      <c r="I106" s="21">
        <f>[2]底表!AS106</f>
        <v>0.0231</v>
      </c>
      <c r="J106" s="21">
        <f>[2]底表!AT106</f>
        <v>23</v>
      </c>
      <c r="K106" s="21">
        <f>[2]底表!AU106</f>
        <v>16</v>
      </c>
      <c r="L106" s="21">
        <f>[2]底表!AV106</f>
        <v>0.4375</v>
      </c>
      <c r="M106" s="21">
        <f>[2]底表!AW106</f>
        <v>21</v>
      </c>
      <c r="N106" s="21">
        <f>[2]底表!AX106</f>
        <v>0.0952</v>
      </c>
      <c r="O106" s="21">
        <f>[2]底表!AY106</f>
        <v>0</v>
      </c>
      <c r="P106" s="21">
        <f>[2]底表!AZ106</f>
        <v>1</v>
      </c>
      <c r="Q106" s="21" t="str">
        <f>[2]底表!BA106</f>
        <v>少1起</v>
      </c>
      <c r="R106" s="21">
        <f>[2]底表!BB106</f>
        <v>16</v>
      </c>
      <c r="S106" s="21" t="str">
        <f>[2]底表!BC106</f>
        <v>少16起</v>
      </c>
      <c r="T106" s="21">
        <f>[2]底表!BD106</f>
        <v>0</v>
      </c>
      <c r="U106" s="21">
        <f>[2]底表!BE106</f>
        <v>-0.0625</v>
      </c>
      <c r="V106" s="21">
        <f>[2]底表!BF106</f>
        <v>4</v>
      </c>
      <c r="W106" s="21">
        <f>[2]底表!BG106</f>
        <v>16</v>
      </c>
      <c r="X106" s="21">
        <f>[2]底表!BH106</f>
        <v>-0.75</v>
      </c>
      <c r="Y106" s="21">
        <f>[2]底表!BI106</f>
        <v>0</v>
      </c>
      <c r="Z106" s="21" t="str">
        <f>[2]底表!BJ106</f>
        <v>多4起</v>
      </c>
      <c r="AA106" s="21">
        <f>[2]底表!BK106</f>
        <v>0.1481</v>
      </c>
      <c r="AB106" s="21">
        <f>[2]底表!BL106</f>
        <v>4</v>
      </c>
      <c r="AC106" s="21">
        <f>[2]底表!BM106</f>
        <v>3</v>
      </c>
      <c r="AD106" s="21">
        <f>[2]底表!BN106</f>
        <v>0.3333</v>
      </c>
      <c r="AE106" s="21">
        <f>[2]底表!BO106</f>
        <v>9</v>
      </c>
      <c r="AF106" s="21">
        <f>[2]底表!BP106</f>
        <v>-0.5556</v>
      </c>
      <c r="AG106" s="21">
        <f>[2]底表!BT106</f>
        <v>3</v>
      </c>
      <c r="AH106" s="21">
        <f>[2]底表!BU106</f>
        <v>-0.6667</v>
      </c>
      <c r="AI106" s="21">
        <f>[2]底表!BV106</f>
        <v>0.037</v>
      </c>
      <c r="AJ106" s="21">
        <f>[2]底表!BW106</f>
        <v>-0.0567</v>
      </c>
      <c r="AK106" s="21">
        <f>[2]底表!BX106</f>
        <v>0.0435</v>
      </c>
      <c r="AL106" s="21">
        <f>[2]底表!BY106</f>
        <v>-0.144</v>
      </c>
      <c r="AM106" s="21">
        <f>[2]底表!BZ106</f>
        <v>0</v>
      </c>
      <c r="AN106" s="21">
        <f>[2]底表!CA106</f>
        <v>0</v>
      </c>
      <c r="AO106" s="21" t="str">
        <f>[2]底表!CB106</f>
        <v>持平</v>
      </c>
      <c r="AP106" s="21">
        <f>[2]底表!CC106</f>
        <v>0</v>
      </c>
      <c r="AQ106" s="21" t="str">
        <f>[2]底表!CD106</f>
        <v>持平</v>
      </c>
      <c r="AR106" s="21" t="str">
        <f>[2]底表!CE106</f>
        <v/>
      </c>
      <c r="AS106" s="21" t="str">
        <f>[2]底表!CF106</f>
        <v/>
      </c>
      <c r="AT106" s="21">
        <f>[2]底表!CG106</f>
        <v>2</v>
      </c>
      <c r="AU106" s="21">
        <f>[2]底表!CH106</f>
        <v>24</v>
      </c>
      <c r="AV106" s="21">
        <f>[2]底表!CI106</f>
        <v>-0.9167</v>
      </c>
      <c r="AW106" s="21">
        <f>[2]底表!CJ106</f>
        <v>2</v>
      </c>
      <c r="AX106" s="21">
        <f>[2]底表!CK106</f>
        <v>0</v>
      </c>
      <c r="AY106" s="21">
        <f>[2]底表!CL106</f>
        <v>7</v>
      </c>
      <c r="AZ106" s="21">
        <f>[2]底表!CM106</f>
        <v>-68</v>
      </c>
      <c r="BA106" s="21">
        <f>[2]底表!CN106</f>
        <v>-0.9012</v>
      </c>
      <c r="BB106" s="21">
        <f>[2]底表!CO106</f>
        <v>8</v>
      </c>
      <c r="BC106" s="21">
        <f>[2]底表!CP106</f>
        <v>28</v>
      </c>
      <c r="BD106" s="21">
        <f>[2]底表!CQ106</f>
        <v>-0.7143</v>
      </c>
      <c r="BE106" s="21">
        <f>[2]底表!CR106</f>
        <v>2</v>
      </c>
      <c r="BF106" s="21">
        <f>[2]底表!CS106</f>
        <v>3</v>
      </c>
      <c r="BG106" s="21">
        <f>[2]底表!CT106</f>
        <v>4</v>
      </c>
      <c r="BH106" s="21">
        <f>[2]底表!CU106</f>
        <v>2.8333</v>
      </c>
      <c r="BI106" s="21">
        <f>[2]底表!CV106</f>
        <v>30</v>
      </c>
      <c r="BJ106" s="21">
        <f>[2]底表!CW106</f>
        <v>-58</v>
      </c>
      <c r="BK106" s="21">
        <f>[2]底表!CX106</f>
        <v>-0.6614</v>
      </c>
      <c r="BL106" s="21">
        <f>[2]底表!CY106</f>
        <v>9</v>
      </c>
      <c r="BM106" s="21">
        <f>[2]底表!CZ106</f>
        <v>29</v>
      </c>
      <c r="BN106" s="23">
        <f>[2]底表!DA106</f>
        <v>-0.6897</v>
      </c>
      <c r="BO106" s="21">
        <f>[2]底表!DB106</f>
        <v>2</v>
      </c>
      <c r="BP106" s="21">
        <f>[2]底表!DC106</f>
        <v>3.5</v>
      </c>
      <c r="BQ106" s="21">
        <f>[2]底表!DD106</f>
        <v>4.5</v>
      </c>
      <c r="BR106" s="21">
        <f>[2]底表!DE106</f>
        <v>3.2917</v>
      </c>
      <c r="BS106" s="21">
        <f>[2]底表!DF106</f>
        <v>33</v>
      </c>
      <c r="BT106" s="21">
        <f>[2]底表!DG106</f>
        <v>-57</v>
      </c>
      <c r="BU106" s="21">
        <f>[2]底表!DH106</f>
        <v>-0.6322</v>
      </c>
      <c r="BV106" s="21">
        <f>[2]底表!DI106</f>
        <v>0</v>
      </c>
      <c r="BW106" s="21">
        <f>[2]底表!DJ106</f>
        <v>0</v>
      </c>
      <c r="BX106" s="23" t="str">
        <f>[2]底表!DK106</f>
        <v>持平</v>
      </c>
      <c r="BY106" s="21">
        <f>[2]底表!DL106</f>
        <v>0</v>
      </c>
      <c r="BZ106" s="21" t="str">
        <f>[2]底表!DM106</f>
        <v>持平</v>
      </c>
      <c r="CA106" s="21">
        <f>[2]底表!DN106</f>
        <v>2</v>
      </c>
      <c r="CB106" s="21">
        <f>[2]底表!DO106</f>
        <v>3</v>
      </c>
      <c r="CC106" s="21">
        <f>[2]底表!DP106</f>
        <v>-0.3333</v>
      </c>
      <c r="CD106" s="21">
        <f>[2]底表!DQ106</f>
        <v>5</v>
      </c>
      <c r="CE106" s="21">
        <f>[2]底表!DR106</f>
        <v>-0.6</v>
      </c>
      <c r="CF106" s="21">
        <f>[2]底表!DS106</f>
        <v>2</v>
      </c>
      <c r="CG106" s="21">
        <f>[2]底表!DT106</f>
        <v>3</v>
      </c>
      <c r="CH106" s="21">
        <f>[2]底表!DU106</f>
        <v>-0.3333</v>
      </c>
      <c r="CI106" s="21">
        <f>[2]底表!DV106</f>
        <v>5</v>
      </c>
      <c r="CJ106" s="21">
        <f>[2]底表!DW106</f>
        <v>-0.6</v>
      </c>
      <c r="CK106" s="21">
        <f>[2]底表!DX106</f>
        <v>3</v>
      </c>
      <c r="CL106" s="21">
        <f>[2]底表!DY106</f>
        <v>2</v>
      </c>
      <c r="CM106" s="21">
        <f>[2]底表!DZ106</f>
        <v>0.5</v>
      </c>
      <c r="CN106" s="21">
        <f>[2]底表!EA106</f>
        <v>2</v>
      </c>
      <c r="CO106" s="21">
        <f>[2]底表!EB106</f>
        <v>0.5</v>
      </c>
      <c r="CP106" s="21">
        <f>[2]底表!EC106</f>
        <v>1</v>
      </c>
      <c r="CQ106" s="21">
        <f>[2]底表!ED106</f>
        <v>2</v>
      </c>
      <c r="CR106" s="21">
        <f>[2]底表!EE106</f>
        <v>-0.5</v>
      </c>
      <c r="CS106" s="21">
        <f>[2]底表!EF106</f>
        <v>3</v>
      </c>
      <c r="CT106" s="21">
        <f>[2]底表!EG106</f>
        <v>-0.6667</v>
      </c>
      <c r="CU106" s="21">
        <f>[2]底表!EH106</f>
        <v>0.125</v>
      </c>
      <c r="CV106" s="21">
        <f>[2]底表!EI106</f>
        <v>0.0536</v>
      </c>
      <c r="CW106" s="21">
        <f>[2]底表!EJ106</f>
        <v>4</v>
      </c>
      <c r="CX106" s="21">
        <f>[2]底表!EK106</f>
        <v>-3</v>
      </c>
      <c r="CY106" s="21">
        <f>[2]底表!EL106</f>
        <v>-0.4074</v>
      </c>
      <c r="CZ106" s="21">
        <f>[2]底表!EM106</f>
        <v>1</v>
      </c>
      <c r="DA106" s="21">
        <f>[2]底表!EN106</f>
        <v>2</v>
      </c>
      <c r="DB106" s="21">
        <f>[2]底表!EO106</f>
        <v>-0.5</v>
      </c>
      <c r="DC106" s="21">
        <f>[2]底表!EP106</f>
        <v>3</v>
      </c>
      <c r="DD106" s="21">
        <f>[2]底表!EQ106</f>
        <v>-0.6667</v>
      </c>
      <c r="DE106" s="21">
        <f>[2]底表!ER106</f>
        <v>2</v>
      </c>
      <c r="DF106" s="21">
        <f>[2]底表!ES106</f>
        <v>3</v>
      </c>
      <c r="DG106" s="23">
        <f>[2]底表!ET106</f>
        <v>-0.3333</v>
      </c>
      <c r="DH106" s="21">
        <f>[2]底表!EU106</f>
        <v>6</v>
      </c>
      <c r="DI106" s="21">
        <f>[2]底表!EV106</f>
        <v>-0.6667</v>
      </c>
      <c r="DJ106" s="21">
        <f>[2]底表!EW106</f>
        <v>0.25</v>
      </c>
      <c r="DK106" s="21">
        <f>[2]底表!EX106</f>
        <v>0.1429</v>
      </c>
      <c r="DL106" s="21">
        <f>[2]底表!EY106</f>
        <v>7</v>
      </c>
      <c r="DM106" s="21">
        <f>[2]底表!EZ106</f>
        <v>-2</v>
      </c>
      <c r="DN106" s="21">
        <f>[2]底表!FA106</f>
        <v>-0.2099</v>
      </c>
      <c r="DO106" s="21">
        <f>[2]底表!BQ106</f>
        <v>1</v>
      </c>
      <c r="DP106" s="21">
        <f>[2]底表!BR106</f>
        <v>3</v>
      </c>
      <c r="DQ106" s="24">
        <f>[2]底表!BS106</f>
        <v>-0.6667</v>
      </c>
    </row>
    <row r="107" s="2" customFormat="1" ht="32" hidden="1" customHeight="1" spans="1:121">
      <c r="A107" s="27" t="str">
        <f>[2]底表!A107</f>
        <v>电诈</v>
      </c>
      <c r="B107" s="28" t="str">
        <f>[2]底表!B107</f>
        <v>郁南县</v>
      </c>
      <c r="C107" s="21">
        <f>[2]底表!AM107</f>
        <v>0</v>
      </c>
      <c r="D107" s="21">
        <f>[2]底表!AN107</f>
        <v>1</v>
      </c>
      <c r="E107" s="23" t="str">
        <f>[2]底表!AO107</f>
        <v>少1起</v>
      </c>
      <c r="F107" s="21">
        <f>[2]底表!AP107</f>
        <v>3</v>
      </c>
      <c r="G107" s="21" t="str">
        <f>[2]底表!AQ107</f>
        <v>少3起</v>
      </c>
      <c r="H107" s="21">
        <f>[2]底表!AR107</f>
        <v>0</v>
      </c>
      <c r="I107" s="21">
        <f>[2]底表!AS107</f>
        <v>-0.125</v>
      </c>
      <c r="J107" s="21">
        <f>[2]底表!AT107</f>
        <v>3</v>
      </c>
      <c r="K107" s="21">
        <f>[2]底表!AU107</f>
        <v>6</v>
      </c>
      <c r="L107" s="21">
        <f>[2]底表!AV107</f>
        <v>-0.5</v>
      </c>
      <c r="M107" s="21">
        <f>[2]底表!AW107</f>
        <v>6</v>
      </c>
      <c r="N107" s="21">
        <f>[2]底表!AX107</f>
        <v>-0.5</v>
      </c>
      <c r="O107" s="21">
        <f>[2]底表!AY107</f>
        <v>0</v>
      </c>
      <c r="P107" s="21">
        <f>[2]底表!AZ107</f>
        <v>0</v>
      </c>
      <c r="Q107" s="21" t="str">
        <f>[2]底表!BA107</f>
        <v>持平</v>
      </c>
      <c r="R107" s="21">
        <f>[2]底表!BB107</f>
        <v>1</v>
      </c>
      <c r="S107" s="21" t="str">
        <f>[2]底表!BC107</f>
        <v>少1起</v>
      </c>
      <c r="T107" s="21">
        <f>[2]底表!BD107</f>
        <v>0</v>
      </c>
      <c r="U107" s="21">
        <f>[2]底表!BE107</f>
        <v>0</v>
      </c>
      <c r="V107" s="21">
        <f>[2]底表!BF107</f>
        <v>1</v>
      </c>
      <c r="W107" s="21">
        <f>[2]底表!BG107</f>
        <v>2</v>
      </c>
      <c r="X107" s="21">
        <f>[2]底表!BH107</f>
        <v>-0.5</v>
      </c>
      <c r="Y107" s="21">
        <f>[2]底表!BI107</f>
        <v>0</v>
      </c>
      <c r="Z107" s="21" t="str">
        <f>[2]底表!BJ107</f>
        <v>多1起</v>
      </c>
      <c r="AA107" s="21">
        <f>[2]底表!BK107</f>
        <v>0.25</v>
      </c>
      <c r="AB107" s="21">
        <f>[2]底表!BL107</f>
        <v>0</v>
      </c>
      <c r="AC107" s="21">
        <f>[2]底表!BM107</f>
        <v>1</v>
      </c>
      <c r="AD107" s="21" t="str">
        <f>[2]底表!BN107</f>
        <v>少1起</v>
      </c>
      <c r="AE107" s="21">
        <f>[2]底表!BO107</f>
        <v>2</v>
      </c>
      <c r="AF107" s="21" t="str">
        <f>[2]底表!BP107</f>
        <v>少2起</v>
      </c>
      <c r="AG107" s="21">
        <f>[2]底表!BT107</f>
        <v>0</v>
      </c>
      <c r="AH107" s="21" t="str">
        <f>[2]底表!BU107</f>
        <v>持平</v>
      </c>
      <c r="AI107" s="21">
        <f>[2]底表!BV107</f>
        <v>0</v>
      </c>
      <c r="AJ107" s="21">
        <f>[2]底表!BW107</f>
        <v>0</v>
      </c>
      <c r="AK107" s="21">
        <f>[2]底表!BX107</f>
        <v>0</v>
      </c>
      <c r="AL107" s="21">
        <f>[2]底表!BY107</f>
        <v>0</v>
      </c>
      <c r="AM107" s="21">
        <f>[2]底表!BZ107</f>
        <v>0</v>
      </c>
      <c r="AN107" s="21">
        <f>[2]底表!CA107</f>
        <v>0</v>
      </c>
      <c r="AO107" s="21" t="str">
        <f>[2]底表!CB107</f>
        <v>持平</v>
      </c>
      <c r="AP107" s="21">
        <f>[2]底表!CC107</f>
        <v>0</v>
      </c>
      <c r="AQ107" s="21" t="str">
        <f>[2]底表!CD107</f>
        <v>持平</v>
      </c>
      <c r="AR107" s="21" t="str">
        <f>[2]底表!CE107</f>
        <v/>
      </c>
      <c r="AS107" s="21" t="str">
        <f>[2]底表!CF107</f>
        <v/>
      </c>
      <c r="AT107" s="21">
        <f>[2]底表!CG107</f>
        <v>0</v>
      </c>
      <c r="AU107" s="21">
        <f>[2]底表!CH107</f>
        <v>0</v>
      </c>
      <c r="AV107" s="21" t="str">
        <f>[2]底表!CI107</f>
        <v>持平</v>
      </c>
      <c r="AW107" s="21">
        <f>[2]底表!CJ107</f>
        <v>1</v>
      </c>
      <c r="AX107" s="21" t="str">
        <f>[2]底表!CK107</f>
        <v>少1人</v>
      </c>
      <c r="AY107" s="21">
        <f>[2]底表!CL107</f>
        <v>0</v>
      </c>
      <c r="AZ107" s="21">
        <f>[2]底表!CM107</f>
        <v>0</v>
      </c>
      <c r="BA107" s="21" t="str">
        <f>[2]底表!CN107</f>
        <v/>
      </c>
      <c r="BB107" s="21">
        <f>[2]底表!CO107</f>
        <v>0</v>
      </c>
      <c r="BC107" s="21">
        <f>[2]底表!CP107</f>
        <v>1</v>
      </c>
      <c r="BD107" s="21" t="str">
        <f>[2]底表!CQ107</f>
        <v>少1人</v>
      </c>
      <c r="BE107" s="21">
        <f>[2]底表!CR107</f>
        <v>0</v>
      </c>
      <c r="BF107" s="21" t="str">
        <f>[2]底表!CS107</f>
        <v>持平</v>
      </c>
      <c r="BG107" s="21" t="str">
        <f>[2]底表!CT107</f>
        <v/>
      </c>
      <c r="BH107" s="21" t="str">
        <f>[2]底表!CU107</f>
        <v/>
      </c>
      <c r="BI107" s="21">
        <f>[2]底表!CV107</f>
        <v>0</v>
      </c>
      <c r="BJ107" s="21">
        <f>[2]底表!CW107</f>
        <v>-13</v>
      </c>
      <c r="BK107" s="21">
        <f>[2]底表!CX107</f>
        <v>-1</v>
      </c>
      <c r="BL107" s="21">
        <f>[2]底表!CY107</f>
        <v>0</v>
      </c>
      <c r="BM107" s="21">
        <f>[2]底表!CZ107</f>
        <v>1</v>
      </c>
      <c r="BN107" s="23" t="str">
        <f>[2]底表!DA107</f>
        <v>少1人</v>
      </c>
      <c r="BO107" s="21">
        <f>[2]底表!DB107</f>
        <v>0</v>
      </c>
      <c r="BP107" s="21" t="str">
        <f>[2]底表!DC107</f>
        <v>持平</v>
      </c>
      <c r="BQ107" s="21" t="str">
        <f>[2]底表!DD107</f>
        <v/>
      </c>
      <c r="BR107" s="21" t="str">
        <f>[2]底表!DE107</f>
        <v/>
      </c>
      <c r="BS107" s="21">
        <f>[2]底表!DF107</f>
        <v>0</v>
      </c>
      <c r="BT107" s="21">
        <f>[2]底表!DG107</f>
        <v>-13</v>
      </c>
      <c r="BU107" s="21">
        <f>[2]底表!DH107</f>
        <v>-1</v>
      </c>
      <c r="BV107" s="21">
        <f>[2]底表!DI107</f>
        <v>0</v>
      </c>
      <c r="BW107" s="21">
        <f>[2]底表!DJ107</f>
        <v>0</v>
      </c>
      <c r="BX107" s="23" t="str">
        <f>[2]底表!DK107</f>
        <v>持平</v>
      </c>
      <c r="BY107" s="21">
        <f>[2]底表!DL107</f>
        <v>0</v>
      </c>
      <c r="BZ107" s="21" t="str">
        <f>[2]底表!DM107</f>
        <v>持平</v>
      </c>
      <c r="CA107" s="21">
        <f>[2]底表!DN107</f>
        <v>0</v>
      </c>
      <c r="CB107" s="21">
        <f>[2]底表!DO107</f>
        <v>4</v>
      </c>
      <c r="CC107" s="21" t="str">
        <f>[2]底表!DP107</f>
        <v>少4人</v>
      </c>
      <c r="CD107" s="21">
        <f>[2]底表!DQ107</f>
        <v>4</v>
      </c>
      <c r="CE107" s="21" t="str">
        <f>[2]底表!DR107</f>
        <v>少4人</v>
      </c>
      <c r="CF107" s="21">
        <f>[2]底表!DS107</f>
        <v>0</v>
      </c>
      <c r="CG107" s="21">
        <f>[2]底表!DT107</f>
        <v>4</v>
      </c>
      <c r="CH107" s="21" t="str">
        <f>[2]底表!DU107</f>
        <v>少4人</v>
      </c>
      <c r="CI107" s="21">
        <f>[2]底表!DV107</f>
        <v>4</v>
      </c>
      <c r="CJ107" s="21" t="str">
        <f>[2]底表!DW107</f>
        <v>少4人</v>
      </c>
      <c r="CK107" s="21">
        <f>[2]底表!DX107</f>
        <v>0</v>
      </c>
      <c r="CL107" s="21">
        <f>[2]底表!DY107</f>
        <v>0</v>
      </c>
      <c r="CM107" s="21" t="str">
        <f>[2]底表!DZ107</f>
        <v>持平</v>
      </c>
      <c r="CN107" s="21">
        <f>[2]底表!EA107</f>
        <v>3</v>
      </c>
      <c r="CO107" s="21" t="str">
        <f>[2]底表!EB107</f>
        <v>少3人</v>
      </c>
      <c r="CP107" s="21">
        <f>[2]底表!EC107</f>
        <v>0</v>
      </c>
      <c r="CQ107" s="21">
        <f>[2]底表!ED107</f>
        <v>0</v>
      </c>
      <c r="CR107" s="21" t="str">
        <f>[2]底表!EE107</f>
        <v>持平</v>
      </c>
      <c r="CS107" s="21">
        <f>[2]底表!EF107</f>
        <v>1</v>
      </c>
      <c r="CT107" s="21" t="str">
        <f>[2]底表!EG107</f>
        <v>少1人</v>
      </c>
      <c r="CU107" s="21" t="str">
        <f>[2]底表!EH107</f>
        <v/>
      </c>
      <c r="CV107" s="21" t="str">
        <f>[2]底表!EI107</f>
        <v/>
      </c>
      <c r="CW107" s="21">
        <f>[2]底表!EJ107</f>
        <v>0</v>
      </c>
      <c r="CX107" s="21">
        <f>[2]底表!EK107</f>
        <v>0</v>
      </c>
      <c r="CY107" s="21" t="str">
        <f>[2]底表!EL107</f>
        <v/>
      </c>
      <c r="CZ107" s="21">
        <f>[2]底表!EM107</f>
        <v>0</v>
      </c>
      <c r="DA107" s="21">
        <f>[2]底表!EN107</f>
        <v>0</v>
      </c>
      <c r="DB107" s="21" t="str">
        <f>[2]底表!EO107</f>
        <v>持平</v>
      </c>
      <c r="DC107" s="21">
        <f>[2]底表!EP107</f>
        <v>1</v>
      </c>
      <c r="DD107" s="21" t="str">
        <f>[2]底表!EQ107</f>
        <v>少1人</v>
      </c>
      <c r="DE107" s="21">
        <f>[2]底表!ER107</f>
        <v>0</v>
      </c>
      <c r="DF107" s="21">
        <f>[2]底表!ES107</f>
        <v>0</v>
      </c>
      <c r="DG107" s="23" t="str">
        <f>[2]底表!ET107</f>
        <v>持平</v>
      </c>
      <c r="DH107" s="21">
        <f>[2]底表!EU107</f>
        <v>0</v>
      </c>
      <c r="DI107" s="21" t="str">
        <f>[2]底表!EV107</f>
        <v>持平</v>
      </c>
      <c r="DJ107" s="21" t="str">
        <f>[2]底表!EW107</f>
        <v/>
      </c>
      <c r="DK107" s="21" t="str">
        <f>[2]底表!EX107</f>
        <v/>
      </c>
      <c r="DL107" s="21">
        <f>[2]底表!EY107</f>
        <v>0</v>
      </c>
      <c r="DM107" s="21">
        <f>[2]底表!EZ107</f>
        <v>0</v>
      </c>
      <c r="DN107" s="21" t="str">
        <f>[2]底表!FA107</f>
        <v/>
      </c>
      <c r="DO107" s="21">
        <f>[2]底表!BQ107</f>
        <v>0</v>
      </c>
      <c r="DP107" s="21">
        <f>[2]底表!BR107</f>
        <v>0</v>
      </c>
      <c r="DQ107" s="24" t="str">
        <f>[2]底表!BS107</f>
        <v>持平</v>
      </c>
    </row>
    <row r="108" s="2" customFormat="1" ht="32" hidden="1" customHeight="1" spans="1:121">
      <c r="A108" s="27" t="str">
        <f>[2]底表!A108</f>
        <v>电诈</v>
      </c>
      <c r="B108" s="28" t="str">
        <f>[2]底表!B108</f>
        <v>罗定市</v>
      </c>
      <c r="C108" s="21">
        <f>[2]底表!AM108</f>
        <v>9</v>
      </c>
      <c r="D108" s="21">
        <f>[2]底表!AN108</f>
        <v>1</v>
      </c>
      <c r="E108" s="23">
        <f>[2]底表!AO108</f>
        <v>8</v>
      </c>
      <c r="F108" s="21">
        <f>[2]底表!AP108</f>
        <v>15</v>
      </c>
      <c r="G108" s="21">
        <f>[2]底表!AQ108</f>
        <v>-0.4</v>
      </c>
      <c r="H108" s="21">
        <f>[2]底表!AR108</f>
        <v>0.4091</v>
      </c>
      <c r="I108" s="21">
        <f>[2]底表!AS108</f>
        <v>0.3788</v>
      </c>
      <c r="J108" s="21">
        <f>[2]底表!AT108</f>
        <v>10</v>
      </c>
      <c r="K108" s="21">
        <f>[2]底表!AU108</f>
        <v>17</v>
      </c>
      <c r="L108" s="21">
        <f>[2]底表!AV108</f>
        <v>-0.4118</v>
      </c>
      <c r="M108" s="21">
        <f>[2]底表!AW108</f>
        <v>17</v>
      </c>
      <c r="N108" s="21">
        <f>[2]底表!AX108</f>
        <v>-0.4118</v>
      </c>
      <c r="O108" s="21">
        <f>[2]底表!AY108</f>
        <v>0</v>
      </c>
      <c r="P108" s="21">
        <f>[2]底表!AZ108</f>
        <v>1</v>
      </c>
      <c r="Q108" s="21" t="str">
        <f>[2]底表!BA108</f>
        <v>少1起</v>
      </c>
      <c r="R108" s="21">
        <f>[2]底表!BB108</f>
        <v>9</v>
      </c>
      <c r="S108" s="21" t="str">
        <f>[2]底表!BC108</f>
        <v>少9起</v>
      </c>
      <c r="T108" s="21">
        <f>[2]底表!BD108</f>
        <v>0</v>
      </c>
      <c r="U108" s="21">
        <f>[2]底表!BE108</f>
        <v>-0.0588</v>
      </c>
      <c r="V108" s="21">
        <f>[2]底表!BF108</f>
        <v>12</v>
      </c>
      <c r="W108" s="21">
        <f>[2]底表!BG108</f>
        <v>16</v>
      </c>
      <c r="X108" s="21">
        <f>[2]底表!BH108</f>
        <v>-0.25</v>
      </c>
      <c r="Y108" s="21">
        <f>[2]底表!BI108</f>
        <v>0</v>
      </c>
      <c r="Z108" s="21" t="str">
        <f>[2]底表!BJ108</f>
        <v>多12起</v>
      </c>
      <c r="AA108" s="21">
        <f>[2]底表!BK108</f>
        <v>0.5455</v>
      </c>
      <c r="AB108" s="21">
        <f>[2]底表!BL108</f>
        <v>9</v>
      </c>
      <c r="AC108" s="21">
        <f>[2]底表!BM108</f>
        <v>0</v>
      </c>
      <c r="AD108" s="21" t="str">
        <f>[2]底表!BN108</f>
        <v>多9起</v>
      </c>
      <c r="AE108" s="21">
        <f>[2]底表!BO108</f>
        <v>6</v>
      </c>
      <c r="AF108" s="21">
        <f>[2]底表!BP108</f>
        <v>0.5</v>
      </c>
      <c r="AG108" s="21">
        <f>[2]底表!BT108</f>
        <v>3</v>
      </c>
      <c r="AH108" s="21" t="str">
        <f>[2]底表!BU108</f>
        <v>少3起</v>
      </c>
      <c r="AI108" s="21">
        <f>[2]底表!BV108</f>
        <v>0</v>
      </c>
      <c r="AJ108" s="21">
        <f>[2]底表!BW108</f>
        <v>-0.0909</v>
      </c>
      <c r="AK108" s="21">
        <f>[2]底表!BX108</f>
        <v>0</v>
      </c>
      <c r="AL108" s="21">
        <f>[2]底表!BY108</f>
        <v>-0.1765</v>
      </c>
      <c r="AM108" s="21">
        <f>[2]底表!BZ108</f>
        <v>0</v>
      </c>
      <c r="AN108" s="21">
        <f>[2]底表!CA108</f>
        <v>0</v>
      </c>
      <c r="AO108" s="21" t="str">
        <f>[2]底表!CB108</f>
        <v>持平</v>
      </c>
      <c r="AP108" s="21">
        <f>[2]底表!CC108</f>
        <v>0</v>
      </c>
      <c r="AQ108" s="21" t="str">
        <f>[2]底表!CD108</f>
        <v>持平</v>
      </c>
      <c r="AR108" s="21" t="str">
        <f>[2]底表!CE108</f>
        <v/>
      </c>
      <c r="AS108" s="21" t="str">
        <f>[2]底表!CF108</f>
        <v/>
      </c>
      <c r="AT108" s="21">
        <f>[2]底表!CG108</f>
        <v>2</v>
      </c>
      <c r="AU108" s="21">
        <f>[2]底表!CH108</f>
        <v>37</v>
      </c>
      <c r="AV108" s="21">
        <f>[2]底表!CI108</f>
        <v>-0.9459</v>
      </c>
      <c r="AW108" s="21">
        <f>[2]底表!CJ108</f>
        <v>20</v>
      </c>
      <c r="AX108" s="21">
        <f>[2]底表!CK108</f>
        <v>-0.9</v>
      </c>
      <c r="AY108" s="21">
        <f>[2]底表!CL108</f>
        <v>9</v>
      </c>
      <c r="AZ108" s="21">
        <f>[2]底表!CM108</f>
        <v>-103</v>
      </c>
      <c r="BA108" s="21">
        <f>[2]底表!CN108</f>
        <v>-0.9189</v>
      </c>
      <c r="BB108" s="21">
        <f>[2]底表!CO108</f>
        <v>0</v>
      </c>
      <c r="BC108" s="21">
        <f>[2]底表!CP108</f>
        <v>21</v>
      </c>
      <c r="BD108" s="21" t="str">
        <f>[2]底表!CQ108</f>
        <v>少21人</v>
      </c>
      <c r="BE108" s="21">
        <f>[2]底表!CR108</f>
        <v>2</v>
      </c>
      <c r="BF108" s="21" t="str">
        <f>[2]底表!CS108</f>
        <v>少2人</v>
      </c>
      <c r="BG108" s="21">
        <f>[2]底表!CT108</f>
        <v>0</v>
      </c>
      <c r="BH108" s="21">
        <f>[2]底表!CU108</f>
        <v>-0.5676</v>
      </c>
      <c r="BI108" s="21">
        <f>[2]底表!CV108</f>
        <v>0</v>
      </c>
      <c r="BJ108" s="21">
        <f>[2]底表!CW108</f>
        <v>-64</v>
      </c>
      <c r="BK108" s="21">
        <f>[2]底表!CX108</f>
        <v>-1</v>
      </c>
      <c r="BL108" s="21">
        <f>[2]底表!CY108</f>
        <v>1</v>
      </c>
      <c r="BM108" s="21">
        <f>[2]底表!CZ108</f>
        <v>32</v>
      </c>
      <c r="BN108" s="23">
        <f>[2]底表!DA108</f>
        <v>-0.9688</v>
      </c>
      <c r="BO108" s="21">
        <f>[2]底表!DB108</f>
        <v>3</v>
      </c>
      <c r="BP108" s="21">
        <f>[2]底表!DC108</f>
        <v>-0.6667</v>
      </c>
      <c r="BQ108" s="21">
        <f>[2]底表!DD108</f>
        <v>0.5</v>
      </c>
      <c r="BR108" s="21">
        <f>[2]底表!DE108</f>
        <v>-0.3649</v>
      </c>
      <c r="BS108" s="21">
        <f>[2]底表!DF108</f>
        <v>5</v>
      </c>
      <c r="BT108" s="21">
        <f>[2]底表!DG108</f>
        <v>-92</v>
      </c>
      <c r="BU108" s="21">
        <f>[2]底表!DH108</f>
        <v>-0.9531</v>
      </c>
      <c r="BV108" s="21">
        <f>[2]底表!DI108</f>
        <v>0</v>
      </c>
      <c r="BW108" s="21">
        <f>[2]底表!DJ108</f>
        <v>0</v>
      </c>
      <c r="BX108" s="23" t="str">
        <f>[2]底表!DK108</f>
        <v>持平</v>
      </c>
      <c r="BY108" s="21">
        <f>[2]底表!DL108</f>
        <v>0</v>
      </c>
      <c r="BZ108" s="21" t="str">
        <f>[2]底表!DM108</f>
        <v>持平</v>
      </c>
      <c r="CA108" s="21">
        <f>[2]底表!DN108</f>
        <v>4</v>
      </c>
      <c r="CB108" s="21">
        <f>[2]底表!DO108</f>
        <v>11</v>
      </c>
      <c r="CC108" s="21">
        <f>[2]底表!DP108</f>
        <v>-0.6364</v>
      </c>
      <c r="CD108" s="21">
        <f>[2]底表!DQ108</f>
        <v>1</v>
      </c>
      <c r="CE108" s="21">
        <f>[2]底表!DR108</f>
        <v>3</v>
      </c>
      <c r="CF108" s="21">
        <f>[2]底表!DS108</f>
        <v>4</v>
      </c>
      <c r="CG108" s="21">
        <f>[2]底表!DT108</f>
        <v>11</v>
      </c>
      <c r="CH108" s="21">
        <f>[2]底表!DU108</f>
        <v>-0.6364</v>
      </c>
      <c r="CI108" s="21">
        <f>[2]底表!DV108</f>
        <v>1</v>
      </c>
      <c r="CJ108" s="21">
        <f>[2]底表!DW108</f>
        <v>3</v>
      </c>
      <c r="CK108" s="21">
        <f>[2]底表!DX108</f>
        <v>2</v>
      </c>
      <c r="CL108" s="21">
        <f>[2]底表!DY108</f>
        <v>0</v>
      </c>
      <c r="CM108" s="21" t="str">
        <f>[2]底表!DZ108</f>
        <v>多2人</v>
      </c>
      <c r="CN108" s="21">
        <f>[2]底表!EA108</f>
        <v>3</v>
      </c>
      <c r="CO108" s="21">
        <f>[2]底表!EB108</f>
        <v>-0.3333</v>
      </c>
      <c r="CP108" s="21">
        <f>[2]底表!EC108</f>
        <v>0</v>
      </c>
      <c r="CQ108" s="21">
        <f>[2]底表!ED108</f>
        <v>0</v>
      </c>
      <c r="CR108" s="21" t="str">
        <f>[2]底表!EE108</f>
        <v>持平</v>
      </c>
      <c r="CS108" s="21">
        <f>[2]底表!EF108</f>
        <v>3</v>
      </c>
      <c r="CT108" s="21" t="str">
        <f>[2]底表!EG108</f>
        <v>少3人</v>
      </c>
      <c r="CU108" s="21" t="str">
        <f>[2]底表!EH108</f>
        <v/>
      </c>
      <c r="CV108" s="21" t="str">
        <f>[2]底表!EI108</f>
        <v/>
      </c>
      <c r="CW108" s="21">
        <f>[2]底表!EJ108</f>
        <v>0</v>
      </c>
      <c r="CX108" s="21">
        <f>[2]底表!EK108</f>
        <v>0</v>
      </c>
      <c r="CY108" s="21" t="str">
        <f>[2]底表!EL108</f>
        <v/>
      </c>
      <c r="CZ108" s="21">
        <f>[2]底表!EM108</f>
        <v>0</v>
      </c>
      <c r="DA108" s="21">
        <f>[2]底表!EN108</f>
        <v>0</v>
      </c>
      <c r="DB108" s="21" t="str">
        <f>[2]底表!EO108</f>
        <v>持平</v>
      </c>
      <c r="DC108" s="21">
        <f>[2]底表!EP108</f>
        <v>3</v>
      </c>
      <c r="DD108" s="21" t="str">
        <f>[2]底表!EQ108</f>
        <v>少3人</v>
      </c>
      <c r="DE108" s="21">
        <f>[2]底表!ER108</f>
        <v>3</v>
      </c>
      <c r="DF108" s="21">
        <f>[2]底表!ES108</f>
        <v>6</v>
      </c>
      <c r="DG108" s="23">
        <f>[2]底表!ET108</f>
        <v>-0.5</v>
      </c>
      <c r="DH108" s="21">
        <f>[2]底表!EU108</f>
        <v>6</v>
      </c>
      <c r="DI108" s="21">
        <f>[2]底表!EV108</f>
        <v>-0.5</v>
      </c>
      <c r="DJ108" s="21" t="str">
        <f>[2]底表!EW108</f>
        <v/>
      </c>
      <c r="DK108" s="21" t="str">
        <f>[2]底表!EX108</f>
        <v/>
      </c>
      <c r="DL108" s="21">
        <f>[2]底表!EY108</f>
        <v>14</v>
      </c>
      <c r="DM108" s="21">
        <f>[2]底表!EZ108</f>
        <v>-5</v>
      </c>
      <c r="DN108" s="21">
        <f>[2]底表!FA108</f>
        <v>-0.25</v>
      </c>
      <c r="DO108" s="21">
        <f>[2]底表!BQ108</f>
        <v>0</v>
      </c>
      <c r="DP108" s="21">
        <f>[2]底表!BR108</f>
        <v>3</v>
      </c>
      <c r="DQ108" s="24" t="str">
        <f>[2]底表!BS108</f>
        <v>少3起</v>
      </c>
    </row>
    <row r="109" s="2" customFormat="1" ht="32" hidden="1" customHeight="1" spans="1:121">
      <c r="A109" s="27" t="str">
        <f>[2]底表!A109</f>
        <v>扰乱公共秩序</v>
      </c>
      <c r="B109" s="28" t="str">
        <f>[2]底表!B109</f>
        <v>全省</v>
      </c>
      <c r="C109" s="21">
        <f>[2]底表!AM109</f>
        <v>2659</v>
      </c>
      <c r="D109" s="21">
        <f>[2]底表!AN109</f>
        <v>2482</v>
      </c>
      <c r="E109" s="23">
        <f>[2]底表!AO109</f>
        <v>0.0713</v>
      </c>
      <c r="F109" s="21">
        <f>[2]底表!AP109</f>
        <v>6729</v>
      </c>
      <c r="G109" s="21">
        <f>[2]底表!AQ109</f>
        <v>-0.6048</v>
      </c>
      <c r="H109" s="21">
        <f>[2]底表!AR109</f>
        <v>0.6021</v>
      </c>
      <c r="I109" s="21">
        <f>[2]底表!AS109</f>
        <v>0.4068</v>
      </c>
      <c r="J109" s="21">
        <f>[2]底表!AT109</f>
        <v>2879</v>
      </c>
      <c r="K109" s="21">
        <f>[2]底表!AU109</f>
        <v>5189</v>
      </c>
      <c r="L109" s="21">
        <f>[2]底表!AV109</f>
        <v>-0.4452</v>
      </c>
      <c r="M109" s="21">
        <f>[2]底表!AW109</f>
        <v>7435</v>
      </c>
      <c r="N109" s="21">
        <f>[2]底表!AX109</f>
        <v>-0.6128</v>
      </c>
      <c r="O109" s="21">
        <f>[2]底表!AY109</f>
        <v>905</v>
      </c>
      <c r="P109" s="21">
        <f>[2]底表!AZ109</f>
        <v>924</v>
      </c>
      <c r="Q109" s="21">
        <f>[2]底表!BA109</f>
        <v>-0.0206</v>
      </c>
      <c r="R109" s="21">
        <f>[2]底表!BB109</f>
        <v>3151</v>
      </c>
      <c r="S109" s="21">
        <f>[2]底表!BC109</f>
        <v>-0.7128</v>
      </c>
      <c r="T109" s="21">
        <f>[2]底表!BD109</f>
        <v>0.3143</v>
      </c>
      <c r="U109" s="21">
        <f>[2]底表!BE109</f>
        <v>0.1363</v>
      </c>
      <c r="V109" s="21">
        <f>[2]底表!BF109</f>
        <v>1537</v>
      </c>
      <c r="W109" s="21">
        <f>[2]底表!BG109</f>
        <v>7521</v>
      </c>
      <c r="X109" s="21">
        <f>[2]底表!BH109</f>
        <v>-0.7956</v>
      </c>
      <c r="Y109" s="21">
        <f>[2]底表!BI109</f>
        <v>220</v>
      </c>
      <c r="Z109" s="21">
        <f>[2]底表!BJ109</f>
        <v>5.9864</v>
      </c>
      <c r="AA109" s="21">
        <f>[2]底表!BK109</f>
        <v>0.3481</v>
      </c>
      <c r="AB109" s="21">
        <f>[2]底表!BL109</f>
        <v>1754</v>
      </c>
      <c r="AC109" s="21">
        <f>[2]底表!BM109</f>
        <v>1558</v>
      </c>
      <c r="AD109" s="21">
        <f>[2]底表!BN109</f>
        <v>0.1258</v>
      </c>
      <c r="AE109" s="21">
        <f>[2]底表!BO109</f>
        <v>3578</v>
      </c>
      <c r="AF109" s="21">
        <f>[2]底表!BP109</f>
        <v>-0.5098</v>
      </c>
      <c r="AG109" s="21">
        <f>[2]底表!BT109</f>
        <v>1592</v>
      </c>
      <c r="AH109" s="21">
        <f>[2]底表!BU109</f>
        <v>-0.473</v>
      </c>
      <c r="AI109" s="21">
        <f>[2]底表!BV109</f>
        <v>0.19</v>
      </c>
      <c r="AJ109" s="21">
        <f>[2]底表!BW109</f>
        <v>0.1366</v>
      </c>
      <c r="AK109" s="21">
        <f>[2]底表!BX109</f>
        <v>0.2914</v>
      </c>
      <c r="AL109" s="21">
        <f>[2]底表!BY109</f>
        <v>0.1608</v>
      </c>
      <c r="AM109" s="21">
        <f>[2]底表!BZ109</f>
        <v>4</v>
      </c>
      <c r="AN109" s="21">
        <f>[2]底表!CA109</f>
        <v>5</v>
      </c>
      <c r="AO109" s="21">
        <f>[2]底表!CB109</f>
        <v>-0.2</v>
      </c>
      <c r="AP109" s="21">
        <f>[2]底表!CC109</f>
        <v>82</v>
      </c>
      <c r="AQ109" s="21">
        <f>[2]底表!CD109</f>
        <v>-0.9512</v>
      </c>
      <c r="AR109" s="21" t="str">
        <f>[2]底表!CE109</f>
        <v/>
      </c>
      <c r="AS109" s="21" t="str">
        <f>[2]底表!CF109</f>
        <v/>
      </c>
      <c r="AT109" s="21">
        <f>[2]底表!CG109</f>
        <v>8062</v>
      </c>
      <c r="AU109" s="21">
        <f>[2]底表!CH109</f>
        <v>5343</v>
      </c>
      <c r="AV109" s="21">
        <f>[2]底表!CI109</f>
        <v>0.5089</v>
      </c>
      <c r="AW109" s="21">
        <f>[2]底表!CJ109</f>
        <v>6826</v>
      </c>
      <c r="AX109" s="21">
        <f>[2]底表!CK109</f>
        <v>0.1811</v>
      </c>
      <c r="AY109" s="21">
        <f>[2]底表!CL109</f>
        <v>183</v>
      </c>
      <c r="AZ109" s="21">
        <f>[2]底表!CM109</f>
        <v>141</v>
      </c>
      <c r="BA109" s="21">
        <f>[2]底表!CN109</f>
        <v>3.3428</v>
      </c>
      <c r="BB109" s="21">
        <f>[2]底表!CO109</f>
        <v>6806</v>
      </c>
      <c r="BC109" s="21">
        <f>[2]底表!CP109</f>
        <v>3384</v>
      </c>
      <c r="BD109" s="21">
        <f>[2]底表!CQ109</f>
        <v>1.0112</v>
      </c>
      <c r="BE109" s="21">
        <f>[2]底表!CR109</f>
        <v>5056</v>
      </c>
      <c r="BF109" s="21">
        <f>[2]底表!CS109</f>
        <v>0.3461</v>
      </c>
      <c r="BG109" s="21">
        <f>[2]底表!CT109</f>
        <v>0.8442</v>
      </c>
      <c r="BH109" s="21">
        <f>[2]底表!CU109</f>
        <v>0.2109</v>
      </c>
      <c r="BI109" s="21">
        <f>[2]底表!CV109</f>
        <v>154</v>
      </c>
      <c r="BJ109" s="21">
        <f>[2]底表!CW109</f>
        <v>127</v>
      </c>
      <c r="BK109" s="21">
        <f>[2]底表!CX109</f>
        <v>4.7887</v>
      </c>
      <c r="BL109" s="21">
        <f>[2]底表!CY109</f>
        <v>7202</v>
      </c>
      <c r="BM109" s="21">
        <f>[2]底表!CZ109</f>
        <v>3873</v>
      </c>
      <c r="BN109" s="23">
        <f>[2]底表!DA109</f>
        <v>0.8595</v>
      </c>
      <c r="BO109" s="21">
        <f>[2]底表!DB109</f>
        <v>5574</v>
      </c>
      <c r="BP109" s="21">
        <f>[2]底表!DC109</f>
        <v>0.2921</v>
      </c>
      <c r="BQ109" s="21">
        <f>[2]底表!DD109</f>
        <v>0.8933</v>
      </c>
      <c r="BR109" s="21">
        <f>[2]底表!DE109</f>
        <v>0.1685</v>
      </c>
      <c r="BS109" s="21">
        <f>[2]底表!DF109</f>
        <v>163</v>
      </c>
      <c r="BT109" s="21">
        <f>[2]底表!DG109</f>
        <v>133</v>
      </c>
      <c r="BU109" s="21">
        <f>[2]底表!DH109</f>
        <v>4.3521</v>
      </c>
      <c r="BV109" s="21">
        <f>[2]底表!DI109</f>
        <v>5916</v>
      </c>
      <c r="BW109" s="21">
        <f>[2]底表!DJ109</f>
        <v>2996</v>
      </c>
      <c r="BX109" s="23">
        <f>[2]底表!DK109</f>
        <v>0.9746</v>
      </c>
      <c r="BY109" s="21">
        <f>[2]底表!DL109</f>
        <v>4524</v>
      </c>
      <c r="BZ109" s="21">
        <f>[2]底表!DM109</f>
        <v>0.3077</v>
      </c>
      <c r="CA109" s="21">
        <f>[2]底表!DN109</f>
        <v>3028</v>
      </c>
      <c r="CB109" s="21">
        <f>[2]底表!DO109</f>
        <v>2460</v>
      </c>
      <c r="CC109" s="21">
        <f>[2]底表!DP109</f>
        <v>0.2309</v>
      </c>
      <c r="CD109" s="21">
        <f>[2]底表!DQ109</f>
        <v>2933</v>
      </c>
      <c r="CE109" s="21">
        <f>[2]底表!DR109</f>
        <v>0.0324</v>
      </c>
      <c r="CF109" s="21">
        <f>[2]底表!DS109</f>
        <v>3029</v>
      </c>
      <c r="CG109" s="21">
        <f>[2]底表!DT109</f>
        <v>2461</v>
      </c>
      <c r="CH109" s="21">
        <f>[2]底表!DU109</f>
        <v>0.2308</v>
      </c>
      <c r="CI109" s="21">
        <f>[2]底表!DV109</f>
        <v>2935</v>
      </c>
      <c r="CJ109" s="21">
        <f>[2]底表!DW109</f>
        <v>0.032</v>
      </c>
      <c r="CK109" s="21">
        <f>[2]底表!DX109</f>
        <v>3008</v>
      </c>
      <c r="CL109" s="21">
        <f>[2]底表!DY109</f>
        <v>2208</v>
      </c>
      <c r="CM109" s="21">
        <f>[2]底表!DZ109</f>
        <v>0.3623</v>
      </c>
      <c r="CN109" s="21">
        <f>[2]底表!EA109</f>
        <v>2407</v>
      </c>
      <c r="CO109" s="21">
        <f>[2]底表!EB109</f>
        <v>0.2497</v>
      </c>
      <c r="CP109" s="21">
        <f>[2]底表!EC109</f>
        <v>1214</v>
      </c>
      <c r="CQ109" s="21">
        <f>[2]底表!ED109</f>
        <v>1296</v>
      </c>
      <c r="CR109" s="21">
        <f>[2]底表!EE109</f>
        <v>-0.0633</v>
      </c>
      <c r="CS109" s="21">
        <f>[2]底表!EF109</f>
        <v>1409</v>
      </c>
      <c r="CT109" s="21">
        <f>[2]底表!EG109</f>
        <v>-0.1384</v>
      </c>
      <c r="CU109" s="21">
        <f>[2]底表!EH109</f>
        <v>0.1784</v>
      </c>
      <c r="CV109" s="21">
        <f>[2]底表!EI109</f>
        <v>-0.2046</v>
      </c>
      <c r="CW109" s="21">
        <f>[2]底表!EJ109</f>
        <v>27</v>
      </c>
      <c r="CX109" s="21">
        <f>[2]底表!EK109</f>
        <v>17</v>
      </c>
      <c r="CY109" s="21">
        <f>[2]底表!EL109</f>
        <v>1.6961</v>
      </c>
      <c r="CZ109" s="21">
        <f>[2]底表!EM109</f>
        <v>1263</v>
      </c>
      <c r="DA109" s="21">
        <f>[2]底表!EN109</f>
        <v>1278</v>
      </c>
      <c r="DB109" s="21">
        <f>[2]底表!EO109</f>
        <v>-0.0117</v>
      </c>
      <c r="DC109" s="21">
        <f>[2]底表!EP109</f>
        <v>1436</v>
      </c>
      <c r="DD109" s="21">
        <f>[2]底表!EQ109</f>
        <v>-0.1205</v>
      </c>
      <c r="DE109" s="21">
        <f>[2]底表!ER109</f>
        <v>1897</v>
      </c>
      <c r="DF109" s="21">
        <f>[2]底表!ES109</f>
        <v>1482</v>
      </c>
      <c r="DG109" s="23">
        <f>[2]底表!ET109</f>
        <v>0.28</v>
      </c>
      <c r="DH109" s="21">
        <f>[2]底表!EU109</f>
        <v>3195</v>
      </c>
      <c r="DI109" s="21">
        <f>[2]底表!EV109</f>
        <v>-0.4063</v>
      </c>
      <c r="DJ109" s="21">
        <f>[2]底表!EW109</f>
        <v>0.2787</v>
      </c>
      <c r="DK109" s="21">
        <f>[2]底表!EX109</f>
        <v>-0.1592</v>
      </c>
      <c r="DL109" s="21">
        <f>[2]底表!EY109</f>
        <v>43</v>
      </c>
      <c r="DM109" s="21">
        <f>[2]底表!EZ109</f>
        <v>31</v>
      </c>
      <c r="DN109" s="21">
        <f>[2]底表!FA109</f>
        <v>2.6841</v>
      </c>
      <c r="DO109" s="21">
        <f>[2]底表!BQ109</f>
        <v>839</v>
      </c>
      <c r="DP109" s="21">
        <f>[2]底表!BR109</f>
        <v>678</v>
      </c>
      <c r="DQ109" s="24">
        <f>[2]底表!BS109</f>
        <v>0.2375</v>
      </c>
    </row>
    <row r="110" s="2" customFormat="1" ht="32" hidden="1" customHeight="1" spans="1:121">
      <c r="A110" s="27" t="str">
        <f>[2]底表!A110</f>
        <v>扰乱公共秩序</v>
      </c>
      <c r="B110" s="28" t="str">
        <f>[2]底表!B110</f>
        <v>云浮</v>
      </c>
      <c r="C110" s="21">
        <f>[2]底表!AM110</f>
        <v>14</v>
      </c>
      <c r="D110" s="21">
        <f>[2]底表!AN110</f>
        <v>8</v>
      </c>
      <c r="E110" s="23">
        <f>[2]底表!AO110</f>
        <v>0.75</v>
      </c>
      <c r="F110" s="21">
        <f>[2]底表!AP110</f>
        <v>21</v>
      </c>
      <c r="G110" s="21">
        <f>[2]底表!AQ110</f>
        <v>-0.3333</v>
      </c>
      <c r="H110" s="21">
        <f>[2]底表!AR110</f>
        <v>0.9333</v>
      </c>
      <c r="I110" s="21">
        <f>[2]底表!AS110</f>
        <v>0.1333</v>
      </c>
      <c r="J110" s="21">
        <f>[2]底表!AT110</f>
        <v>7</v>
      </c>
      <c r="K110" s="21">
        <f>[2]底表!AU110</f>
        <v>7</v>
      </c>
      <c r="L110" s="21">
        <f>[2]底表!AV110</f>
        <v>0</v>
      </c>
      <c r="M110" s="21">
        <f>[2]底表!AW110</f>
        <v>7</v>
      </c>
      <c r="N110" s="21">
        <f>[2]底表!AX110</f>
        <v>0</v>
      </c>
      <c r="O110" s="21">
        <f>[2]底表!AY110</f>
        <v>5</v>
      </c>
      <c r="P110" s="21">
        <f>[2]底表!AZ110</f>
        <v>4</v>
      </c>
      <c r="Q110" s="21">
        <f>[2]底表!BA110</f>
        <v>0.25</v>
      </c>
      <c r="R110" s="21">
        <f>[2]底表!BB110</f>
        <v>15</v>
      </c>
      <c r="S110" s="21">
        <f>[2]底表!BC110</f>
        <v>-0.6667</v>
      </c>
      <c r="T110" s="21">
        <f>[2]底表!BD110</f>
        <v>0.7143</v>
      </c>
      <c r="U110" s="21">
        <f>[2]底表!BE110</f>
        <v>0.1429</v>
      </c>
      <c r="V110" s="21">
        <f>[2]底表!BF110</f>
        <v>8</v>
      </c>
      <c r="W110" s="21">
        <f>[2]底表!BG110</f>
        <v>3</v>
      </c>
      <c r="X110" s="21">
        <f>[2]底表!BH110</f>
        <v>1.6667</v>
      </c>
      <c r="Y110" s="21">
        <f>[2]底表!BI110</f>
        <v>1</v>
      </c>
      <c r="Z110" s="21">
        <f>[2]底表!BJ110</f>
        <v>7</v>
      </c>
      <c r="AA110" s="21">
        <f>[2]底表!BK110</f>
        <v>0.5333</v>
      </c>
      <c r="AB110" s="21">
        <f>[2]底表!BL110</f>
        <v>9</v>
      </c>
      <c r="AC110" s="21">
        <f>[2]底表!BM110</f>
        <v>4</v>
      </c>
      <c r="AD110" s="21">
        <f>[2]底表!BN110</f>
        <v>1.25</v>
      </c>
      <c r="AE110" s="21">
        <f>[2]底表!BO110</f>
        <v>6</v>
      </c>
      <c r="AF110" s="21">
        <f>[2]底表!BP110</f>
        <v>0.5</v>
      </c>
      <c r="AG110" s="21">
        <f>[2]底表!BT110</f>
        <v>14</v>
      </c>
      <c r="AH110" s="21">
        <f>[2]底表!BU110</f>
        <v>-0.2143</v>
      </c>
      <c r="AI110" s="21">
        <f>[2]底表!BV110</f>
        <v>0.7333</v>
      </c>
      <c r="AJ110" s="21">
        <f>[2]底表!BW110</f>
        <v>-0.4667</v>
      </c>
      <c r="AK110" s="21">
        <f>[2]底表!BX110</f>
        <v>1.5714</v>
      </c>
      <c r="AL110" s="21">
        <f>[2]底表!BY110</f>
        <v>-0.1429</v>
      </c>
      <c r="AM110" s="21">
        <f>[2]底表!BZ110</f>
        <v>0</v>
      </c>
      <c r="AN110" s="21">
        <f>[2]底表!CA110</f>
        <v>0</v>
      </c>
      <c r="AO110" s="21" t="str">
        <f>[2]底表!CB110</f>
        <v>持平</v>
      </c>
      <c r="AP110" s="21">
        <f>[2]底表!CC110</f>
        <v>0</v>
      </c>
      <c r="AQ110" s="21" t="str">
        <f>[2]底表!CD110</f>
        <v>持平</v>
      </c>
      <c r="AR110" s="21" t="str">
        <f>[2]底表!CE110</f>
        <v/>
      </c>
      <c r="AS110" s="21" t="str">
        <f>[2]底表!CF110</f>
        <v/>
      </c>
      <c r="AT110" s="21">
        <f>[2]底表!CG110</f>
        <v>118</v>
      </c>
      <c r="AU110" s="21">
        <f>[2]底表!CH110</f>
        <v>44</v>
      </c>
      <c r="AV110" s="21">
        <f>[2]底表!CI110</f>
        <v>1.6818</v>
      </c>
      <c r="AW110" s="21">
        <f>[2]底表!CJ110</f>
        <v>88</v>
      </c>
      <c r="AX110" s="21">
        <f>[2]底表!CK110</f>
        <v>0.3409</v>
      </c>
      <c r="AY110" s="21">
        <f>[2]底表!CL110</f>
        <v>787</v>
      </c>
      <c r="AZ110" s="21">
        <f>[2]底表!CM110</f>
        <v>347</v>
      </c>
      <c r="BA110" s="21">
        <f>[2]底表!CN110</f>
        <v>0.7879</v>
      </c>
      <c r="BB110" s="21">
        <f>[2]底表!CO110</f>
        <v>82</v>
      </c>
      <c r="BC110" s="21">
        <f>[2]底表!CP110</f>
        <v>70</v>
      </c>
      <c r="BD110" s="21">
        <f>[2]底表!CQ110</f>
        <v>0.1714</v>
      </c>
      <c r="BE110" s="21">
        <f>[2]底表!CR110</f>
        <v>100</v>
      </c>
      <c r="BF110" s="21">
        <f>[2]底表!CS110</f>
        <v>-0.18</v>
      </c>
      <c r="BG110" s="21">
        <f>[2]底表!CT110</f>
        <v>0.6949</v>
      </c>
      <c r="BH110" s="21">
        <f>[2]底表!CU110</f>
        <v>-0.896</v>
      </c>
      <c r="BI110" s="21">
        <f>[2]底表!CV110</f>
        <v>547</v>
      </c>
      <c r="BJ110" s="21">
        <f>[2]底表!CW110</f>
        <v>-153</v>
      </c>
      <c r="BK110" s="21">
        <f>[2]底表!CX110</f>
        <v>-0.219</v>
      </c>
      <c r="BL110" s="21">
        <f>[2]底表!CY110</f>
        <v>85</v>
      </c>
      <c r="BM110" s="21">
        <f>[2]底表!CZ110</f>
        <v>70</v>
      </c>
      <c r="BN110" s="23">
        <f>[2]底表!DA110</f>
        <v>0.2143</v>
      </c>
      <c r="BO110" s="21">
        <f>[2]底表!DB110</f>
        <v>103</v>
      </c>
      <c r="BP110" s="21">
        <f>[2]底表!DC110</f>
        <v>-0.1748</v>
      </c>
      <c r="BQ110" s="21">
        <f>[2]底表!DD110</f>
        <v>0.7203</v>
      </c>
      <c r="BR110" s="21">
        <f>[2]底表!DE110</f>
        <v>-0.8706</v>
      </c>
      <c r="BS110" s="21">
        <f>[2]底表!DF110</f>
        <v>567</v>
      </c>
      <c r="BT110" s="21">
        <f>[2]底表!DG110</f>
        <v>-133</v>
      </c>
      <c r="BU110" s="21">
        <f>[2]底表!DH110</f>
        <v>-0.1905</v>
      </c>
      <c r="BV110" s="21">
        <f>[2]底表!DI110</f>
        <v>65</v>
      </c>
      <c r="BW110" s="21">
        <f>[2]底表!DJ110</f>
        <v>59</v>
      </c>
      <c r="BX110" s="23">
        <f>[2]底表!DK110</f>
        <v>0.1017</v>
      </c>
      <c r="BY110" s="21">
        <f>[2]底表!DL110</f>
        <v>91</v>
      </c>
      <c r="BZ110" s="21">
        <f>[2]底表!DM110</f>
        <v>-0.2857</v>
      </c>
      <c r="CA110" s="21">
        <f>[2]底表!DN110</f>
        <v>30</v>
      </c>
      <c r="CB110" s="21">
        <f>[2]底表!DO110</f>
        <v>17</v>
      </c>
      <c r="CC110" s="21">
        <f>[2]底表!DP110</f>
        <v>0.7647</v>
      </c>
      <c r="CD110" s="21">
        <f>[2]底表!DQ110</f>
        <v>39</v>
      </c>
      <c r="CE110" s="21">
        <f>[2]底表!DR110</f>
        <v>-0.2308</v>
      </c>
      <c r="CF110" s="21">
        <f>[2]底表!DS110</f>
        <v>30</v>
      </c>
      <c r="CG110" s="21">
        <f>[2]底表!DT110</f>
        <v>17</v>
      </c>
      <c r="CH110" s="21">
        <f>[2]底表!DU110</f>
        <v>0.7647</v>
      </c>
      <c r="CI110" s="21">
        <f>[2]底表!DV110</f>
        <v>39</v>
      </c>
      <c r="CJ110" s="21">
        <f>[2]底表!DW110</f>
        <v>-0.2308</v>
      </c>
      <c r="CK110" s="21">
        <f>[2]底表!DX110</f>
        <v>33</v>
      </c>
      <c r="CL110" s="21">
        <f>[2]底表!DY110</f>
        <v>14</v>
      </c>
      <c r="CM110" s="21">
        <f>[2]底表!DZ110</f>
        <v>1.3571</v>
      </c>
      <c r="CN110" s="21">
        <f>[2]底表!EA110</f>
        <v>33</v>
      </c>
      <c r="CO110" s="21">
        <f>[2]底表!EB110</f>
        <v>0</v>
      </c>
      <c r="CP110" s="21">
        <f>[2]底表!EC110</f>
        <v>15</v>
      </c>
      <c r="CQ110" s="21">
        <f>[2]底表!ED110</f>
        <v>9</v>
      </c>
      <c r="CR110" s="21">
        <f>[2]底表!EE110</f>
        <v>0.6667</v>
      </c>
      <c r="CS110" s="21">
        <f>[2]底表!EF110</f>
        <v>24</v>
      </c>
      <c r="CT110" s="21">
        <f>[2]底表!EG110</f>
        <v>-0.375</v>
      </c>
      <c r="CU110" s="21">
        <f>[2]底表!EH110</f>
        <v>0.1829</v>
      </c>
      <c r="CV110" s="21">
        <f>[2]底表!EI110</f>
        <v>0.0544</v>
      </c>
      <c r="CW110" s="21">
        <f>[2]底表!EJ110</f>
        <v>100</v>
      </c>
      <c r="CX110" s="21">
        <f>[2]底表!EK110</f>
        <v>10</v>
      </c>
      <c r="CY110" s="21">
        <f>[2]底表!EL110</f>
        <v>0.1111</v>
      </c>
      <c r="CZ110" s="21">
        <f>[2]底表!EM110</f>
        <v>15</v>
      </c>
      <c r="DA110" s="21">
        <f>[2]底表!EN110</f>
        <v>9</v>
      </c>
      <c r="DB110" s="21">
        <f>[2]底表!EO110</f>
        <v>0.6667</v>
      </c>
      <c r="DC110" s="21">
        <f>[2]底表!EP110</f>
        <v>24</v>
      </c>
      <c r="DD110" s="21">
        <f>[2]底表!EQ110</f>
        <v>-0.375</v>
      </c>
      <c r="DE110" s="21">
        <f>[2]底表!ER110</f>
        <v>25</v>
      </c>
      <c r="DF110" s="21">
        <f>[2]底表!ES110</f>
        <v>16</v>
      </c>
      <c r="DG110" s="23">
        <f>[2]底表!ET110</f>
        <v>0.5625</v>
      </c>
      <c r="DH110" s="21">
        <f>[2]底表!EU110</f>
        <v>34</v>
      </c>
      <c r="DI110" s="21">
        <f>[2]底表!EV110</f>
        <v>-0.2647</v>
      </c>
      <c r="DJ110" s="21">
        <f>[2]底表!EW110</f>
        <v>0.3049</v>
      </c>
      <c r="DK110" s="21">
        <f>[2]底表!EX110</f>
        <v>0.0763</v>
      </c>
      <c r="DL110" s="21">
        <f>[2]底表!EY110</f>
        <v>167</v>
      </c>
      <c r="DM110" s="21">
        <f>[2]底表!EZ110</f>
        <v>7</v>
      </c>
      <c r="DN110" s="21">
        <f>[2]底表!FA110</f>
        <v>0.0417</v>
      </c>
      <c r="DO110" s="21">
        <f>[2]底表!BQ110</f>
        <v>11</v>
      </c>
      <c r="DP110" s="21">
        <f>[2]底表!BR110</f>
        <v>12</v>
      </c>
      <c r="DQ110" s="24">
        <f>[2]底表!BS110</f>
        <v>-0.0833</v>
      </c>
    </row>
    <row r="111" s="2" customFormat="1" ht="32" hidden="1" customHeight="1" spans="1:121">
      <c r="A111" s="27" t="str">
        <f>[2]底表!A111</f>
        <v>扰乱公共秩序</v>
      </c>
      <c r="B111" s="28" t="str">
        <f>[2]底表!B111</f>
        <v>云城区</v>
      </c>
      <c r="C111" s="21">
        <f>[2]底表!AM111</f>
        <v>1</v>
      </c>
      <c r="D111" s="21">
        <f>[2]底表!AN111</f>
        <v>1</v>
      </c>
      <c r="E111" s="23">
        <f>[2]底表!AO111</f>
        <v>0</v>
      </c>
      <c r="F111" s="21">
        <f>[2]底表!AP111</f>
        <v>1</v>
      </c>
      <c r="G111" s="21">
        <f>[2]底表!AQ111</f>
        <v>0</v>
      </c>
      <c r="H111" s="21">
        <f>[2]底表!AR111</f>
        <v>0.5</v>
      </c>
      <c r="I111" s="21">
        <f>[2]底表!AS111</f>
        <v>-0.5</v>
      </c>
      <c r="J111" s="21">
        <f>[2]底表!AT111</f>
        <v>2</v>
      </c>
      <c r="K111" s="21">
        <f>[2]底表!AU111</f>
        <v>1</v>
      </c>
      <c r="L111" s="21">
        <f>[2]底表!AV111</f>
        <v>1</v>
      </c>
      <c r="M111" s="21">
        <f>[2]底表!AW111</f>
        <v>1</v>
      </c>
      <c r="N111" s="21">
        <f>[2]底表!AX111</f>
        <v>1</v>
      </c>
      <c r="O111" s="21">
        <f>[2]底表!AY111</f>
        <v>1</v>
      </c>
      <c r="P111" s="21">
        <f>[2]底表!AZ111</f>
        <v>1</v>
      </c>
      <c r="Q111" s="21">
        <f>[2]底表!BA111</f>
        <v>0</v>
      </c>
      <c r="R111" s="21">
        <f>[2]底表!BB111</f>
        <v>1</v>
      </c>
      <c r="S111" s="21">
        <f>[2]底表!BC111</f>
        <v>0</v>
      </c>
      <c r="T111" s="21">
        <f>[2]底表!BD111</f>
        <v>0.5</v>
      </c>
      <c r="U111" s="21">
        <f>[2]底表!BE111</f>
        <v>-0.5</v>
      </c>
      <c r="V111" s="21">
        <f>[2]底表!BF111</f>
        <v>0</v>
      </c>
      <c r="W111" s="21">
        <f>[2]底表!BG111</f>
        <v>0</v>
      </c>
      <c r="X111" s="21" t="str">
        <f>[2]底表!BH111</f>
        <v>持平</v>
      </c>
      <c r="Y111" s="21">
        <f>[2]底表!BI111</f>
        <v>0</v>
      </c>
      <c r="Z111" s="21" t="str">
        <f>[2]底表!BJ111</f>
        <v>持平</v>
      </c>
      <c r="AA111" s="21">
        <f>[2]底表!BK111</f>
        <v>0</v>
      </c>
      <c r="AB111" s="21">
        <f>[2]底表!BL111</f>
        <v>0</v>
      </c>
      <c r="AC111" s="21">
        <f>[2]底表!BM111</f>
        <v>0</v>
      </c>
      <c r="AD111" s="21" t="str">
        <f>[2]底表!BN111</f>
        <v>持平</v>
      </c>
      <c r="AE111" s="21">
        <f>[2]底表!BO111</f>
        <v>0</v>
      </c>
      <c r="AF111" s="21" t="str">
        <f>[2]底表!BP111</f>
        <v>持平</v>
      </c>
      <c r="AG111" s="21">
        <f>[2]底表!BT111</f>
        <v>0</v>
      </c>
      <c r="AH111" s="21" t="str">
        <f>[2]底表!BU111</f>
        <v>多1起</v>
      </c>
      <c r="AI111" s="21">
        <f>[2]底表!BV111</f>
        <v>0.5</v>
      </c>
      <c r="AJ111" s="21">
        <f>[2]底表!BW111</f>
        <v>-1.5</v>
      </c>
      <c r="AK111" s="21">
        <f>[2]底表!BX111</f>
        <v>0.5</v>
      </c>
      <c r="AL111" s="21">
        <f>[2]底表!BY111</f>
        <v>-1.5</v>
      </c>
      <c r="AM111" s="21">
        <f>[2]底表!BZ111</f>
        <v>0</v>
      </c>
      <c r="AN111" s="21">
        <f>[2]底表!CA111</f>
        <v>0</v>
      </c>
      <c r="AO111" s="21" t="str">
        <f>[2]底表!CB111</f>
        <v>持平</v>
      </c>
      <c r="AP111" s="21">
        <f>[2]底表!CC111</f>
        <v>0</v>
      </c>
      <c r="AQ111" s="21" t="str">
        <f>[2]底表!CD111</f>
        <v>持平</v>
      </c>
      <c r="AR111" s="21" t="str">
        <f>[2]底表!CE111</f>
        <v/>
      </c>
      <c r="AS111" s="21" t="str">
        <f>[2]底表!CF111</f>
        <v/>
      </c>
      <c r="AT111" s="21">
        <f>[2]底表!CG111</f>
        <v>45</v>
      </c>
      <c r="AU111" s="21">
        <f>[2]底表!CH111</f>
        <v>6</v>
      </c>
      <c r="AV111" s="21">
        <f>[2]底表!CI111</f>
        <v>6.5</v>
      </c>
      <c r="AW111" s="21">
        <f>[2]底表!CJ111</f>
        <v>1</v>
      </c>
      <c r="AX111" s="21">
        <f>[2]底表!CK111</f>
        <v>44</v>
      </c>
      <c r="AY111" s="21">
        <f>[2]底表!CL111</f>
        <v>2250</v>
      </c>
      <c r="AZ111" s="21">
        <f>[2]底表!CM111</f>
        <v>1650</v>
      </c>
      <c r="BA111" s="21">
        <f>[2]底表!CN111</f>
        <v>2.75</v>
      </c>
      <c r="BB111" s="21">
        <f>[2]底表!CO111</f>
        <v>17</v>
      </c>
      <c r="BC111" s="21">
        <f>[2]底表!CP111</f>
        <v>6</v>
      </c>
      <c r="BD111" s="21">
        <f>[2]底表!CQ111</f>
        <v>1.8333</v>
      </c>
      <c r="BE111" s="21">
        <f>[2]底表!CR111</f>
        <v>2</v>
      </c>
      <c r="BF111" s="21">
        <f>[2]底表!CS111</f>
        <v>7.5</v>
      </c>
      <c r="BG111" s="21">
        <f>[2]底表!CT111</f>
        <v>0.3778</v>
      </c>
      <c r="BH111" s="21">
        <f>[2]底表!CU111</f>
        <v>-0.6222</v>
      </c>
      <c r="BI111" s="21">
        <f>[2]底表!CV111</f>
        <v>850</v>
      </c>
      <c r="BJ111" s="21">
        <f>[2]底表!CW111</f>
        <v>250</v>
      </c>
      <c r="BK111" s="21">
        <f>[2]底表!CX111</f>
        <v>0.4167</v>
      </c>
      <c r="BL111" s="21">
        <f>[2]底表!CY111</f>
        <v>17</v>
      </c>
      <c r="BM111" s="21">
        <f>[2]底表!CZ111</f>
        <v>6</v>
      </c>
      <c r="BN111" s="23">
        <f>[2]底表!DA111</f>
        <v>1.8333</v>
      </c>
      <c r="BO111" s="21">
        <f>[2]底表!DB111</f>
        <v>2</v>
      </c>
      <c r="BP111" s="21">
        <f>[2]底表!DC111</f>
        <v>7.5</v>
      </c>
      <c r="BQ111" s="21">
        <f>[2]底表!DD111</f>
        <v>0.3778</v>
      </c>
      <c r="BR111" s="21">
        <f>[2]底表!DE111</f>
        <v>-0.6222</v>
      </c>
      <c r="BS111" s="21">
        <f>[2]底表!DF111</f>
        <v>850</v>
      </c>
      <c r="BT111" s="21">
        <f>[2]底表!DG111</f>
        <v>250</v>
      </c>
      <c r="BU111" s="21">
        <f>[2]底表!DH111</f>
        <v>0.4167</v>
      </c>
      <c r="BV111" s="21">
        <f>[2]底表!DI111</f>
        <v>0</v>
      </c>
      <c r="BW111" s="21">
        <f>[2]底表!DJ111</f>
        <v>0</v>
      </c>
      <c r="BX111" s="23" t="str">
        <f>[2]底表!DK111</f>
        <v>持平</v>
      </c>
      <c r="BY111" s="21">
        <f>[2]底表!DL111</f>
        <v>0</v>
      </c>
      <c r="BZ111" s="21" t="str">
        <f>[2]底表!DM111</f>
        <v>持平</v>
      </c>
      <c r="CA111" s="21">
        <f>[2]底表!DN111</f>
        <v>0</v>
      </c>
      <c r="CB111" s="21">
        <f>[2]底表!DO111</f>
        <v>0</v>
      </c>
      <c r="CC111" s="21" t="str">
        <f>[2]底表!DP111</f>
        <v>持平</v>
      </c>
      <c r="CD111" s="21">
        <f>[2]底表!DQ111</f>
        <v>4</v>
      </c>
      <c r="CE111" s="21" t="str">
        <f>[2]底表!DR111</f>
        <v>少4人</v>
      </c>
      <c r="CF111" s="21">
        <f>[2]底表!DS111</f>
        <v>0</v>
      </c>
      <c r="CG111" s="21">
        <f>[2]底表!DT111</f>
        <v>0</v>
      </c>
      <c r="CH111" s="21" t="str">
        <f>[2]底表!DU111</f>
        <v>持平</v>
      </c>
      <c r="CI111" s="21">
        <f>[2]底表!DV111</f>
        <v>4</v>
      </c>
      <c r="CJ111" s="21" t="str">
        <f>[2]底表!DW111</f>
        <v>少4人</v>
      </c>
      <c r="CK111" s="21">
        <f>[2]底表!DX111</f>
        <v>7</v>
      </c>
      <c r="CL111" s="21">
        <f>[2]底表!DY111</f>
        <v>0</v>
      </c>
      <c r="CM111" s="21" t="str">
        <f>[2]底表!DZ111</f>
        <v>多7人</v>
      </c>
      <c r="CN111" s="21">
        <f>[2]底表!EA111</f>
        <v>7</v>
      </c>
      <c r="CO111" s="21">
        <f>[2]底表!EB111</f>
        <v>0</v>
      </c>
      <c r="CP111" s="21">
        <f>[2]底表!EC111</f>
        <v>1</v>
      </c>
      <c r="CQ111" s="21">
        <f>[2]底表!ED111</f>
        <v>0</v>
      </c>
      <c r="CR111" s="21" t="str">
        <f>[2]底表!EE111</f>
        <v>多1人</v>
      </c>
      <c r="CS111" s="21">
        <f>[2]底表!EF111</f>
        <v>5</v>
      </c>
      <c r="CT111" s="21">
        <f>[2]底表!EG111</f>
        <v>-0.8</v>
      </c>
      <c r="CU111" s="21">
        <f>[2]底表!EH111</f>
        <v>0.0588</v>
      </c>
      <c r="CV111" s="21">
        <f>[2]底表!EI111</f>
        <v>0.0588</v>
      </c>
      <c r="CW111" s="21">
        <f>[2]底表!EJ111</f>
        <v>50</v>
      </c>
      <c r="CX111" s="21">
        <f>[2]底表!EK111</f>
        <v>50</v>
      </c>
      <c r="CY111" s="21" t="str">
        <f>[2]底表!EL111</f>
        <v/>
      </c>
      <c r="CZ111" s="21">
        <f>[2]底表!EM111</f>
        <v>1</v>
      </c>
      <c r="DA111" s="21">
        <f>[2]底表!EN111</f>
        <v>0</v>
      </c>
      <c r="DB111" s="21" t="str">
        <f>[2]底表!EO111</f>
        <v>多1人</v>
      </c>
      <c r="DC111" s="21">
        <f>[2]底表!EP111</f>
        <v>5</v>
      </c>
      <c r="DD111" s="21">
        <f>[2]底表!EQ111</f>
        <v>-0.8</v>
      </c>
      <c r="DE111" s="21">
        <f>[2]底表!ER111</f>
        <v>1</v>
      </c>
      <c r="DF111" s="21">
        <f>[2]底表!ES111</f>
        <v>3</v>
      </c>
      <c r="DG111" s="23">
        <f>[2]底表!ET111</f>
        <v>-0.6667</v>
      </c>
      <c r="DH111" s="21">
        <f>[2]底表!EU111</f>
        <v>0</v>
      </c>
      <c r="DI111" s="21" t="str">
        <f>[2]底表!EV111</f>
        <v>多1人</v>
      </c>
      <c r="DJ111" s="21">
        <f>[2]底表!EW111</f>
        <v>0.0588</v>
      </c>
      <c r="DK111" s="21">
        <f>[2]底表!EX111</f>
        <v>-0.4412</v>
      </c>
      <c r="DL111" s="21">
        <f>[2]底表!EY111</f>
        <v>50</v>
      </c>
      <c r="DM111" s="21">
        <f>[2]底表!EZ111</f>
        <v>-250</v>
      </c>
      <c r="DN111" s="21">
        <f>[2]底表!FA111</f>
        <v>-0.8333</v>
      </c>
      <c r="DO111" s="21">
        <f>[2]底表!BQ111</f>
        <v>1</v>
      </c>
      <c r="DP111" s="21">
        <f>[2]底表!BR111</f>
        <v>2</v>
      </c>
      <c r="DQ111" s="24">
        <f>[2]底表!BS111</f>
        <v>-0.5</v>
      </c>
    </row>
    <row r="112" s="2" customFormat="1" ht="32" hidden="1" customHeight="1" spans="1:121">
      <c r="A112" s="27" t="str">
        <f>[2]底表!A112</f>
        <v>扰乱公共秩序</v>
      </c>
      <c r="B112" s="28" t="str">
        <f>[2]底表!B112</f>
        <v>云安区</v>
      </c>
      <c r="C112" s="21">
        <f>[2]底表!AM112</f>
        <v>2</v>
      </c>
      <c r="D112" s="21">
        <f>[2]底表!AN112</f>
        <v>2</v>
      </c>
      <c r="E112" s="23">
        <f>[2]底表!AO112</f>
        <v>0</v>
      </c>
      <c r="F112" s="21">
        <f>[2]底表!AP112</f>
        <v>4</v>
      </c>
      <c r="G112" s="21">
        <f>[2]底表!AQ112</f>
        <v>-0.5</v>
      </c>
      <c r="H112" s="21">
        <f>[2]底表!AR112</f>
        <v>2</v>
      </c>
      <c r="I112" s="21">
        <f>[2]底表!AS112</f>
        <v>1</v>
      </c>
      <c r="J112" s="21">
        <f>[2]底表!AT112</f>
        <v>0</v>
      </c>
      <c r="K112" s="21">
        <f>[2]底表!AU112</f>
        <v>2</v>
      </c>
      <c r="L112" s="21" t="str">
        <f>[2]底表!AV112</f>
        <v>少2起</v>
      </c>
      <c r="M112" s="21">
        <f>[2]底表!AW112</f>
        <v>1</v>
      </c>
      <c r="N112" s="21" t="str">
        <f>[2]底表!AX112</f>
        <v>少1起</v>
      </c>
      <c r="O112" s="21">
        <f>[2]底表!AY112</f>
        <v>0</v>
      </c>
      <c r="P112" s="21">
        <f>[2]底表!AZ112</f>
        <v>2</v>
      </c>
      <c r="Q112" s="21" t="str">
        <f>[2]底表!BA112</f>
        <v>少2起</v>
      </c>
      <c r="R112" s="21">
        <f>[2]底表!BB112</f>
        <v>3</v>
      </c>
      <c r="S112" s="21" t="str">
        <f>[2]底表!BC112</f>
        <v>少3起</v>
      </c>
      <c r="T112" s="21" t="str">
        <f>[2]底表!BD112</f>
        <v/>
      </c>
      <c r="U112" s="21" t="str">
        <f>[2]底表!BE112</f>
        <v/>
      </c>
      <c r="V112" s="21">
        <f>[2]底表!BF112</f>
        <v>1</v>
      </c>
      <c r="W112" s="21">
        <f>[2]底表!BG112</f>
        <v>0</v>
      </c>
      <c r="X112" s="21" t="str">
        <f>[2]底表!BH112</f>
        <v>多1起</v>
      </c>
      <c r="Y112" s="21">
        <f>[2]底表!BI112</f>
        <v>0</v>
      </c>
      <c r="Z112" s="21" t="str">
        <f>[2]底表!BJ112</f>
        <v>多1起</v>
      </c>
      <c r="AA112" s="21">
        <f>[2]底表!BK112</f>
        <v>1</v>
      </c>
      <c r="AB112" s="21">
        <f>[2]底表!BL112</f>
        <v>2</v>
      </c>
      <c r="AC112" s="21">
        <f>[2]底表!BM112</f>
        <v>0</v>
      </c>
      <c r="AD112" s="21" t="str">
        <f>[2]底表!BN112</f>
        <v>多2起</v>
      </c>
      <c r="AE112" s="21">
        <f>[2]底表!BO112</f>
        <v>1</v>
      </c>
      <c r="AF112" s="21">
        <f>[2]底表!BP112</f>
        <v>1</v>
      </c>
      <c r="AG112" s="21">
        <f>[2]底表!BT112</f>
        <v>2</v>
      </c>
      <c r="AH112" s="21">
        <f>[2]底表!BU112</f>
        <v>0.5</v>
      </c>
      <c r="AI112" s="21">
        <f>[2]底表!BV112</f>
        <v>3</v>
      </c>
      <c r="AJ112" s="21">
        <f>[2]底表!BW112</f>
        <v>2</v>
      </c>
      <c r="AK112" s="21" t="str">
        <f>[2]底表!BX112</f>
        <v/>
      </c>
      <c r="AL112" s="21" t="str">
        <f>[2]底表!BY112</f>
        <v/>
      </c>
      <c r="AM112" s="21">
        <f>[2]底表!BZ112</f>
        <v>0</v>
      </c>
      <c r="AN112" s="21">
        <f>[2]底表!CA112</f>
        <v>0</v>
      </c>
      <c r="AO112" s="21" t="str">
        <f>[2]底表!CB112</f>
        <v>持平</v>
      </c>
      <c r="AP112" s="21">
        <f>[2]底表!CC112</f>
        <v>0</v>
      </c>
      <c r="AQ112" s="21" t="str">
        <f>[2]底表!CD112</f>
        <v>持平</v>
      </c>
      <c r="AR112" s="21" t="str">
        <f>[2]底表!CE112</f>
        <v/>
      </c>
      <c r="AS112" s="21" t="str">
        <f>[2]底表!CF112</f>
        <v/>
      </c>
      <c r="AT112" s="21">
        <f>[2]底表!CG112</f>
        <v>22</v>
      </c>
      <c r="AU112" s="21">
        <f>[2]底表!CH112</f>
        <v>9</v>
      </c>
      <c r="AV112" s="21">
        <f>[2]底表!CI112</f>
        <v>1.4444</v>
      </c>
      <c r="AW112" s="21">
        <f>[2]底表!CJ112</f>
        <v>59</v>
      </c>
      <c r="AX112" s="21">
        <f>[2]底表!CK112</f>
        <v>-0.6271</v>
      </c>
      <c r="AY112" s="21">
        <f>[2]底表!CL112</f>
        <v>2200</v>
      </c>
      <c r="AZ112" s="21">
        <f>[2]底表!CM112</f>
        <v>1750</v>
      </c>
      <c r="BA112" s="21">
        <f>[2]底表!CN112</f>
        <v>3.8889</v>
      </c>
      <c r="BB112" s="21">
        <f>[2]底表!CO112</f>
        <v>8</v>
      </c>
      <c r="BC112" s="21">
        <f>[2]底表!CP112</f>
        <v>10</v>
      </c>
      <c r="BD112" s="21">
        <f>[2]底表!CQ112</f>
        <v>-0.2</v>
      </c>
      <c r="BE112" s="21">
        <f>[2]底表!CR112</f>
        <v>21</v>
      </c>
      <c r="BF112" s="21">
        <f>[2]底表!CS112</f>
        <v>-0.619</v>
      </c>
      <c r="BG112" s="21">
        <f>[2]底表!CT112</f>
        <v>0.3636</v>
      </c>
      <c r="BH112" s="21">
        <f>[2]底表!CU112</f>
        <v>-0.7475</v>
      </c>
      <c r="BI112" s="21">
        <f>[2]底表!CV112</f>
        <v>800</v>
      </c>
      <c r="BJ112" s="21">
        <f>[2]底表!CW112</f>
        <v>300</v>
      </c>
      <c r="BK112" s="21">
        <f>[2]底表!CX112</f>
        <v>0.6</v>
      </c>
      <c r="BL112" s="21">
        <f>[2]底表!CY112</f>
        <v>8</v>
      </c>
      <c r="BM112" s="21">
        <f>[2]底表!CZ112</f>
        <v>10</v>
      </c>
      <c r="BN112" s="23">
        <f>[2]底表!DA112</f>
        <v>-0.2</v>
      </c>
      <c r="BO112" s="21">
        <f>[2]底表!DB112</f>
        <v>23</v>
      </c>
      <c r="BP112" s="21">
        <f>[2]底表!DC112</f>
        <v>-0.6522</v>
      </c>
      <c r="BQ112" s="21">
        <f>[2]底表!DD112</f>
        <v>0.3636</v>
      </c>
      <c r="BR112" s="21">
        <f>[2]底表!DE112</f>
        <v>-0.7475</v>
      </c>
      <c r="BS112" s="21">
        <f>[2]底表!DF112</f>
        <v>800</v>
      </c>
      <c r="BT112" s="21">
        <f>[2]底表!DG112</f>
        <v>300</v>
      </c>
      <c r="BU112" s="21">
        <f>[2]底表!DH112</f>
        <v>0.6</v>
      </c>
      <c r="BV112" s="21">
        <f>[2]底表!DI112</f>
        <v>0</v>
      </c>
      <c r="BW112" s="21">
        <f>[2]底表!DJ112</f>
        <v>0</v>
      </c>
      <c r="BX112" s="23" t="str">
        <f>[2]底表!DK112</f>
        <v>持平</v>
      </c>
      <c r="BY112" s="21">
        <f>[2]底表!DL112</f>
        <v>0</v>
      </c>
      <c r="BZ112" s="21" t="str">
        <f>[2]底表!DM112</f>
        <v>持平</v>
      </c>
      <c r="CA112" s="21">
        <f>[2]底表!DN112</f>
        <v>11</v>
      </c>
      <c r="CB112" s="21">
        <f>[2]底表!DO112</f>
        <v>1</v>
      </c>
      <c r="CC112" s="21">
        <f>[2]底表!DP112</f>
        <v>10</v>
      </c>
      <c r="CD112" s="21">
        <f>[2]底表!DQ112</f>
        <v>9</v>
      </c>
      <c r="CE112" s="21">
        <f>[2]底表!DR112</f>
        <v>0.2222</v>
      </c>
      <c r="CF112" s="21">
        <f>[2]底表!DS112</f>
        <v>11</v>
      </c>
      <c r="CG112" s="21">
        <f>[2]底表!DT112</f>
        <v>1</v>
      </c>
      <c r="CH112" s="21">
        <f>[2]底表!DU112</f>
        <v>10</v>
      </c>
      <c r="CI112" s="21">
        <f>[2]底表!DV112</f>
        <v>9</v>
      </c>
      <c r="CJ112" s="21">
        <f>[2]底表!DW112</f>
        <v>0.2222</v>
      </c>
      <c r="CK112" s="21">
        <f>[2]底表!DX112</f>
        <v>7</v>
      </c>
      <c r="CL112" s="21">
        <f>[2]底表!DY112</f>
        <v>0</v>
      </c>
      <c r="CM112" s="21" t="str">
        <f>[2]底表!DZ112</f>
        <v>多7人</v>
      </c>
      <c r="CN112" s="21">
        <f>[2]底表!EA112</f>
        <v>3</v>
      </c>
      <c r="CO112" s="21">
        <f>[2]底表!EB112</f>
        <v>1.3333</v>
      </c>
      <c r="CP112" s="21">
        <f>[2]底表!EC112</f>
        <v>2</v>
      </c>
      <c r="CQ112" s="21">
        <f>[2]底表!ED112</f>
        <v>2</v>
      </c>
      <c r="CR112" s="21">
        <f>[2]底表!EE112</f>
        <v>0</v>
      </c>
      <c r="CS112" s="21">
        <f>[2]底表!EF112</f>
        <v>3</v>
      </c>
      <c r="CT112" s="21">
        <f>[2]底表!EG112</f>
        <v>-0.3333</v>
      </c>
      <c r="CU112" s="21">
        <f>[2]底表!EH112</f>
        <v>0.25</v>
      </c>
      <c r="CV112" s="21">
        <f>[2]底表!EI112</f>
        <v>0.05</v>
      </c>
      <c r="CW112" s="21">
        <f>[2]底表!EJ112</f>
        <v>200</v>
      </c>
      <c r="CX112" s="21">
        <f>[2]底表!EK112</f>
        <v>100</v>
      </c>
      <c r="CY112" s="21">
        <f>[2]底表!EL112</f>
        <v>1</v>
      </c>
      <c r="CZ112" s="21">
        <f>[2]底表!EM112</f>
        <v>2</v>
      </c>
      <c r="DA112" s="21">
        <f>[2]底表!EN112</f>
        <v>2</v>
      </c>
      <c r="DB112" s="21">
        <f>[2]底表!EO112</f>
        <v>0</v>
      </c>
      <c r="DC112" s="21">
        <f>[2]底表!EP112</f>
        <v>3</v>
      </c>
      <c r="DD112" s="21">
        <f>[2]底表!EQ112</f>
        <v>-0.3333</v>
      </c>
      <c r="DE112" s="21">
        <f>[2]底表!ER112</f>
        <v>4</v>
      </c>
      <c r="DF112" s="21">
        <f>[2]底表!ES112</f>
        <v>2</v>
      </c>
      <c r="DG112" s="23">
        <f>[2]底表!ET112</f>
        <v>1</v>
      </c>
      <c r="DH112" s="21">
        <f>[2]底表!EU112</f>
        <v>4</v>
      </c>
      <c r="DI112" s="21">
        <f>[2]底表!EV112</f>
        <v>0</v>
      </c>
      <c r="DJ112" s="21">
        <f>[2]底表!EW112</f>
        <v>0.5</v>
      </c>
      <c r="DK112" s="21">
        <f>[2]底表!EX112</f>
        <v>0.3</v>
      </c>
      <c r="DL112" s="21">
        <f>[2]底表!EY112</f>
        <v>400</v>
      </c>
      <c r="DM112" s="21">
        <f>[2]底表!EZ112</f>
        <v>300</v>
      </c>
      <c r="DN112" s="21">
        <f>[2]底表!FA112</f>
        <v>3</v>
      </c>
      <c r="DO112" s="21">
        <f>[2]底表!BQ112</f>
        <v>3</v>
      </c>
      <c r="DP112" s="21">
        <f>[2]底表!BR112</f>
        <v>2</v>
      </c>
      <c r="DQ112" s="24">
        <f>[2]底表!BS112</f>
        <v>0.5</v>
      </c>
    </row>
    <row r="113" s="2" customFormat="1" ht="32" hidden="1" customHeight="1" spans="1:121">
      <c r="A113" s="27" t="str">
        <f>[2]底表!A113</f>
        <v>扰乱公共秩序</v>
      </c>
      <c r="B113" s="28" t="str">
        <f>[2]底表!B113</f>
        <v>新兴县</v>
      </c>
      <c r="C113" s="21">
        <f>[2]底表!AM113</f>
        <v>3</v>
      </c>
      <c r="D113" s="21">
        <f>[2]底表!AN113</f>
        <v>1</v>
      </c>
      <c r="E113" s="23">
        <f>[2]底表!AO113</f>
        <v>2</v>
      </c>
      <c r="F113" s="21">
        <f>[2]底表!AP113</f>
        <v>4</v>
      </c>
      <c r="G113" s="21">
        <f>[2]底表!AQ113</f>
        <v>-0.25</v>
      </c>
      <c r="H113" s="21">
        <f>[2]底表!AR113</f>
        <v>0.6</v>
      </c>
      <c r="I113" s="21">
        <f>[2]底表!AS113</f>
        <v>0.2667</v>
      </c>
      <c r="J113" s="21">
        <f>[2]底表!AT113</f>
        <v>2</v>
      </c>
      <c r="K113" s="21">
        <f>[2]底表!AU113</f>
        <v>1</v>
      </c>
      <c r="L113" s="21">
        <f>[2]底表!AV113</f>
        <v>1</v>
      </c>
      <c r="M113" s="21">
        <f>[2]底表!AW113</f>
        <v>1</v>
      </c>
      <c r="N113" s="21">
        <f>[2]底表!AX113</f>
        <v>1</v>
      </c>
      <c r="O113" s="21">
        <f>[2]底表!AY113</f>
        <v>1</v>
      </c>
      <c r="P113" s="21">
        <f>[2]底表!AZ113</f>
        <v>0</v>
      </c>
      <c r="Q113" s="21" t="str">
        <f>[2]底表!BA113</f>
        <v>多1起</v>
      </c>
      <c r="R113" s="21">
        <f>[2]底表!BB113</f>
        <v>4</v>
      </c>
      <c r="S113" s="21">
        <f>[2]底表!BC113</f>
        <v>-0.75</v>
      </c>
      <c r="T113" s="21">
        <f>[2]底表!BD113</f>
        <v>0.5</v>
      </c>
      <c r="U113" s="21">
        <f>[2]底表!BE113</f>
        <v>0.5</v>
      </c>
      <c r="V113" s="21">
        <f>[2]底表!BF113</f>
        <v>3</v>
      </c>
      <c r="W113" s="21">
        <f>[2]底表!BG113</f>
        <v>2</v>
      </c>
      <c r="X113" s="21">
        <f>[2]底表!BH113</f>
        <v>0.5</v>
      </c>
      <c r="Y113" s="21">
        <f>[2]底表!BI113</f>
        <v>0</v>
      </c>
      <c r="Z113" s="21" t="str">
        <f>[2]底表!BJ113</f>
        <v>多3起</v>
      </c>
      <c r="AA113" s="21">
        <f>[2]底表!BK113</f>
        <v>0.6</v>
      </c>
      <c r="AB113" s="21">
        <f>[2]底表!BL113</f>
        <v>2</v>
      </c>
      <c r="AC113" s="21">
        <f>[2]底表!BM113</f>
        <v>1</v>
      </c>
      <c r="AD113" s="21">
        <f>[2]底表!BN113</f>
        <v>1</v>
      </c>
      <c r="AE113" s="21">
        <f>[2]底表!BO113</f>
        <v>0</v>
      </c>
      <c r="AF113" s="21" t="str">
        <f>[2]底表!BP113</f>
        <v>多2起</v>
      </c>
      <c r="AG113" s="21">
        <f>[2]底表!BT113</f>
        <v>3</v>
      </c>
      <c r="AH113" s="21">
        <f>[2]底表!BU113</f>
        <v>-0.3333</v>
      </c>
      <c r="AI113" s="21">
        <f>[2]底表!BV113</f>
        <v>0.4</v>
      </c>
      <c r="AJ113" s="21">
        <f>[2]底表!BW113</f>
        <v>-1.2667</v>
      </c>
      <c r="AK113" s="21">
        <f>[2]底表!BX113</f>
        <v>1</v>
      </c>
      <c r="AL113" s="21">
        <f>[2]底表!BY113</f>
        <v>-4</v>
      </c>
      <c r="AM113" s="21">
        <f>[2]底表!BZ113</f>
        <v>0</v>
      </c>
      <c r="AN113" s="21">
        <f>[2]底表!CA113</f>
        <v>0</v>
      </c>
      <c r="AO113" s="21" t="str">
        <f>[2]底表!CB113</f>
        <v>持平</v>
      </c>
      <c r="AP113" s="21">
        <f>[2]底表!CC113</f>
        <v>0</v>
      </c>
      <c r="AQ113" s="21" t="str">
        <f>[2]底表!CD113</f>
        <v>持平</v>
      </c>
      <c r="AR113" s="21" t="str">
        <f>[2]底表!CE113</f>
        <v/>
      </c>
      <c r="AS113" s="21" t="str">
        <f>[2]底表!CF113</f>
        <v/>
      </c>
      <c r="AT113" s="21">
        <f>[2]底表!CG113</f>
        <v>25</v>
      </c>
      <c r="AU113" s="21">
        <f>[2]底表!CH113</f>
        <v>17</v>
      </c>
      <c r="AV113" s="21">
        <f>[2]底表!CI113</f>
        <v>0.4706</v>
      </c>
      <c r="AW113" s="21">
        <f>[2]底表!CJ113</f>
        <v>2</v>
      </c>
      <c r="AX113" s="21">
        <f>[2]底表!CK113</f>
        <v>11.5</v>
      </c>
      <c r="AY113" s="21">
        <f>[2]底表!CL113</f>
        <v>500</v>
      </c>
      <c r="AZ113" s="21">
        <f>[2]底表!CM113</f>
        <v>-67</v>
      </c>
      <c r="BA113" s="21">
        <f>[2]底表!CN113</f>
        <v>-0.1176</v>
      </c>
      <c r="BB113" s="21">
        <f>[2]底表!CO113</f>
        <v>20</v>
      </c>
      <c r="BC113" s="21">
        <f>[2]底表!CP113</f>
        <v>11</v>
      </c>
      <c r="BD113" s="21">
        <f>[2]底表!CQ113</f>
        <v>0.8182</v>
      </c>
      <c r="BE113" s="21">
        <f>[2]底表!CR113</f>
        <v>4</v>
      </c>
      <c r="BF113" s="21">
        <f>[2]底表!CS113</f>
        <v>4</v>
      </c>
      <c r="BG113" s="21">
        <f>[2]底表!CT113</f>
        <v>0.8</v>
      </c>
      <c r="BH113" s="21">
        <f>[2]底表!CU113</f>
        <v>0.1529</v>
      </c>
      <c r="BI113" s="21">
        <f>[2]底表!CV113</f>
        <v>400</v>
      </c>
      <c r="BJ113" s="21">
        <f>[2]底表!CW113</f>
        <v>33</v>
      </c>
      <c r="BK113" s="21">
        <f>[2]底表!CX113</f>
        <v>0.0909</v>
      </c>
      <c r="BL113" s="21">
        <f>[2]底表!CY113</f>
        <v>21</v>
      </c>
      <c r="BM113" s="21">
        <f>[2]底表!CZ113</f>
        <v>11</v>
      </c>
      <c r="BN113" s="23">
        <f>[2]底表!DA113</f>
        <v>0.9091</v>
      </c>
      <c r="BO113" s="21">
        <f>[2]底表!DB113</f>
        <v>5</v>
      </c>
      <c r="BP113" s="21">
        <f>[2]底表!DC113</f>
        <v>3.2</v>
      </c>
      <c r="BQ113" s="21">
        <f>[2]底表!DD113</f>
        <v>0.84</v>
      </c>
      <c r="BR113" s="21">
        <f>[2]底表!DE113</f>
        <v>0.1929</v>
      </c>
      <c r="BS113" s="21">
        <f>[2]底表!DF113</f>
        <v>420</v>
      </c>
      <c r="BT113" s="21">
        <f>[2]底表!DG113</f>
        <v>53</v>
      </c>
      <c r="BU113" s="21">
        <f>[2]底表!DH113</f>
        <v>0.1455</v>
      </c>
      <c r="BV113" s="21">
        <f>[2]底表!DI113</f>
        <v>16</v>
      </c>
      <c r="BW113" s="21">
        <f>[2]底表!DJ113</f>
        <v>21</v>
      </c>
      <c r="BX113" s="23">
        <f>[2]底表!DK113</f>
        <v>-0.2381</v>
      </c>
      <c r="BY113" s="21">
        <f>[2]底表!DL113</f>
        <v>18</v>
      </c>
      <c r="BZ113" s="21">
        <f>[2]底表!DM113</f>
        <v>-0.1111</v>
      </c>
      <c r="CA113" s="21">
        <f>[2]底表!DN113</f>
        <v>7</v>
      </c>
      <c r="CB113" s="21">
        <f>[2]底表!DO113</f>
        <v>3</v>
      </c>
      <c r="CC113" s="21">
        <f>[2]底表!DP113</f>
        <v>1.3333</v>
      </c>
      <c r="CD113" s="21">
        <f>[2]底表!DQ113</f>
        <v>1</v>
      </c>
      <c r="CE113" s="21">
        <f>[2]底表!DR113</f>
        <v>6</v>
      </c>
      <c r="CF113" s="21">
        <f>[2]底表!DS113</f>
        <v>7</v>
      </c>
      <c r="CG113" s="21">
        <f>[2]底表!DT113</f>
        <v>3</v>
      </c>
      <c r="CH113" s="21">
        <f>[2]底表!DU113</f>
        <v>1.3333</v>
      </c>
      <c r="CI113" s="21">
        <f>[2]底表!DV113</f>
        <v>1</v>
      </c>
      <c r="CJ113" s="21">
        <f>[2]底表!DW113</f>
        <v>6</v>
      </c>
      <c r="CK113" s="21">
        <f>[2]底表!DX113</f>
        <v>6</v>
      </c>
      <c r="CL113" s="21">
        <f>[2]底表!DY113</f>
        <v>2</v>
      </c>
      <c r="CM113" s="21">
        <f>[2]底表!DZ113</f>
        <v>2</v>
      </c>
      <c r="CN113" s="21">
        <f>[2]底表!EA113</f>
        <v>3</v>
      </c>
      <c r="CO113" s="21">
        <f>[2]底表!EB113</f>
        <v>1</v>
      </c>
      <c r="CP113" s="21">
        <f>[2]底表!EC113</f>
        <v>0</v>
      </c>
      <c r="CQ113" s="21">
        <f>[2]底表!ED113</f>
        <v>0</v>
      </c>
      <c r="CR113" s="21" t="str">
        <f>[2]底表!EE113</f>
        <v>持平</v>
      </c>
      <c r="CS113" s="21">
        <f>[2]底表!EF113</f>
        <v>0</v>
      </c>
      <c r="CT113" s="21" t="str">
        <f>[2]底表!EG113</f>
        <v>持平</v>
      </c>
      <c r="CU113" s="21">
        <f>[2]底表!EH113</f>
        <v>0</v>
      </c>
      <c r="CV113" s="21">
        <f>[2]底表!EI113</f>
        <v>0</v>
      </c>
      <c r="CW113" s="21">
        <f>[2]底表!EJ113</f>
        <v>0</v>
      </c>
      <c r="CX113" s="21">
        <f>[2]底表!EK113</f>
        <v>0</v>
      </c>
      <c r="CY113" s="21" t="str">
        <f>[2]底表!EL113</f>
        <v/>
      </c>
      <c r="CZ113" s="21">
        <f>[2]底表!EM113</f>
        <v>0</v>
      </c>
      <c r="DA113" s="21">
        <f>[2]底表!EN113</f>
        <v>0</v>
      </c>
      <c r="DB113" s="21" t="str">
        <f>[2]底表!EO113</f>
        <v>持平</v>
      </c>
      <c r="DC113" s="21">
        <f>[2]底表!EP113</f>
        <v>0</v>
      </c>
      <c r="DD113" s="21" t="str">
        <f>[2]底表!EQ113</f>
        <v>持平</v>
      </c>
      <c r="DE113" s="21">
        <f>[2]底表!ER113</f>
        <v>5</v>
      </c>
      <c r="DF113" s="21">
        <f>[2]底表!ES113</f>
        <v>5</v>
      </c>
      <c r="DG113" s="23">
        <f>[2]底表!ET113</f>
        <v>0</v>
      </c>
      <c r="DH113" s="21">
        <f>[2]底表!EU113</f>
        <v>7</v>
      </c>
      <c r="DI113" s="21">
        <f>[2]底表!EV113</f>
        <v>-0.2857</v>
      </c>
      <c r="DJ113" s="21">
        <f>[2]底表!EW113</f>
        <v>0.25</v>
      </c>
      <c r="DK113" s="21">
        <f>[2]底表!EX113</f>
        <v>-0.2045</v>
      </c>
      <c r="DL113" s="21">
        <f>[2]底表!EY113</f>
        <v>100</v>
      </c>
      <c r="DM113" s="21">
        <f>[2]底表!EZ113</f>
        <v>-67</v>
      </c>
      <c r="DN113" s="21">
        <f>[2]底表!FA113</f>
        <v>-0.4</v>
      </c>
      <c r="DO113" s="21">
        <f>[2]底表!BQ113</f>
        <v>2</v>
      </c>
      <c r="DP113" s="21">
        <f>[2]底表!BR113</f>
        <v>5</v>
      </c>
      <c r="DQ113" s="24">
        <f>[2]底表!BS113</f>
        <v>-0.6</v>
      </c>
    </row>
    <row r="114" s="2" customFormat="1" ht="32" hidden="1" customHeight="1" spans="1:121">
      <c r="A114" s="27" t="str">
        <f>[2]底表!A114</f>
        <v>扰乱公共秩序</v>
      </c>
      <c r="B114" s="28" t="str">
        <f>[2]底表!B114</f>
        <v>郁南县</v>
      </c>
      <c r="C114" s="21">
        <f>[2]底表!AM114</f>
        <v>3</v>
      </c>
      <c r="D114" s="21">
        <f>[2]底表!AN114</f>
        <v>1</v>
      </c>
      <c r="E114" s="23">
        <f>[2]底表!AO114</f>
        <v>2</v>
      </c>
      <c r="F114" s="21">
        <f>[2]底表!AP114</f>
        <v>0</v>
      </c>
      <c r="G114" s="21" t="str">
        <f>[2]底表!AQ114</f>
        <v>多3起</v>
      </c>
      <c r="H114" s="21">
        <f>[2]底表!AR114</f>
        <v>1</v>
      </c>
      <c r="I114" s="21">
        <f>[2]底表!AS114</f>
        <v>0.5</v>
      </c>
      <c r="J114" s="21">
        <f>[2]底表!AT114</f>
        <v>3</v>
      </c>
      <c r="K114" s="21">
        <f>[2]底表!AU114</f>
        <v>2</v>
      </c>
      <c r="L114" s="21">
        <f>[2]底表!AV114</f>
        <v>0.5</v>
      </c>
      <c r="M114" s="21">
        <f>[2]底表!AW114</f>
        <v>0</v>
      </c>
      <c r="N114" s="21" t="str">
        <f>[2]底表!AX114</f>
        <v>多3起</v>
      </c>
      <c r="O114" s="21">
        <f>[2]底表!AY114</f>
        <v>3</v>
      </c>
      <c r="P114" s="21">
        <f>[2]底表!AZ114</f>
        <v>1</v>
      </c>
      <c r="Q114" s="21">
        <f>[2]底表!BA114</f>
        <v>2</v>
      </c>
      <c r="R114" s="21">
        <f>[2]底表!BB114</f>
        <v>0</v>
      </c>
      <c r="S114" s="21" t="str">
        <f>[2]底表!BC114</f>
        <v>多3起</v>
      </c>
      <c r="T114" s="21">
        <f>[2]底表!BD114</f>
        <v>1</v>
      </c>
      <c r="U114" s="21">
        <f>[2]底表!BE114</f>
        <v>0.5</v>
      </c>
      <c r="V114" s="21">
        <f>[2]底表!BF114</f>
        <v>0</v>
      </c>
      <c r="W114" s="21">
        <f>[2]底表!BG114</f>
        <v>0</v>
      </c>
      <c r="X114" s="21" t="str">
        <f>[2]底表!BH114</f>
        <v>持平</v>
      </c>
      <c r="Y114" s="21">
        <f>[2]底表!BI114</f>
        <v>0</v>
      </c>
      <c r="Z114" s="21" t="str">
        <f>[2]底表!BJ114</f>
        <v>持平</v>
      </c>
      <c r="AA114" s="21">
        <f>[2]底表!BK114</f>
        <v>0</v>
      </c>
      <c r="AB114" s="21">
        <f>[2]底表!BL114</f>
        <v>0</v>
      </c>
      <c r="AC114" s="21">
        <f>[2]底表!BM114</f>
        <v>0</v>
      </c>
      <c r="AD114" s="21" t="str">
        <f>[2]底表!BN114</f>
        <v>持平</v>
      </c>
      <c r="AE114" s="21">
        <f>[2]底表!BO114</f>
        <v>0</v>
      </c>
      <c r="AF114" s="21" t="str">
        <f>[2]底表!BP114</f>
        <v>持平</v>
      </c>
      <c r="AG114" s="21">
        <f>[2]底表!BT114</f>
        <v>5</v>
      </c>
      <c r="AH114" s="21">
        <f>[2]底表!BU114</f>
        <v>-0.4</v>
      </c>
      <c r="AI114" s="21">
        <f>[2]底表!BV114</f>
        <v>1</v>
      </c>
      <c r="AJ114" s="21">
        <f>[2]底表!BW114</f>
        <v>1</v>
      </c>
      <c r="AK114" s="21">
        <f>[2]底表!BX114</f>
        <v>1</v>
      </c>
      <c r="AL114" s="21">
        <f>[2]底表!BY114</f>
        <v>1</v>
      </c>
      <c r="AM114" s="21">
        <f>[2]底表!BZ114</f>
        <v>0</v>
      </c>
      <c r="AN114" s="21">
        <f>[2]底表!CA114</f>
        <v>0</v>
      </c>
      <c r="AO114" s="21" t="str">
        <f>[2]底表!CB114</f>
        <v>持平</v>
      </c>
      <c r="AP114" s="21">
        <f>[2]底表!CC114</f>
        <v>0</v>
      </c>
      <c r="AQ114" s="21" t="str">
        <f>[2]底表!CD114</f>
        <v>持平</v>
      </c>
      <c r="AR114" s="21" t="str">
        <f>[2]底表!CE114</f>
        <v/>
      </c>
      <c r="AS114" s="21" t="str">
        <f>[2]底表!CF114</f>
        <v/>
      </c>
      <c r="AT114" s="21">
        <f>[2]底表!CG114</f>
        <v>13</v>
      </c>
      <c r="AU114" s="21">
        <f>[2]底表!CH114</f>
        <v>7</v>
      </c>
      <c r="AV114" s="21">
        <f>[2]底表!CI114</f>
        <v>0.8571</v>
      </c>
      <c r="AW114" s="21">
        <f>[2]底表!CJ114</f>
        <v>1</v>
      </c>
      <c r="AX114" s="21">
        <f>[2]底表!CK114</f>
        <v>12</v>
      </c>
      <c r="AY114" s="21">
        <f>[2]底表!CL114</f>
        <v>433</v>
      </c>
      <c r="AZ114" s="21">
        <f>[2]底表!CM114</f>
        <v>83</v>
      </c>
      <c r="BA114" s="21">
        <f>[2]底表!CN114</f>
        <v>0.2381</v>
      </c>
      <c r="BB114" s="21">
        <f>[2]底表!CO114</f>
        <v>14</v>
      </c>
      <c r="BC114" s="21">
        <f>[2]底表!CP114</f>
        <v>2</v>
      </c>
      <c r="BD114" s="21">
        <f>[2]底表!CQ114</f>
        <v>6</v>
      </c>
      <c r="BE114" s="21">
        <f>[2]底表!CR114</f>
        <v>0</v>
      </c>
      <c r="BF114" s="21" t="str">
        <f>[2]底表!CS114</f>
        <v>多14人</v>
      </c>
      <c r="BG114" s="21">
        <f>[2]底表!CT114</f>
        <v>1.0769</v>
      </c>
      <c r="BH114" s="21">
        <f>[2]底表!CU114</f>
        <v>0.7912</v>
      </c>
      <c r="BI114" s="21">
        <f>[2]底表!CV114</f>
        <v>467</v>
      </c>
      <c r="BJ114" s="21">
        <f>[2]底表!CW114</f>
        <v>367</v>
      </c>
      <c r="BK114" s="21">
        <f>[2]底表!CX114</f>
        <v>3.6667</v>
      </c>
      <c r="BL114" s="21">
        <f>[2]底表!CY114</f>
        <v>15</v>
      </c>
      <c r="BM114" s="21">
        <f>[2]底表!CZ114</f>
        <v>2</v>
      </c>
      <c r="BN114" s="23">
        <f>[2]底表!DA114</f>
        <v>6.5</v>
      </c>
      <c r="BO114" s="21">
        <f>[2]底表!DB114</f>
        <v>0</v>
      </c>
      <c r="BP114" s="21" t="str">
        <f>[2]底表!DC114</f>
        <v>多15人</v>
      </c>
      <c r="BQ114" s="21">
        <f>[2]底表!DD114</f>
        <v>1.1538</v>
      </c>
      <c r="BR114" s="21">
        <f>[2]底表!DE114</f>
        <v>0.8681</v>
      </c>
      <c r="BS114" s="21">
        <f>[2]底表!DF114</f>
        <v>500</v>
      </c>
      <c r="BT114" s="21">
        <f>[2]底表!DG114</f>
        <v>400</v>
      </c>
      <c r="BU114" s="21">
        <f>[2]底表!DH114</f>
        <v>4</v>
      </c>
      <c r="BV114" s="21">
        <f>[2]底表!DI114</f>
        <v>4</v>
      </c>
      <c r="BW114" s="21">
        <f>[2]底表!DJ114</f>
        <v>2</v>
      </c>
      <c r="BX114" s="23">
        <f>[2]底表!DK114</f>
        <v>1</v>
      </c>
      <c r="BY114" s="21">
        <f>[2]底表!DL114</f>
        <v>9</v>
      </c>
      <c r="BZ114" s="21">
        <f>[2]底表!DM114</f>
        <v>-0.5556</v>
      </c>
      <c r="CA114" s="21">
        <f>[2]底表!DN114</f>
        <v>2</v>
      </c>
      <c r="CB114" s="21">
        <f>[2]底表!DO114</f>
        <v>6</v>
      </c>
      <c r="CC114" s="21">
        <f>[2]底表!DP114</f>
        <v>-0.6667</v>
      </c>
      <c r="CD114" s="21">
        <f>[2]底表!DQ114</f>
        <v>5</v>
      </c>
      <c r="CE114" s="21">
        <f>[2]底表!DR114</f>
        <v>-0.6</v>
      </c>
      <c r="CF114" s="21">
        <f>[2]底表!DS114</f>
        <v>2</v>
      </c>
      <c r="CG114" s="21">
        <f>[2]底表!DT114</f>
        <v>6</v>
      </c>
      <c r="CH114" s="21">
        <f>[2]底表!DU114</f>
        <v>-0.6667</v>
      </c>
      <c r="CI114" s="21">
        <f>[2]底表!DV114</f>
        <v>5</v>
      </c>
      <c r="CJ114" s="21">
        <f>[2]底表!DW114</f>
        <v>-0.6</v>
      </c>
      <c r="CK114" s="21">
        <f>[2]底表!DX114</f>
        <v>1</v>
      </c>
      <c r="CL114" s="21">
        <f>[2]底表!DY114</f>
        <v>0</v>
      </c>
      <c r="CM114" s="21" t="str">
        <f>[2]底表!DZ114</f>
        <v>多1人</v>
      </c>
      <c r="CN114" s="21">
        <f>[2]底表!EA114</f>
        <v>8</v>
      </c>
      <c r="CO114" s="21">
        <f>[2]底表!EB114</f>
        <v>-0.875</v>
      </c>
      <c r="CP114" s="21">
        <f>[2]底表!EC114</f>
        <v>3</v>
      </c>
      <c r="CQ114" s="21">
        <f>[2]底表!ED114</f>
        <v>0</v>
      </c>
      <c r="CR114" s="21" t="str">
        <f>[2]底表!EE114</f>
        <v>多3人</v>
      </c>
      <c r="CS114" s="21">
        <f>[2]底表!EF114</f>
        <v>6</v>
      </c>
      <c r="CT114" s="21">
        <f>[2]底表!EG114</f>
        <v>-0.5</v>
      </c>
      <c r="CU114" s="21">
        <f>[2]底表!EH114</f>
        <v>0.2143</v>
      </c>
      <c r="CV114" s="21">
        <f>[2]底表!EI114</f>
        <v>0.2143</v>
      </c>
      <c r="CW114" s="21">
        <f>[2]底表!EJ114</f>
        <v>100</v>
      </c>
      <c r="CX114" s="21">
        <f>[2]底表!EK114</f>
        <v>100</v>
      </c>
      <c r="CY114" s="21" t="str">
        <f>[2]底表!EL114</f>
        <v/>
      </c>
      <c r="CZ114" s="21">
        <f>[2]底表!EM114</f>
        <v>3</v>
      </c>
      <c r="DA114" s="21">
        <f>[2]底表!EN114</f>
        <v>0</v>
      </c>
      <c r="DB114" s="21" t="str">
        <f>[2]底表!EO114</f>
        <v>多3人</v>
      </c>
      <c r="DC114" s="21">
        <f>[2]底表!EP114</f>
        <v>6</v>
      </c>
      <c r="DD114" s="21">
        <f>[2]底表!EQ114</f>
        <v>-0.5</v>
      </c>
      <c r="DE114" s="21">
        <f>[2]底表!ER114</f>
        <v>10</v>
      </c>
      <c r="DF114" s="21">
        <f>[2]底表!ES114</f>
        <v>0</v>
      </c>
      <c r="DG114" s="23" t="str">
        <f>[2]底表!ET114</f>
        <v>多10人</v>
      </c>
      <c r="DH114" s="21">
        <f>[2]底表!EU114</f>
        <v>13</v>
      </c>
      <c r="DI114" s="21">
        <f>[2]底表!EV114</f>
        <v>-0.2308</v>
      </c>
      <c r="DJ114" s="21">
        <f>[2]底表!EW114</f>
        <v>0.7143</v>
      </c>
      <c r="DK114" s="21">
        <f>[2]底表!EX114</f>
        <v>0.7143</v>
      </c>
      <c r="DL114" s="21">
        <f>[2]底表!EY114</f>
        <v>333</v>
      </c>
      <c r="DM114" s="21">
        <f>[2]底表!EZ114</f>
        <v>333</v>
      </c>
      <c r="DN114" s="21" t="str">
        <f>[2]底表!FA114</f>
        <v/>
      </c>
      <c r="DO114" s="21">
        <f>[2]底表!BQ114</f>
        <v>3</v>
      </c>
      <c r="DP114" s="21">
        <f>[2]底表!BR114</f>
        <v>0</v>
      </c>
      <c r="DQ114" s="24" t="str">
        <f>[2]底表!BS114</f>
        <v>多3起</v>
      </c>
    </row>
    <row r="115" s="2" customFormat="1" ht="32" hidden="1" customHeight="1" spans="1:121">
      <c r="A115" s="27" t="str">
        <f>[2]底表!A115</f>
        <v>扰乱公共秩序</v>
      </c>
      <c r="B115" s="28" t="str">
        <f>[2]底表!B115</f>
        <v>罗定市</v>
      </c>
      <c r="C115" s="21">
        <f>[2]底表!AM115</f>
        <v>4</v>
      </c>
      <c r="D115" s="21">
        <f>[2]底表!AN115</f>
        <v>1</v>
      </c>
      <c r="E115" s="23">
        <f>[2]底表!AO115</f>
        <v>3</v>
      </c>
      <c r="F115" s="21">
        <f>[2]底表!AP115</f>
        <v>5</v>
      </c>
      <c r="G115" s="21">
        <f>[2]底表!AQ115</f>
        <v>-0.2</v>
      </c>
      <c r="H115" s="21">
        <f>[2]底表!AR115</f>
        <v>1.3333</v>
      </c>
      <c r="I115" s="21">
        <f>[2]底表!AS115</f>
        <v>0.3333</v>
      </c>
      <c r="J115" s="21">
        <f>[2]底表!AT115</f>
        <v>0</v>
      </c>
      <c r="K115" s="21">
        <f>[2]底表!AU115</f>
        <v>1</v>
      </c>
      <c r="L115" s="21" t="str">
        <f>[2]底表!AV115</f>
        <v>少1起</v>
      </c>
      <c r="M115" s="21">
        <f>[2]底表!AW115</f>
        <v>0</v>
      </c>
      <c r="N115" s="21" t="str">
        <f>[2]底表!AX115</f>
        <v>持平</v>
      </c>
      <c r="O115" s="21">
        <f>[2]底表!AY115</f>
        <v>0</v>
      </c>
      <c r="P115" s="21">
        <f>[2]底表!AZ115</f>
        <v>0</v>
      </c>
      <c r="Q115" s="21" t="str">
        <f>[2]底表!BA115</f>
        <v>持平</v>
      </c>
      <c r="R115" s="21">
        <f>[2]底表!BB115</f>
        <v>2</v>
      </c>
      <c r="S115" s="21" t="str">
        <f>[2]底表!BC115</f>
        <v>少2起</v>
      </c>
      <c r="T115" s="21" t="str">
        <f>[2]底表!BD115</f>
        <v/>
      </c>
      <c r="U115" s="21" t="str">
        <f>[2]底表!BE115</f>
        <v/>
      </c>
      <c r="V115" s="21">
        <f>[2]底表!BF115</f>
        <v>3</v>
      </c>
      <c r="W115" s="21">
        <f>[2]底表!BG115</f>
        <v>0</v>
      </c>
      <c r="X115" s="21" t="str">
        <f>[2]底表!BH115</f>
        <v>多3起</v>
      </c>
      <c r="Y115" s="21">
        <f>[2]底表!BI115</f>
        <v>0</v>
      </c>
      <c r="Z115" s="21" t="str">
        <f>[2]底表!BJ115</f>
        <v>多3起</v>
      </c>
      <c r="AA115" s="21">
        <f>[2]底表!BK115</f>
        <v>1</v>
      </c>
      <c r="AB115" s="21">
        <f>[2]底表!BL115</f>
        <v>4</v>
      </c>
      <c r="AC115" s="21">
        <f>[2]底表!BM115</f>
        <v>1</v>
      </c>
      <c r="AD115" s="21">
        <f>[2]底表!BN115</f>
        <v>3</v>
      </c>
      <c r="AE115" s="21">
        <f>[2]底表!BO115</f>
        <v>3</v>
      </c>
      <c r="AF115" s="21">
        <f>[2]底表!BP115</f>
        <v>0.3333</v>
      </c>
      <c r="AG115" s="21">
        <f>[2]底表!BT115</f>
        <v>3</v>
      </c>
      <c r="AH115" s="21">
        <f>[2]底表!BU115</f>
        <v>-0.6667</v>
      </c>
      <c r="AI115" s="21">
        <f>[2]底表!BV115</f>
        <v>0.3333</v>
      </c>
      <c r="AJ115" s="21">
        <f>[2]底表!BW115</f>
        <v>-1.6667</v>
      </c>
      <c r="AK115" s="21" t="str">
        <f>[2]底表!BX115</f>
        <v/>
      </c>
      <c r="AL115" s="21" t="str">
        <f>[2]底表!BY115</f>
        <v/>
      </c>
      <c r="AM115" s="21">
        <f>[2]底表!BZ115</f>
        <v>0</v>
      </c>
      <c r="AN115" s="21">
        <f>[2]底表!CA115</f>
        <v>0</v>
      </c>
      <c r="AO115" s="21" t="str">
        <f>[2]底表!CB115</f>
        <v>持平</v>
      </c>
      <c r="AP115" s="21">
        <f>[2]底表!CC115</f>
        <v>0</v>
      </c>
      <c r="AQ115" s="21" t="str">
        <f>[2]底表!CD115</f>
        <v>持平</v>
      </c>
      <c r="AR115" s="21" t="str">
        <f>[2]底表!CE115</f>
        <v/>
      </c>
      <c r="AS115" s="21" t="str">
        <f>[2]底表!CF115</f>
        <v/>
      </c>
      <c r="AT115" s="21">
        <f>[2]底表!CG115</f>
        <v>13</v>
      </c>
      <c r="AU115" s="21">
        <f>[2]底表!CH115</f>
        <v>5</v>
      </c>
      <c r="AV115" s="21">
        <f>[2]底表!CI115</f>
        <v>1.6</v>
      </c>
      <c r="AW115" s="21">
        <f>[2]底表!CJ115</f>
        <v>25</v>
      </c>
      <c r="AX115" s="21">
        <f>[2]底表!CK115</f>
        <v>-0.48</v>
      </c>
      <c r="AY115" s="21">
        <f>[2]底表!CL115</f>
        <v>433</v>
      </c>
      <c r="AZ115" s="21">
        <f>[2]底表!CM115</f>
        <v>-67</v>
      </c>
      <c r="BA115" s="21">
        <f>[2]底表!CN115</f>
        <v>-0.1333</v>
      </c>
      <c r="BB115" s="21">
        <f>[2]底表!CO115</f>
        <v>9</v>
      </c>
      <c r="BC115" s="21">
        <f>[2]底表!CP115</f>
        <v>15</v>
      </c>
      <c r="BD115" s="21">
        <f>[2]底表!CQ115</f>
        <v>-0.4</v>
      </c>
      <c r="BE115" s="21">
        <f>[2]底表!CR115</f>
        <v>0</v>
      </c>
      <c r="BF115" s="21" t="str">
        <f>[2]底表!CS115</f>
        <v>多9人</v>
      </c>
      <c r="BG115" s="21">
        <f>[2]底表!CT115</f>
        <v>0.6923</v>
      </c>
      <c r="BH115" s="21">
        <f>[2]底表!CU115</f>
        <v>-2.3077</v>
      </c>
      <c r="BI115" s="21">
        <f>[2]底表!CV115</f>
        <v>300</v>
      </c>
      <c r="BJ115" s="21">
        <f>[2]底表!CW115</f>
        <v>-1200</v>
      </c>
      <c r="BK115" s="21">
        <f>[2]底表!CX115</f>
        <v>-0.8</v>
      </c>
      <c r="BL115" s="21">
        <f>[2]底表!CY115</f>
        <v>9</v>
      </c>
      <c r="BM115" s="21">
        <f>[2]底表!CZ115</f>
        <v>15</v>
      </c>
      <c r="BN115" s="23">
        <f>[2]底表!DA115</f>
        <v>-0.4</v>
      </c>
      <c r="BO115" s="21">
        <f>[2]底表!DB115</f>
        <v>0</v>
      </c>
      <c r="BP115" s="21" t="str">
        <f>[2]底表!DC115</f>
        <v>多9人</v>
      </c>
      <c r="BQ115" s="21">
        <f>[2]底表!DD115</f>
        <v>0.6923</v>
      </c>
      <c r="BR115" s="21">
        <f>[2]底表!DE115</f>
        <v>-2.3077</v>
      </c>
      <c r="BS115" s="21">
        <f>[2]底表!DF115</f>
        <v>300</v>
      </c>
      <c r="BT115" s="21">
        <f>[2]底表!DG115</f>
        <v>-1200</v>
      </c>
      <c r="BU115" s="21">
        <f>[2]底表!DH115</f>
        <v>-0.8</v>
      </c>
      <c r="BV115" s="21">
        <f>[2]底表!DI115</f>
        <v>18</v>
      </c>
      <c r="BW115" s="21">
        <f>[2]底表!DJ115</f>
        <v>0</v>
      </c>
      <c r="BX115" s="23" t="str">
        <f>[2]底表!DK115</f>
        <v>多18人</v>
      </c>
      <c r="BY115" s="21">
        <f>[2]底表!DL115</f>
        <v>28</v>
      </c>
      <c r="BZ115" s="21">
        <f>[2]底表!DM115</f>
        <v>-0.3571</v>
      </c>
      <c r="CA115" s="21">
        <f>[2]底表!DN115</f>
        <v>2</v>
      </c>
      <c r="CB115" s="21">
        <f>[2]底表!DO115</f>
        <v>7</v>
      </c>
      <c r="CC115" s="21">
        <f>[2]底表!DP115</f>
        <v>-0.7143</v>
      </c>
      <c r="CD115" s="21">
        <f>[2]底表!DQ115</f>
        <v>2</v>
      </c>
      <c r="CE115" s="21">
        <f>[2]底表!DR115</f>
        <v>0</v>
      </c>
      <c r="CF115" s="21">
        <f>[2]底表!DS115</f>
        <v>2</v>
      </c>
      <c r="CG115" s="21">
        <f>[2]底表!DT115</f>
        <v>7</v>
      </c>
      <c r="CH115" s="21">
        <f>[2]底表!DU115</f>
        <v>-0.7143</v>
      </c>
      <c r="CI115" s="21">
        <f>[2]底表!DV115</f>
        <v>2</v>
      </c>
      <c r="CJ115" s="21">
        <f>[2]底表!DW115</f>
        <v>0</v>
      </c>
      <c r="CK115" s="21">
        <f>[2]底表!DX115</f>
        <v>12</v>
      </c>
      <c r="CL115" s="21">
        <f>[2]底表!DY115</f>
        <v>12</v>
      </c>
      <c r="CM115" s="21">
        <f>[2]底表!DZ115</f>
        <v>0</v>
      </c>
      <c r="CN115" s="21">
        <f>[2]底表!EA115</f>
        <v>12</v>
      </c>
      <c r="CO115" s="21">
        <f>[2]底表!EB115</f>
        <v>0</v>
      </c>
      <c r="CP115" s="21">
        <f>[2]底表!EC115</f>
        <v>9</v>
      </c>
      <c r="CQ115" s="21">
        <f>[2]底表!ED115</f>
        <v>7</v>
      </c>
      <c r="CR115" s="21">
        <f>[2]底表!EE115</f>
        <v>0.2857</v>
      </c>
      <c r="CS115" s="21">
        <f>[2]底表!EF115</f>
        <v>10</v>
      </c>
      <c r="CT115" s="21">
        <f>[2]底表!EG115</f>
        <v>-0.1</v>
      </c>
      <c r="CU115" s="21">
        <f>[2]底表!EH115</f>
        <v>1</v>
      </c>
      <c r="CV115" s="21">
        <f>[2]底表!EI115</f>
        <v>0.5333</v>
      </c>
      <c r="CW115" s="21">
        <f>[2]底表!EJ115</f>
        <v>300</v>
      </c>
      <c r="CX115" s="21">
        <f>[2]底表!EK115</f>
        <v>-400</v>
      </c>
      <c r="CY115" s="21">
        <f>[2]底表!EL115</f>
        <v>-0.5714</v>
      </c>
      <c r="CZ115" s="21">
        <f>[2]底表!EM115</f>
        <v>9</v>
      </c>
      <c r="DA115" s="21">
        <f>[2]底表!EN115</f>
        <v>7</v>
      </c>
      <c r="DB115" s="21">
        <f>[2]底表!EO115</f>
        <v>0.2857</v>
      </c>
      <c r="DC115" s="21">
        <f>[2]底表!EP115</f>
        <v>10</v>
      </c>
      <c r="DD115" s="21">
        <f>[2]底表!EQ115</f>
        <v>-0.1</v>
      </c>
      <c r="DE115" s="21">
        <f>[2]底表!ER115</f>
        <v>4</v>
      </c>
      <c r="DF115" s="21">
        <f>[2]底表!ES115</f>
        <v>2</v>
      </c>
      <c r="DG115" s="23">
        <f>[2]底表!ET115</f>
        <v>1</v>
      </c>
      <c r="DH115" s="21">
        <f>[2]底表!EU115</f>
        <v>5</v>
      </c>
      <c r="DI115" s="21">
        <f>[2]底表!EV115</f>
        <v>-0.2</v>
      </c>
      <c r="DJ115" s="21">
        <f>[2]底表!EW115</f>
        <v>0.4444</v>
      </c>
      <c r="DK115" s="21">
        <f>[2]底表!EX115</f>
        <v>0.3111</v>
      </c>
      <c r="DL115" s="21">
        <f>[2]底表!EY115</f>
        <v>133</v>
      </c>
      <c r="DM115" s="21">
        <f>[2]底表!EZ115</f>
        <v>-67</v>
      </c>
      <c r="DN115" s="21">
        <f>[2]底表!FA115</f>
        <v>-0.3333</v>
      </c>
      <c r="DO115" s="21">
        <f>[2]底表!BQ115</f>
        <v>1</v>
      </c>
      <c r="DP115" s="21">
        <f>[2]底表!BR115</f>
        <v>2</v>
      </c>
      <c r="DQ115" s="24">
        <f>[2]底表!BS115</f>
        <v>-0.5</v>
      </c>
    </row>
    <row r="116" s="2" customFormat="1" ht="32" hidden="1" customHeight="1" spans="1:121">
      <c r="A116" s="27" t="str">
        <f>[2]底表!A116</f>
        <v>利信、帮信</v>
      </c>
      <c r="B116" s="28" t="str">
        <f>[2]底表!B116</f>
        <v>全省</v>
      </c>
      <c r="C116" s="21">
        <f>[2]底表!AM116</f>
        <v>1424</v>
      </c>
      <c r="D116" s="21">
        <f>[2]底表!AN116</f>
        <v>1650</v>
      </c>
      <c r="E116" s="23">
        <f>[2]底表!AO116</f>
        <v>-0.137</v>
      </c>
      <c r="F116" s="21">
        <f>[2]底表!AP116</f>
        <v>5139</v>
      </c>
      <c r="G116" s="21">
        <f>[2]底表!AQ116</f>
        <v>-0.7229</v>
      </c>
      <c r="H116" s="21">
        <f>[2]底表!AR116</f>
        <v>0.4701</v>
      </c>
      <c r="I116" s="21">
        <f>[2]底表!AS116</f>
        <v>0.3222</v>
      </c>
      <c r="J116" s="21">
        <f>[2]底表!AT116</f>
        <v>1915</v>
      </c>
      <c r="K116" s="21">
        <f>[2]底表!AU116</f>
        <v>4357</v>
      </c>
      <c r="L116" s="21">
        <f>[2]底表!AV116</f>
        <v>-0.5605</v>
      </c>
      <c r="M116" s="21">
        <f>[2]底表!AW116</f>
        <v>6302</v>
      </c>
      <c r="N116" s="21">
        <f>[2]底表!AX116</f>
        <v>-0.6961</v>
      </c>
      <c r="O116" s="21">
        <f>[2]底表!AY116</f>
        <v>167</v>
      </c>
      <c r="P116" s="21">
        <f>[2]底表!AZ116</f>
        <v>482</v>
      </c>
      <c r="Q116" s="21">
        <f>[2]底表!BA116</f>
        <v>-0.6535</v>
      </c>
      <c r="R116" s="21">
        <f>[2]底表!BB116</f>
        <v>1981</v>
      </c>
      <c r="S116" s="21">
        <f>[2]底表!BC116</f>
        <v>-0.9157</v>
      </c>
      <c r="T116" s="21">
        <f>[2]底表!BD116</f>
        <v>0.0872</v>
      </c>
      <c r="U116" s="21">
        <f>[2]底表!BE116</f>
        <v>-0.0234</v>
      </c>
      <c r="V116" s="21">
        <f>[2]底表!BF116</f>
        <v>1114</v>
      </c>
      <c r="W116" s="21">
        <f>[2]底表!BG116</f>
        <v>6799</v>
      </c>
      <c r="X116" s="21">
        <f>[2]底表!BH116</f>
        <v>-0.8362</v>
      </c>
      <c r="Y116" s="21">
        <f>[2]底表!BI116</f>
        <v>82</v>
      </c>
      <c r="Z116" s="21">
        <f>[2]底表!BJ116</f>
        <v>12.5854</v>
      </c>
      <c r="AA116" s="21">
        <f>[2]底表!BK116</f>
        <v>0.3678</v>
      </c>
      <c r="AB116" s="21">
        <f>[2]底表!BL116</f>
        <v>1257</v>
      </c>
      <c r="AC116" s="21">
        <f>[2]底表!BM116</f>
        <v>1168</v>
      </c>
      <c r="AD116" s="21">
        <f>[2]底表!BN116</f>
        <v>0.0762</v>
      </c>
      <c r="AE116" s="21">
        <f>[2]底表!BO116</f>
        <v>3158</v>
      </c>
      <c r="AF116" s="21">
        <f>[2]底表!BP116</f>
        <v>-0.602</v>
      </c>
      <c r="AG116" s="21">
        <f>[2]底表!BT116</f>
        <v>495</v>
      </c>
      <c r="AH116" s="21">
        <f>[2]底表!BU116</f>
        <v>-0.5232</v>
      </c>
      <c r="AI116" s="21">
        <f>[2]底表!BV116</f>
        <v>0.0779</v>
      </c>
      <c r="AJ116" s="21">
        <f>[2]底表!BW116</f>
        <v>0.062</v>
      </c>
      <c r="AK116" s="21">
        <f>[2]底表!BX116</f>
        <v>0.1232</v>
      </c>
      <c r="AL116" s="21">
        <f>[2]底表!BY116</f>
        <v>0.0824</v>
      </c>
      <c r="AM116" s="21">
        <f>[2]底表!BZ116</f>
        <v>2</v>
      </c>
      <c r="AN116" s="21">
        <f>[2]底表!CA116</f>
        <v>2</v>
      </c>
      <c r="AO116" s="21">
        <f>[2]底表!CB116</f>
        <v>0</v>
      </c>
      <c r="AP116" s="21">
        <f>[2]底表!CC116</f>
        <v>62</v>
      </c>
      <c r="AQ116" s="21">
        <f>[2]底表!CD116</f>
        <v>-0.9677</v>
      </c>
      <c r="AR116" s="21" t="str">
        <f>[2]底表!CE116</f>
        <v/>
      </c>
      <c r="AS116" s="21" t="str">
        <f>[2]底表!CF116</f>
        <v/>
      </c>
      <c r="AT116" s="21">
        <f>[2]底表!CG116</f>
        <v>1499</v>
      </c>
      <c r="AU116" s="21">
        <f>[2]底表!CH116</f>
        <v>1688</v>
      </c>
      <c r="AV116" s="21">
        <f>[2]底表!CI116</f>
        <v>-0.112</v>
      </c>
      <c r="AW116" s="21">
        <f>[2]底表!CJ116</f>
        <v>2215</v>
      </c>
      <c r="AX116" s="21">
        <f>[2]底表!CK116</f>
        <v>-0.3233</v>
      </c>
      <c r="AY116" s="21">
        <f>[2]底表!CL116</f>
        <v>49</v>
      </c>
      <c r="AZ116" s="21">
        <f>[2]底表!CM116</f>
        <v>34</v>
      </c>
      <c r="BA116" s="21">
        <f>[2]底表!CN116</f>
        <v>2.2707</v>
      </c>
      <c r="BB116" s="21">
        <f>[2]底表!CO116</f>
        <v>1707</v>
      </c>
      <c r="BC116" s="21">
        <f>[2]底表!CP116</f>
        <v>1178</v>
      </c>
      <c r="BD116" s="21">
        <f>[2]底表!CQ116</f>
        <v>0.4491</v>
      </c>
      <c r="BE116" s="21">
        <f>[2]底表!CR116</f>
        <v>1385</v>
      </c>
      <c r="BF116" s="21">
        <f>[2]底表!CS116</f>
        <v>0.2325</v>
      </c>
      <c r="BG116" s="21">
        <f>[2]底表!CT116</f>
        <v>1.1388</v>
      </c>
      <c r="BH116" s="21">
        <f>[2]底表!CU116</f>
        <v>0.4409</v>
      </c>
      <c r="BI116" s="21">
        <f>[2]底表!CV116</f>
        <v>56</v>
      </c>
      <c r="BJ116" s="21">
        <f>[2]底表!CW116</f>
        <v>46</v>
      </c>
      <c r="BK116" s="21">
        <f>[2]底表!CX116</f>
        <v>4.337</v>
      </c>
      <c r="BL116" s="21">
        <f>[2]底表!CY116</f>
        <v>1815</v>
      </c>
      <c r="BM116" s="21">
        <f>[2]底表!CZ116</f>
        <v>1347</v>
      </c>
      <c r="BN116" s="23">
        <f>[2]底表!DA116</f>
        <v>0.3474</v>
      </c>
      <c r="BO116" s="21">
        <f>[2]底表!DB116</f>
        <v>1548</v>
      </c>
      <c r="BP116" s="21">
        <f>[2]底表!DC116</f>
        <v>0.1725</v>
      </c>
      <c r="BQ116" s="21">
        <f>[2]底表!DD116</f>
        <v>1.2108</v>
      </c>
      <c r="BR116" s="21">
        <f>[2]底表!DE116</f>
        <v>0.4128</v>
      </c>
      <c r="BS116" s="21">
        <f>[2]底表!DF116</f>
        <v>60</v>
      </c>
      <c r="BT116" s="21">
        <f>[2]底表!DG116</f>
        <v>48</v>
      </c>
      <c r="BU116" s="21">
        <f>[2]底表!DH116</f>
        <v>3.9627</v>
      </c>
      <c r="BV116" s="21">
        <f>[2]底表!DI116</f>
        <v>854</v>
      </c>
      <c r="BW116" s="21">
        <f>[2]底表!DJ116</f>
        <v>540</v>
      </c>
      <c r="BX116" s="23">
        <f>[2]底表!DK116</f>
        <v>0.5815</v>
      </c>
      <c r="BY116" s="21">
        <f>[2]底表!DL116</f>
        <v>639</v>
      </c>
      <c r="BZ116" s="21">
        <f>[2]底表!DM116</f>
        <v>0.3365</v>
      </c>
      <c r="CA116" s="21">
        <f>[2]底表!DN116</f>
        <v>964</v>
      </c>
      <c r="CB116" s="21">
        <f>[2]底表!DO116</f>
        <v>854</v>
      </c>
      <c r="CC116" s="21">
        <f>[2]底表!DP116</f>
        <v>0.1288</v>
      </c>
      <c r="CD116" s="21">
        <f>[2]底表!DQ116</f>
        <v>1025</v>
      </c>
      <c r="CE116" s="21">
        <f>[2]底表!DR116</f>
        <v>-0.0595</v>
      </c>
      <c r="CF116" s="21">
        <f>[2]底表!DS116</f>
        <v>965</v>
      </c>
      <c r="CG116" s="21">
        <f>[2]底表!DT116</f>
        <v>854</v>
      </c>
      <c r="CH116" s="21">
        <f>[2]底表!DU116</f>
        <v>0.13</v>
      </c>
      <c r="CI116" s="21">
        <f>[2]底表!DV116</f>
        <v>1026</v>
      </c>
      <c r="CJ116" s="21">
        <f>[2]底表!DW116</f>
        <v>-0.0595</v>
      </c>
      <c r="CK116" s="21">
        <f>[2]底表!DX116</f>
        <v>463</v>
      </c>
      <c r="CL116" s="21">
        <f>[2]底表!DY116</f>
        <v>479</v>
      </c>
      <c r="CM116" s="21">
        <f>[2]底表!DZ116</f>
        <v>-0.0334</v>
      </c>
      <c r="CN116" s="21">
        <f>[2]底表!EA116</f>
        <v>365</v>
      </c>
      <c r="CO116" s="21">
        <f>[2]底表!EB116</f>
        <v>0.2685</v>
      </c>
      <c r="CP116" s="21">
        <f>[2]底表!EC116</f>
        <v>147</v>
      </c>
      <c r="CQ116" s="21">
        <f>[2]底表!ED116</f>
        <v>283</v>
      </c>
      <c r="CR116" s="21">
        <f>[2]底表!EE116</f>
        <v>-0.4806</v>
      </c>
      <c r="CS116" s="21">
        <f>[2]底表!EF116</f>
        <v>187</v>
      </c>
      <c r="CT116" s="21">
        <f>[2]底表!EG116</f>
        <v>-0.2139</v>
      </c>
      <c r="CU116" s="21">
        <f>[2]底表!EH116</f>
        <v>0.0861</v>
      </c>
      <c r="CV116" s="21">
        <f>[2]底表!EI116</f>
        <v>-0.1541</v>
      </c>
      <c r="CW116" s="21">
        <f>[2]底表!EJ116</f>
        <v>5</v>
      </c>
      <c r="CX116" s="21">
        <f>[2]底表!EK116</f>
        <v>2</v>
      </c>
      <c r="CY116" s="21">
        <f>[2]底表!EL116</f>
        <v>0.9131</v>
      </c>
      <c r="CZ116" s="21">
        <f>[2]底表!EM116</f>
        <v>165</v>
      </c>
      <c r="DA116" s="21">
        <f>[2]底表!EN116</f>
        <v>266</v>
      </c>
      <c r="DB116" s="21">
        <f>[2]底表!EO116</f>
        <v>-0.3797</v>
      </c>
      <c r="DC116" s="21">
        <f>[2]底表!EP116</f>
        <v>185</v>
      </c>
      <c r="DD116" s="21">
        <f>[2]底表!EQ116</f>
        <v>-0.1081</v>
      </c>
      <c r="DE116" s="21">
        <f>[2]底表!ER116</f>
        <v>339</v>
      </c>
      <c r="DF116" s="21">
        <f>[2]底表!ES116</f>
        <v>282</v>
      </c>
      <c r="DG116" s="23">
        <f>[2]底表!ET116</f>
        <v>0.2021</v>
      </c>
      <c r="DH116" s="21">
        <f>[2]底表!EU116</f>
        <v>669</v>
      </c>
      <c r="DI116" s="21">
        <f>[2]底表!EV116</f>
        <v>-0.4933</v>
      </c>
      <c r="DJ116" s="21">
        <f>[2]底表!EW116</f>
        <v>0.1986</v>
      </c>
      <c r="DK116" s="21">
        <f>[2]底表!EX116</f>
        <v>-0.0408</v>
      </c>
      <c r="DL116" s="21">
        <f>[2]底表!EY116</f>
        <v>11</v>
      </c>
      <c r="DM116" s="21">
        <f>[2]底表!EZ116</f>
        <v>9</v>
      </c>
      <c r="DN116" s="21">
        <f>[2]底表!FA116</f>
        <v>3.4275</v>
      </c>
      <c r="DO116" s="21">
        <f>[2]底表!BQ116</f>
        <v>236</v>
      </c>
      <c r="DP116" s="21">
        <f>[2]底表!BR116</f>
        <v>178</v>
      </c>
      <c r="DQ116" s="24">
        <f>[2]底表!BS116</f>
        <v>0.3258</v>
      </c>
    </row>
    <row r="117" s="2" customFormat="1" ht="32" hidden="1" customHeight="1" spans="1:121">
      <c r="A117" s="27" t="str">
        <f>[2]底表!A117</f>
        <v>利信、帮信</v>
      </c>
      <c r="B117" s="28" t="str">
        <f>[2]底表!B117</f>
        <v>云浮</v>
      </c>
      <c r="C117" s="21">
        <f>[2]底表!AM117</f>
        <v>2</v>
      </c>
      <c r="D117" s="21">
        <f>[2]底表!AN117</f>
        <v>1</v>
      </c>
      <c r="E117" s="23">
        <f>[2]底表!AO117</f>
        <v>1</v>
      </c>
      <c r="F117" s="21">
        <f>[2]底表!AP117</f>
        <v>4</v>
      </c>
      <c r="G117" s="21">
        <f>[2]底表!AQ117</f>
        <v>-0.5</v>
      </c>
      <c r="H117" s="21">
        <f>[2]底表!AR117</f>
        <v>2</v>
      </c>
      <c r="I117" s="21">
        <f>[2]底表!AS117</f>
        <v>1</v>
      </c>
      <c r="J117" s="21">
        <f>[2]底表!AT117</f>
        <v>1</v>
      </c>
      <c r="K117" s="21">
        <f>[2]底表!AU117</f>
        <v>1</v>
      </c>
      <c r="L117" s="21">
        <f>[2]底表!AV117</f>
        <v>0</v>
      </c>
      <c r="M117" s="21">
        <f>[2]底表!AW117</f>
        <v>0</v>
      </c>
      <c r="N117" s="21" t="str">
        <f>[2]底表!AX117</f>
        <v>多1起</v>
      </c>
      <c r="O117" s="21">
        <f>[2]底表!AY117</f>
        <v>1</v>
      </c>
      <c r="P117" s="21">
        <f>[2]底表!AZ117</f>
        <v>1</v>
      </c>
      <c r="Q117" s="21">
        <f>[2]底表!BA117</f>
        <v>0</v>
      </c>
      <c r="R117" s="21">
        <f>[2]底表!BB117</f>
        <v>2</v>
      </c>
      <c r="S117" s="21">
        <f>[2]底表!BC117</f>
        <v>-0.5</v>
      </c>
      <c r="T117" s="21">
        <f>[2]底表!BD117</f>
        <v>1</v>
      </c>
      <c r="U117" s="21">
        <f>[2]底表!BE117</f>
        <v>0</v>
      </c>
      <c r="V117" s="21">
        <f>[2]底表!BF117</f>
        <v>0</v>
      </c>
      <c r="W117" s="21">
        <f>[2]底表!BG117</f>
        <v>0</v>
      </c>
      <c r="X117" s="21" t="str">
        <f>[2]底表!BH117</f>
        <v>持平</v>
      </c>
      <c r="Y117" s="21">
        <f>[2]底表!BI117</f>
        <v>0</v>
      </c>
      <c r="Z117" s="21" t="str">
        <f>[2]底表!BJ117</f>
        <v>持平</v>
      </c>
      <c r="AA117" s="21">
        <f>[2]底表!BK117</f>
        <v>0</v>
      </c>
      <c r="AB117" s="21">
        <f>[2]底表!BL117</f>
        <v>1</v>
      </c>
      <c r="AC117" s="21">
        <f>[2]底表!BM117</f>
        <v>0</v>
      </c>
      <c r="AD117" s="21" t="str">
        <f>[2]底表!BN117</f>
        <v>多1起</v>
      </c>
      <c r="AE117" s="21">
        <f>[2]底表!BO117</f>
        <v>2</v>
      </c>
      <c r="AF117" s="21">
        <f>[2]底表!BP117</f>
        <v>-0.5</v>
      </c>
      <c r="AG117" s="21">
        <f>[2]底表!BT117</f>
        <v>0</v>
      </c>
      <c r="AH117" s="21" t="str">
        <f>[2]底表!BU117</f>
        <v>持平</v>
      </c>
      <c r="AI117" s="21">
        <f>[2]底表!BV117</f>
        <v>0</v>
      </c>
      <c r="AJ117" s="21">
        <f>[2]底表!BW117</f>
        <v>0</v>
      </c>
      <c r="AK117" s="21">
        <f>[2]底表!BX117</f>
        <v>0</v>
      </c>
      <c r="AL117" s="21">
        <f>[2]底表!BY117</f>
        <v>0</v>
      </c>
      <c r="AM117" s="21">
        <f>[2]底表!BZ117</f>
        <v>0</v>
      </c>
      <c r="AN117" s="21">
        <f>[2]底表!CA117</f>
        <v>0</v>
      </c>
      <c r="AO117" s="21" t="str">
        <f>[2]底表!CB117</f>
        <v>持平</v>
      </c>
      <c r="AP117" s="21">
        <f>[2]底表!CC117</f>
        <v>0</v>
      </c>
      <c r="AQ117" s="21" t="str">
        <f>[2]底表!CD117</f>
        <v>持平</v>
      </c>
      <c r="AR117" s="21" t="str">
        <f>[2]底表!CE117</f>
        <v/>
      </c>
      <c r="AS117" s="21" t="str">
        <f>[2]底表!CF117</f>
        <v/>
      </c>
      <c r="AT117" s="21">
        <f>[2]底表!CG117</f>
        <v>25</v>
      </c>
      <c r="AU117" s="21">
        <f>[2]底表!CH117</f>
        <v>10</v>
      </c>
      <c r="AV117" s="21">
        <f>[2]底表!CI117</f>
        <v>1.5</v>
      </c>
      <c r="AW117" s="21">
        <f>[2]底表!CJ117</f>
        <v>4</v>
      </c>
      <c r="AX117" s="21">
        <f>[2]底表!CK117</f>
        <v>5.25</v>
      </c>
      <c r="AY117" s="21">
        <f>[2]底表!CL117</f>
        <v>2500</v>
      </c>
      <c r="AZ117" s="21">
        <f>[2]底表!CM117</f>
        <v>1500</v>
      </c>
      <c r="BA117" s="21">
        <f>[2]底表!CN117</f>
        <v>1.5</v>
      </c>
      <c r="BB117" s="21">
        <f>[2]底表!CO117</f>
        <v>21</v>
      </c>
      <c r="BC117" s="21">
        <f>[2]底表!CP117</f>
        <v>10</v>
      </c>
      <c r="BD117" s="21">
        <f>[2]底表!CQ117</f>
        <v>1.1</v>
      </c>
      <c r="BE117" s="21">
        <f>[2]底表!CR117</f>
        <v>4</v>
      </c>
      <c r="BF117" s="21">
        <f>[2]底表!CS117</f>
        <v>4.25</v>
      </c>
      <c r="BG117" s="21">
        <f>[2]底表!CT117</f>
        <v>0.84</v>
      </c>
      <c r="BH117" s="21">
        <f>[2]底表!CU117</f>
        <v>-0.16</v>
      </c>
      <c r="BI117" s="21">
        <f>[2]底表!CV117</f>
        <v>2100</v>
      </c>
      <c r="BJ117" s="21">
        <f>[2]底表!CW117</f>
        <v>1100</v>
      </c>
      <c r="BK117" s="21">
        <f>[2]底表!CX117</f>
        <v>1.1</v>
      </c>
      <c r="BL117" s="21">
        <f>[2]底表!CY117</f>
        <v>21</v>
      </c>
      <c r="BM117" s="21">
        <f>[2]底表!CZ117</f>
        <v>10</v>
      </c>
      <c r="BN117" s="23">
        <f>[2]底表!DA117</f>
        <v>1.1</v>
      </c>
      <c r="BO117" s="21">
        <f>[2]底表!DB117</f>
        <v>4</v>
      </c>
      <c r="BP117" s="21">
        <f>[2]底表!DC117</f>
        <v>4.25</v>
      </c>
      <c r="BQ117" s="21">
        <f>[2]底表!DD117</f>
        <v>0.84</v>
      </c>
      <c r="BR117" s="21">
        <f>[2]底表!DE117</f>
        <v>-0.16</v>
      </c>
      <c r="BS117" s="21">
        <f>[2]底表!DF117</f>
        <v>2100</v>
      </c>
      <c r="BT117" s="21">
        <f>[2]底表!DG117</f>
        <v>1100</v>
      </c>
      <c r="BU117" s="21">
        <f>[2]底表!DH117</f>
        <v>1.1</v>
      </c>
      <c r="BV117" s="21">
        <f>[2]底表!DI117</f>
        <v>12</v>
      </c>
      <c r="BW117" s="21">
        <f>[2]底表!DJ117</f>
        <v>4</v>
      </c>
      <c r="BX117" s="23">
        <f>[2]底表!DK117</f>
        <v>2</v>
      </c>
      <c r="BY117" s="21">
        <f>[2]底表!DL117</f>
        <v>3</v>
      </c>
      <c r="BZ117" s="21">
        <f>[2]底表!DM117</f>
        <v>3</v>
      </c>
      <c r="CA117" s="21">
        <f>[2]底表!DN117</f>
        <v>2</v>
      </c>
      <c r="CB117" s="21">
        <f>[2]底表!DO117</f>
        <v>3</v>
      </c>
      <c r="CC117" s="21">
        <f>[2]底表!DP117</f>
        <v>-0.3333</v>
      </c>
      <c r="CD117" s="21">
        <f>[2]底表!DQ117</f>
        <v>0</v>
      </c>
      <c r="CE117" s="21" t="str">
        <f>[2]底表!DR117</f>
        <v>多2人</v>
      </c>
      <c r="CF117" s="21">
        <f>[2]底表!DS117</f>
        <v>2</v>
      </c>
      <c r="CG117" s="21">
        <f>[2]底表!DT117</f>
        <v>3</v>
      </c>
      <c r="CH117" s="21">
        <f>[2]底表!DU117</f>
        <v>-0.3333</v>
      </c>
      <c r="CI117" s="21">
        <f>[2]底表!DV117</f>
        <v>0</v>
      </c>
      <c r="CJ117" s="21" t="str">
        <f>[2]底表!DW117</f>
        <v>多2人</v>
      </c>
      <c r="CK117" s="21">
        <f>[2]底表!DX117</f>
        <v>4</v>
      </c>
      <c r="CL117" s="21">
        <f>[2]底表!DY117</f>
        <v>1</v>
      </c>
      <c r="CM117" s="21">
        <f>[2]底表!DZ117</f>
        <v>3</v>
      </c>
      <c r="CN117" s="21">
        <f>[2]底表!EA117</f>
        <v>1</v>
      </c>
      <c r="CO117" s="21">
        <f>[2]底表!EB117</f>
        <v>3</v>
      </c>
      <c r="CP117" s="21">
        <f>[2]底表!EC117</f>
        <v>0</v>
      </c>
      <c r="CQ117" s="21">
        <f>[2]底表!ED117</f>
        <v>0</v>
      </c>
      <c r="CR117" s="21" t="str">
        <f>[2]底表!EE117</f>
        <v>持平</v>
      </c>
      <c r="CS117" s="21">
        <f>[2]底表!EF117</f>
        <v>0</v>
      </c>
      <c r="CT117" s="21" t="str">
        <f>[2]底表!EG117</f>
        <v>持平</v>
      </c>
      <c r="CU117" s="21">
        <f>[2]底表!EH117</f>
        <v>0</v>
      </c>
      <c r="CV117" s="21">
        <f>[2]底表!EI117</f>
        <v>0</v>
      </c>
      <c r="CW117" s="21">
        <f>[2]底表!EJ117</f>
        <v>0</v>
      </c>
      <c r="CX117" s="21">
        <f>[2]底表!EK117</f>
        <v>0</v>
      </c>
      <c r="CY117" s="21" t="str">
        <f>[2]底表!EL117</f>
        <v/>
      </c>
      <c r="CZ117" s="21">
        <f>[2]底表!EM117</f>
        <v>0</v>
      </c>
      <c r="DA117" s="21">
        <f>[2]底表!EN117</f>
        <v>0</v>
      </c>
      <c r="DB117" s="21" t="str">
        <f>[2]底表!EO117</f>
        <v>持平</v>
      </c>
      <c r="DC117" s="21">
        <f>[2]底表!EP117</f>
        <v>0</v>
      </c>
      <c r="DD117" s="21" t="str">
        <f>[2]底表!EQ117</f>
        <v>持平</v>
      </c>
      <c r="DE117" s="21">
        <f>[2]底表!ER117</f>
        <v>0</v>
      </c>
      <c r="DF117" s="21">
        <f>[2]底表!ES117</f>
        <v>0</v>
      </c>
      <c r="DG117" s="23" t="str">
        <f>[2]底表!ET117</f>
        <v>持平</v>
      </c>
      <c r="DH117" s="21">
        <f>[2]底表!EU117</f>
        <v>2</v>
      </c>
      <c r="DI117" s="21" t="str">
        <f>[2]底表!EV117</f>
        <v>少2人</v>
      </c>
      <c r="DJ117" s="21">
        <f>[2]底表!EW117</f>
        <v>0</v>
      </c>
      <c r="DK117" s="21">
        <f>[2]底表!EX117</f>
        <v>0</v>
      </c>
      <c r="DL117" s="21">
        <f>[2]底表!EY117</f>
        <v>0</v>
      </c>
      <c r="DM117" s="21">
        <f>[2]底表!EZ117</f>
        <v>0</v>
      </c>
      <c r="DN117" s="21" t="str">
        <f>[2]底表!FA117</f>
        <v/>
      </c>
      <c r="DO117" s="21">
        <f>[2]底表!BQ117</f>
        <v>0</v>
      </c>
      <c r="DP117" s="21">
        <f>[2]底表!BR117</f>
        <v>0</v>
      </c>
      <c r="DQ117" s="24" t="str">
        <f>[2]底表!BS117</f>
        <v>持平</v>
      </c>
    </row>
    <row r="118" s="2" customFormat="1" ht="32" hidden="1" customHeight="1" spans="1:121">
      <c r="A118" s="27" t="str">
        <f>[2]底表!A118</f>
        <v>利信、帮信</v>
      </c>
      <c r="B118" s="28" t="str">
        <f>[2]底表!B118</f>
        <v>云城区</v>
      </c>
      <c r="C118" s="21">
        <f>[2]底表!AM118</f>
        <v>0</v>
      </c>
      <c r="D118" s="21">
        <f>[2]底表!AN118</f>
        <v>0</v>
      </c>
      <c r="E118" s="23" t="str">
        <f>[2]底表!AO118</f>
        <v>持平</v>
      </c>
      <c r="F118" s="21">
        <f>[2]底表!AP118</f>
        <v>0</v>
      </c>
      <c r="G118" s="21" t="str">
        <f>[2]底表!AQ118</f>
        <v>持平</v>
      </c>
      <c r="H118" s="21" t="str">
        <f>[2]底表!AR118</f>
        <v/>
      </c>
      <c r="I118" s="21" t="str">
        <f>[2]底表!AS118</f>
        <v/>
      </c>
      <c r="J118" s="21">
        <f>[2]底表!AT118</f>
        <v>0</v>
      </c>
      <c r="K118" s="21">
        <f>[2]底表!AU118</f>
        <v>0</v>
      </c>
      <c r="L118" s="21" t="str">
        <f>[2]底表!AV118</f>
        <v>持平</v>
      </c>
      <c r="M118" s="21">
        <f>[2]底表!AW118</f>
        <v>0</v>
      </c>
      <c r="N118" s="21" t="str">
        <f>[2]底表!AX118</f>
        <v>持平</v>
      </c>
      <c r="O118" s="21">
        <f>[2]底表!AY118</f>
        <v>0</v>
      </c>
      <c r="P118" s="21">
        <f>[2]底表!AZ118</f>
        <v>0</v>
      </c>
      <c r="Q118" s="21" t="str">
        <f>[2]底表!BA118</f>
        <v>持平</v>
      </c>
      <c r="R118" s="21">
        <f>[2]底表!BB118</f>
        <v>0</v>
      </c>
      <c r="S118" s="21" t="str">
        <f>[2]底表!BC118</f>
        <v>持平</v>
      </c>
      <c r="T118" s="21" t="str">
        <f>[2]底表!BD118</f>
        <v/>
      </c>
      <c r="U118" s="21" t="str">
        <f>[2]底表!BE118</f>
        <v/>
      </c>
      <c r="V118" s="21">
        <f>[2]底表!BF118</f>
        <v>0</v>
      </c>
      <c r="W118" s="21">
        <f>[2]底表!BG118</f>
        <v>0</v>
      </c>
      <c r="X118" s="21" t="str">
        <f>[2]底表!BH118</f>
        <v>持平</v>
      </c>
      <c r="Y118" s="21">
        <f>[2]底表!BI118</f>
        <v>0</v>
      </c>
      <c r="Z118" s="21" t="str">
        <f>[2]底表!BJ118</f>
        <v>持平</v>
      </c>
      <c r="AA118" s="21" t="str">
        <f>[2]底表!BK118</f>
        <v/>
      </c>
      <c r="AB118" s="21">
        <f>[2]底表!BL118</f>
        <v>0</v>
      </c>
      <c r="AC118" s="21">
        <f>[2]底表!BM118</f>
        <v>0</v>
      </c>
      <c r="AD118" s="21" t="str">
        <f>[2]底表!BN118</f>
        <v>持平</v>
      </c>
      <c r="AE118" s="21">
        <f>[2]底表!BO118</f>
        <v>0</v>
      </c>
      <c r="AF118" s="21" t="str">
        <f>[2]底表!BP118</f>
        <v>持平</v>
      </c>
      <c r="AG118" s="21">
        <f>[2]底表!BT118</f>
        <v>0</v>
      </c>
      <c r="AH118" s="21" t="str">
        <f>[2]底表!BU118</f>
        <v>持平</v>
      </c>
      <c r="AI118" s="21" t="str">
        <f>[2]底表!BV118</f>
        <v/>
      </c>
      <c r="AJ118" s="21" t="str">
        <f>[2]底表!BW118</f>
        <v/>
      </c>
      <c r="AK118" s="21" t="str">
        <f>[2]底表!BX118</f>
        <v/>
      </c>
      <c r="AL118" s="21" t="str">
        <f>[2]底表!BY118</f>
        <v/>
      </c>
      <c r="AM118" s="21">
        <f>[2]底表!BZ118</f>
        <v>0</v>
      </c>
      <c r="AN118" s="21">
        <f>[2]底表!CA118</f>
        <v>0</v>
      </c>
      <c r="AO118" s="21" t="str">
        <f>[2]底表!CB118</f>
        <v>持平</v>
      </c>
      <c r="AP118" s="21">
        <f>[2]底表!CC118</f>
        <v>0</v>
      </c>
      <c r="AQ118" s="21" t="str">
        <f>[2]底表!CD118</f>
        <v>持平</v>
      </c>
      <c r="AR118" s="21" t="str">
        <f>[2]底表!CE118</f>
        <v/>
      </c>
      <c r="AS118" s="21" t="str">
        <f>[2]底表!CF118</f>
        <v/>
      </c>
      <c r="AT118" s="21">
        <f>[2]底表!CG118</f>
        <v>0</v>
      </c>
      <c r="AU118" s="21">
        <f>[2]底表!CH118</f>
        <v>0</v>
      </c>
      <c r="AV118" s="21" t="str">
        <f>[2]底表!CI118</f>
        <v>持平</v>
      </c>
      <c r="AW118" s="21">
        <f>[2]底表!CJ118</f>
        <v>0</v>
      </c>
      <c r="AX118" s="21" t="str">
        <f>[2]底表!CK118</f>
        <v>持平</v>
      </c>
      <c r="AY118" s="21" t="str">
        <f>[2]底表!CL118</f>
        <v/>
      </c>
      <c r="AZ118" s="21" t="str">
        <f>[2]底表!CM118</f>
        <v/>
      </c>
      <c r="BA118" s="21" t="str">
        <f>[2]底表!CN118</f>
        <v/>
      </c>
      <c r="BB118" s="21">
        <f>[2]底表!CO118</f>
        <v>0</v>
      </c>
      <c r="BC118" s="21">
        <f>[2]底表!CP118</f>
        <v>0</v>
      </c>
      <c r="BD118" s="21" t="str">
        <f>[2]底表!CQ118</f>
        <v>持平</v>
      </c>
      <c r="BE118" s="21">
        <f>[2]底表!CR118</f>
        <v>0</v>
      </c>
      <c r="BF118" s="21" t="str">
        <f>[2]底表!CS118</f>
        <v>持平</v>
      </c>
      <c r="BG118" s="21" t="str">
        <f>[2]底表!CT118</f>
        <v/>
      </c>
      <c r="BH118" s="21" t="str">
        <f>[2]底表!CU118</f>
        <v/>
      </c>
      <c r="BI118" s="21" t="str">
        <f>[2]底表!CV118</f>
        <v/>
      </c>
      <c r="BJ118" s="21" t="str">
        <f>[2]底表!CW118</f>
        <v/>
      </c>
      <c r="BK118" s="21" t="str">
        <f>[2]底表!CX118</f>
        <v/>
      </c>
      <c r="BL118" s="21">
        <f>[2]底表!CY118</f>
        <v>0</v>
      </c>
      <c r="BM118" s="21">
        <f>[2]底表!CZ118</f>
        <v>0</v>
      </c>
      <c r="BN118" s="23" t="str">
        <f>[2]底表!DA118</f>
        <v>持平</v>
      </c>
      <c r="BO118" s="21">
        <f>[2]底表!DB118</f>
        <v>0</v>
      </c>
      <c r="BP118" s="21" t="str">
        <f>[2]底表!DC118</f>
        <v>持平</v>
      </c>
      <c r="BQ118" s="21" t="str">
        <f>[2]底表!DD118</f>
        <v/>
      </c>
      <c r="BR118" s="21" t="str">
        <f>[2]底表!DE118</f>
        <v/>
      </c>
      <c r="BS118" s="21" t="str">
        <f>[2]底表!DF118</f>
        <v/>
      </c>
      <c r="BT118" s="21" t="str">
        <f>[2]底表!DG118</f>
        <v/>
      </c>
      <c r="BU118" s="21" t="str">
        <f>[2]底表!DH118</f>
        <v/>
      </c>
      <c r="BV118" s="21">
        <f>[2]底表!DI118</f>
        <v>0</v>
      </c>
      <c r="BW118" s="21">
        <f>[2]底表!DJ118</f>
        <v>0</v>
      </c>
      <c r="BX118" s="23" t="str">
        <f>[2]底表!DK118</f>
        <v>持平</v>
      </c>
      <c r="BY118" s="21">
        <f>[2]底表!DL118</f>
        <v>0</v>
      </c>
      <c r="BZ118" s="21" t="str">
        <f>[2]底表!DM118</f>
        <v>持平</v>
      </c>
      <c r="CA118" s="21">
        <f>[2]底表!DN118</f>
        <v>0</v>
      </c>
      <c r="CB118" s="21">
        <f>[2]底表!DO118</f>
        <v>0</v>
      </c>
      <c r="CC118" s="21" t="str">
        <f>[2]底表!DP118</f>
        <v>持平</v>
      </c>
      <c r="CD118" s="21">
        <f>[2]底表!DQ118</f>
        <v>0</v>
      </c>
      <c r="CE118" s="21" t="str">
        <f>[2]底表!DR118</f>
        <v>持平</v>
      </c>
      <c r="CF118" s="21">
        <f>[2]底表!DS118</f>
        <v>0</v>
      </c>
      <c r="CG118" s="21">
        <f>[2]底表!DT118</f>
        <v>0</v>
      </c>
      <c r="CH118" s="21" t="str">
        <f>[2]底表!DU118</f>
        <v>持平</v>
      </c>
      <c r="CI118" s="21">
        <f>[2]底表!DV118</f>
        <v>0</v>
      </c>
      <c r="CJ118" s="21" t="str">
        <f>[2]底表!DW118</f>
        <v>持平</v>
      </c>
      <c r="CK118" s="21">
        <f>[2]底表!DX118</f>
        <v>0</v>
      </c>
      <c r="CL118" s="21">
        <f>[2]底表!DY118</f>
        <v>0</v>
      </c>
      <c r="CM118" s="21" t="str">
        <f>[2]底表!DZ118</f>
        <v>持平</v>
      </c>
      <c r="CN118" s="21">
        <f>[2]底表!EA118</f>
        <v>0</v>
      </c>
      <c r="CO118" s="21" t="str">
        <f>[2]底表!EB118</f>
        <v>持平</v>
      </c>
      <c r="CP118" s="21">
        <f>[2]底表!EC118</f>
        <v>0</v>
      </c>
      <c r="CQ118" s="21">
        <f>[2]底表!ED118</f>
        <v>0</v>
      </c>
      <c r="CR118" s="21" t="str">
        <f>[2]底表!EE118</f>
        <v>持平</v>
      </c>
      <c r="CS118" s="21">
        <f>[2]底表!EF118</f>
        <v>0</v>
      </c>
      <c r="CT118" s="21" t="str">
        <f>[2]底表!EG118</f>
        <v>持平</v>
      </c>
      <c r="CU118" s="21" t="str">
        <f>[2]底表!EH118</f>
        <v/>
      </c>
      <c r="CV118" s="21" t="str">
        <f>[2]底表!EI118</f>
        <v/>
      </c>
      <c r="CW118" s="21" t="str">
        <f>[2]底表!EJ118</f>
        <v/>
      </c>
      <c r="CX118" s="21" t="str">
        <f>[2]底表!EK118</f>
        <v/>
      </c>
      <c r="CY118" s="21" t="str">
        <f>[2]底表!EL118</f>
        <v/>
      </c>
      <c r="CZ118" s="21">
        <f>[2]底表!EM118</f>
        <v>0</v>
      </c>
      <c r="DA118" s="21">
        <f>[2]底表!EN118</f>
        <v>0</v>
      </c>
      <c r="DB118" s="21" t="str">
        <f>[2]底表!EO118</f>
        <v>持平</v>
      </c>
      <c r="DC118" s="21">
        <f>[2]底表!EP118</f>
        <v>0</v>
      </c>
      <c r="DD118" s="21" t="str">
        <f>[2]底表!EQ118</f>
        <v>持平</v>
      </c>
      <c r="DE118" s="21">
        <f>[2]底表!ER118</f>
        <v>0</v>
      </c>
      <c r="DF118" s="21">
        <f>[2]底表!ES118</f>
        <v>0</v>
      </c>
      <c r="DG118" s="23" t="str">
        <f>[2]底表!ET118</f>
        <v>持平</v>
      </c>
      <c r="DH118" s="21">
        <f>[2]底表!EU118</f>
        <v>0</v>
      </c>
      <c r="DI118" s="21" t="str">
        <f>[2]底表!EV118</f>
        <v>持平</v>
      </c>
      <c r="DJ118" s="21" t="str">
        <f>[2]底表!EW118</f>
        <v/>
      </c>
      <c r="DK118" s="21" t="str">
        <f>[2]底表!EX118</f>
        <v/>
      </c>
      <c r="DL118" s="21" t="str">
        <f>[2]底表!EY118</f>
        <v/>
      </c>
      <c r="DM118" s="21" t="str">
        <f>[2]底表!EZ118</f>
        <v/>
      </c>
      <c r="DN118" s="21" t="str">
        <f>[2]底表!FA118</f>
        <v/>
      </c>
      <c r="DO118" s="21">
        <f>[2]底表!BQ118</f>
        <v>0</v>
      </c>
      <c r="DP118" s="21">
        <f>[2]底表!BR118</f>
        <v>0</v>
      </c>
      <c r="DQ118" s="24" t="str">
        <f>[2]底表!BS118</f>
        <v>持平</v>
      </c>
    </row>
    <row r="119" s="2" customFormat="1" ht="32" hidden="1" customHeight="1" spans="1:121">
      <c r="A119" s="27" t="str">
        <f>[2]底表!A119</f>
        <v>利信、帮信</v>
      </c>
      <c r="B119" s="28" t="str">
        <f>[2]底表!B119</f>
        <v>云安区</v>
      </c>
      <c r="C119" s="21">
        <f>[2]底表!AM119</f>
        <v>1</v>
      </c>
      <c r="D119" s="21">
        <f>[2]底表!AN119</f>
        <v>1</v>
      </c>
      <c r="E119" s="23">
        <f>[2]底表!AO119</f>
        <v>0</v>
      </c>
      <c r="F119" s="21">
        <f>[2]底表!AP119</f>
        <v>2</v>
      </c>
      <c r="G119" s="21">
        <f>[2]底表!AQ119</f>
        <v>-0.5</v>
      </c>
      <c r="H119" s="21" t="str">
        <f>[2]底表!AR119</f>
        <v/>
      </c>
      <c r="I119" s="21" t="str">
        <f>[2]底表!AS119</f>
        <v/>
      </c>
      <c r="J119" s="21">
        <f>[2]底表!AT119</f>
        <v>0</v>
      </c>
      <c r="K119" s="21">
        <f>[2]底表!AU119</f>
        <v>1</v>
      </c>
      <c r="L119" s="21" t="str">
        <f>[2]底表!AV119</f>
        <v>少1起</v>
      </c>
      <c r="M119" s="21">
        <f>[2]底表!AW119</f>
        <v>0</v>
      </c>
      <c r="N119" s="21" t="str">
        <f>[2]底表!AX119</f>
        <v>持平</v>
      </c>
      <c r="O119" s="21">
        <f>[2]底表!AY119</f>
        <v>0</v>
      </c>
      <c r="P119" s="21">
        <f>[2]底表!AZ119</f>
        <v>1</v>
      </c>
      <c r="Q119" s="21" t="str">
        <f>[2]底表!BA119</f>
        <v>少1起</v>
      </c>
      <c r="R119" s="21">
        <f>[2]底表!BB119</f>
        <v>1</v>
      </c>
      <c r="S119" s="21" t="str">
        <f>[2]底表!BC119</f>
        <v>少1起</v>
      </c>
      <c r="T119" s="21" t="str">
        <f>[2]底表!BD119</f>
        <v/>
      </c>
      <c r="U119" s="21" t="str">
        <f>[2]底表!BE119</f>
        <v/>
      </c>
      <c r="V119" s="21">
        <f>[2]底表!BF119</f>
        <v>0</v>
      </c>
      <c r="W119" s="21">
        <f>[2]底表!BG119</f>
        <v>0</v>
      </c>
      <c r="X119" s="21" t="str">
        <f>[2]底表!BH119</f>
        <v>持平</v>
      </c>
      <c r="Y119" s="21">
        <f>[2]底表!BI119</f>
        <v>0</v>
      </c>
      <c r="Z119" s="21" t="str">
        <f>[2]底表!BJ119</f>
        <v>持平</v>
      </c>
      <c r="AA119" s="21" t="str">
        <f>[2]底表!BK119</f>
        <v/>
      </c>
      <c r="AB119" s="21">
        <f>[2]底表!BL119</f>
        <v>1</v>
      </c>
      <c r="AC119" s="21">
        <f>[2]底表!BM119</f>
        <v>0</v>
      </c>
      <c r="AD119" s="21" t="str">
        <f>[2]底表!BN119</f>
        <v>多1起</v>
      </c>
      <c r="AE119" s="21">
        <f>[2]底表!BO119</f>
        <v>1</v>
      </c>
      <c r="AF119" s="21">
        <f>[2]底表!BP119</f>
        <v>0</v>
      </c>
      <c r="AG119" s="21">
        <f>[2]底表!BT119</f>
        <v>0</v>
      </c>
      <c r="AH119" s="21" t="str">
        <f>[2]底表!BU119</f>
        <v>持平</v>
      </c>
      <c r="AI119" s="21" t="str">
        <f>[2]底表!BV119</f>
        <v/>
      </c>
      <c r="AJ119" s="21" t="str">
        <f>[2]底表!BW119</f>
        <v/>
      </c>
      <c r="AK119" s="21" t="str">
        <f>[2]底表!BX119</f>
        <v/>
      </c>
      <c r="AL119" s="21" t="str">
        <f>[2]底表!BY119</f>
        <v/>
      </c>
      <c r="AM119" s="21">
        <f>[2]底表!BZ119</f>
        <v>0</v>
      </c>
      <c r="AN119" s="21">
        <f>[2]底表!CA119</f>
        <v>0</v>
      </c>
      <c r="AO119" s="21" t="str">
        <f>[2]底表!CB119</f>
        <v>持平</v>
      </c>
      <c r="AP119" s="21">
        <f>[2]底表!CC119</f>
        <v>0</v>
      </c>
      <c r="AQ119" s="21" t="str">
        <f>[2]底表!CD119</f>
        <v>持平</v>
      </c>
      <c r="AR119" s="21" t="str">
        <f>[2]底表!CE119</f>
        <v/>
      </c>
      <c r="AS119" s="21" t="str">
        <f>[2]底表!CF119</f>
        <v/>
      </c>
      <c r="AT119" s="21">
        <f>[2]底表!CG119</f>
        <v>0</v>
      </c>
      <c r="AU119" s="21">
        <f>[2]底表!CH119</f>
        <v>9</v>
      </c>
      <c r="AV119" s="21" t="str">
        <f>[2]底表!CI119</f>
        <v>少9人</v>
      </c>
      <c r="AW119" s="21">
        <f>[2]底表!CJ119</f>
        <v>2</v>
      </c>
      <c r="AX119" s="21" t="str">
        <f>[2]底表!CK119</f>
        <v>少2人</v>
      </c>
      <c r="AY119" s="21" t="str">
        <f>[2]底表!CL119</f>
        <v/>
      </c>
      <c r="AZ119" s="21" t="str">
        <f>[2]底表!CM119</f>
        <v/>
      </c>
      <c r="BA119" s="21" t="str">
        <f>[2]底表!CN119</f>
        <v/>
      </c>
      <c r="BB119" s="21">
        <f>[2]底表!CO119</f>
        <v>0</v>
      </c>
      <c r="BC119" s="21">
        <f>[2]底表!CP119</f>
        <v>9</v>
      </c>
      <c r="BD119" s="21" t="str">
        <f>[2]底表!CQ119</f>
        <v>少9人</v>
      </c>
      <c r="BE119" s="21">
        <f>[2]底表!CR119</f>
        <v>3</v>
      </c>
      <c r="BF119" s="21" t="str">
        <f>[2]底表!CS119</f>
        <v>少3人</v>
      </c>
      <c r="BG119" s="21" t="str">
        <f>[2]底表!CT119</f>
        <v/>
      </c>
      <c r="BH119" s="21" t="str">
        <f>[2]底表!CU119</f>
        <v/>
      </c>
      <c r="BI119" s="21" t="str">
        <f>[2]底表!CV119</f>
        <v/>
      </c>
      <c r="BJ119" s="21" t="str">
        <f>[2]底表!CW119</f>
        <v/>
      </c>
      <c r="BK119" s="21" t="str">
        <f>[2]底表!CX119</f>
        <v/>
      </c>
      <c r="BL119" s="21">
        <f>[2]底表!CY119</f>
        <v>0</v>
      </c>
      <c r="BM119" s="21">
        <f>[2]底表!CZ119</f>
        <v>9</v>
      </c>
      <c r="BN119" s="23" t="str">
        <f>[2]底表!DA119</f>
        <v>少9人</v>
      </c>
      <c r="BO119" s="21">
        <f>[2]底表!DB119</f>
        <v>3</v>
      </c>
      <c r="BP119" s="21" t="str">
        <f>[2]底表!DC119</f>
        <v>少3人</v>
      </c>
      <c r="BQ119" s="21" t="str">
        <f>[2]底表!DD119</f>
        <v/>
      </c>
      <c r="BR119" s="21" t="str">
        <f>[2]底表!DE119</f>
        <v/>
      </c>
      <c r="BS119" s="21" t="str">
        <f>[2]底表!DF119</f>
        <v/>
      </c>
      <c r="BT119" s="21" t="str">
        <f>[2]底表!DG119</f>
        <v/>
      </c>
      <c r="BU119" s="21" t="str">
        <f>[2]底表!DH119</f>
        <v/>
      </c>
      <c r="BV119" s="21">
        <f>[2]底表!DI119</f>
        <v>0</v>
      </c>
      <c r="BW119" s="21">
        <f>[2]底表!DJ119</f>
        <v>0</v>
      </c>
      <c r="BX119" s="23" t="str">
        <f>[2]底表!DK119</f>
        <v>持平</v>
      </c>
      <c r="BY119" s="21">
        <f>[2]底表!DL119</f>
        <v>0</v>
      </c>
      <c r="BZ119" s="21" t="str">
        <f>[2]底表!DM119</f>
        <v>持平</v>
      </c>
      <c r="CA119" s="21">
        <f>[2]底表!DN119</f>
        <v>1</v>
      </c>
      <c r="CB119" s="21">
        <f>[2]底表!DO119</f>
        <v>1</v>
      </c>
      <c r="CC119" s="21">
        <f>[2]底表!DP119</f>
        <v>0</v>
      </c>
      <c r="CD119" s="21">
        <f>[2]底表!DQ119</f>
        <v>0</v>
      </c>
      <c r="CE119" s="21" t="str">
        <f>[2]底表!DR119</f>
        <v>多1人</v>
      </c>
      <c r="CF119" s="21">
        <f>[2]底表!DS119</f>
        <v>1</v>
      </c>
      <c r="CG119" s="21">
        <f>[2]底表!DT119</f>
        <v>1</v>
      </c>
      <c r="CH119" s="21">
        <f>[2]底表!DU119</f>
        <v>0</v>
      </c>
      <c r="CI119" s="21">
        <f>[2]底表!DV119</f>
        <v>0</v>
      </c>
      <c r="CJ119" s="21" t="str">
        <f>[2]底表!DW119</f>
        <v>多1人</v>
      </c>
      <c r="CK119" s="21">
        <f>[2]底表!DX119</f>
        <v>3</v>
      </c>
      <c r="CL119" s="21">
        <f>[2]底表!DY119</f>
        <v>0</v>
      </c>
      <c r="CM119" s="21" t="str">
        <f>[2]底表!DZ119</f>
        <v>多3人</v>
      </c>
      <c r="CN119" s="21">
        <f>[2]底表!EA119</f>
        <v>0</v>
      </c>
      <c r="CO119" s="21" t="str">
        <f>[2]底表!EB119</f>
        <v>多3人</v>
      </c>
      <c r="CP119" s="21">
        <f>[2]底表!EC119</f>
        <v>0</v>
      </c>
      <c r="CQ119" s="21">
        <f>[2]底表!ED119</f>
        <v>0</v>
      </c>
      <c r="CR119" s="21" t="str">
        <f>[2]底表!EE119</f>
        <v>持平</v>
      </c>
      <c r="CS119" s="21">
        <f>[2]底表!EF119</f>
        <v>0</v>
      </c>
      <c r="CT119" s="21" t="str">
        <f>[2]底表!EG119</f>
        <v>持平</v>
      </c>
      <c r="CU119" s="21" t="str">
        <f>[2]底表!EH119</f>
        <v/>
      </c>
      <c r="CV119" s="21" t="str">
        <f>[2]底表!EI119</f>
        <v/>
      </c>
      <c r="CW119" s="21" t="str">
        <f>[2]底表!EJ119</f>
        <v/>
      </c>
      <c r="CX119" s="21" t="str">
        <f>[2]底表!EK119</f>
        <v/>
      </c>
      <c r="CY119" s="21" t="str">
        <f>[2]底表!EL119</f>
        <v/>
      </c>
      <c r="CZ119" s="21">
        <f>[2]底表!EM119</f>
        <v>0</v>
      </c>
      <c r="DA119" s="21">
        <f>[2]底表!EN119</f>
        <v>0</v>
      </c>
      <c r="DB119" s="21" t="str">
        <f>[2]底表!EO119</f>
        <v>持平</v>
      </c>
      <c r="DC119" s="21">
        <f>[2]底表!EP119</f>
        <v>0</v>
      </c>
      <c r="DD119" s="21" t="str">
        <f>[2]底表!EQ119</f>
        <v>持平</v>
      </c>
      <c r="DE119" s="21">
        <f>[2]底表!ER119</f>
        <v>0</v>
      </c>
      <c r="DF119" s="21">
        <f>[2]底表!ES119</f>
        <v>0</v>
      </c>
      <c r="DG119" s="23" t="str">
        <f>[2]底表!ET119</f>
        <v>持平</v>
      </c>
      <c r="DH119" s="21">
        <f>[2]底表!EU119</f>
        <v>1</v>
      </c>
      <c r="DI119" s="21" t="str">
        <f>[2]底表!EV119</f>
        <v>少1人</v>
      </c>
      <c r="DJ119" s="21" t="str">
        <f>[2]底表!EW119</f>
        <v/>
      </c>
      <c r="DK119" s="21" t="str">
        <f>[2]底表!EX119</f>
        <v/>
      </c>
      <c r="DL119" s="21" t="str">
        <f>[2]底表!EY119</f>
        <v/>
      </c>
      <c r="DM119" s="21" t="str">
        <f>[2]底表!EZ119</f>
        <v/>
      </c>
      <c r="DN119" s="21" t="str">
        <f>[2]底表!FA119</f>
        <v/>
      </c>
      <c r="DO119" s="21">
        <f>[2]底表!BQ119</f>
        <v>0</v>
      </c>
      <c r="DP119" s="21">
        <f>[2]底表!BR119</f>
        <v>0</v>
      </c>
      <c r="DQ119" s="24" t="str">
        <f>[2]底表!BS119</f>
        <v>持平</v>
      </c>
    </row>
    <row r="120" s="2" customFormat="1" ht="32" hidden="1" customHeight="1" spans="1:121">
      <c r="A120" s="27" t="str">
        <f>[2]底表!A120</f>
        <v>利信、帮信</v>
      </c>
      <c r="B120" s="28" t="str">
        <f>[2]底表!B120</f>
        <v>新兴县</v>
      </c>
      <c r="C120" s="21">
        <f>[2]底表!AM120</f>
        <v>0</v>
      </c>
      <c r="D120" s="21">
        <f>[2]底表!AN120</f>
        <v>0</v>
      </c>
      <c r="E120" s="23" t="str">
        <f>[2]底表!AO120</f>
        <v>持平</v>
      </c>
      <c r="F120" s="21">
        <f>[2]底表!AP120</f>
        <v>0</v>
      </c>
      <c r="G120" s="21" t="str">
        <f>[2]底表!AQ120</f>
        <v>持平</v>
      </c>
      <c r="H120" s="21" t="str">
        <f>[2]底表!AR120</f>
        <v/>
      </c>
      <c r="I120" s="21" t="str">
        <f>[2]底表!AS120</f>
        <v/>
      </c>
      <c r="J120" s="21">
        <f>[2]底表!AT120</f>
        <v>0</v>
      </c>
      <c r="K120" s="21">
        <f>[2]底表!AU120</f>
        <v>0</v>
      </c>
      <c r="L120" s="21" t="str">
        <f>[2]底表!AV120</f>
        <v>持平</v>
      </c>
      <c r="M120" s="21">
        <f>[2]底表!AW120</f>
        <v>0</v>
      </c>
      <c r="N120" s="21" t="str">
        <f>[2]底表!AX120</f>
        <v>持平</v>
      </c>
      <c r="O120" s="21">
        <f>[2]底表!AY120</f>
        <v>0</v>
      </c>
      <c r="P120" s="21">
        <f>[2]底表!AZ120</f>
        <v>0</v>
      </c>
      <c r="Q120" s="21" t="str">
        <f>[2]底表!BA120</f>
        <v>持平</v>
      </c>
      <c r="R120" s="21">
        <f>[2]底表!BB120</f>
        <v>0</v>
      </c>
      <c r="S120" s="21" t="str">
        <f>[2]底表!BC120</f>
        <v>持平</v>
      </c>
      <c r="T120" s="21" t="str">
        <f>[2]底表!BD120</f>
        <v/>
      </c>
      <c r="U120" s="21" t="str">
        <f>[2]底表!BE120</f>
        <v/>
      </c>
      <c r="V120" s="21">
        <f>[2]底表!BF120</f>
        <v>0</v>
      </c>
      <c r="W120" s="21">
        <f>[2]底表!BG120</f>
        <v>0</v>
      </c>
      <c r="X120" s="21" t="str">
        <f>[2]底表!BH120</f>
        <v>持平</v>
      </c>
      <c r="Y120" s="21">
        <f>[2]底表!BI120</f>
        <v>0</v>
      </c>
      <c r="Z120" s="21" t="str">
        <f>[2]底表!BJ120</f>
        <v>持平</v>
      </c>
      <c r="AA120" s="21" t="str">
        <f>[2]底表!BK120</f>
        <v/>
      </c>
      <c r="AB120" s="21">
        <f>[2]底表!BL120</f>
        <v>0</v>
      </c>
      <c r="AC120" s="21">
        <f>[2]底表!BM120</f>
        <v>0</v>
      </c>
      <c r="AD120" s="21" t="str">
        <f>[2]底表!BN120</f>
        <v>持平</v>
      </c>
      <c r="AE120" s="21">
        <f>[2]底表!BO120</f>
        <v>0</v>
      </c>
      <c r="AF120" s="21" t="str">
        <f>[2]底表!BP120</f>
        <v>持平</v>
      </c>
      <c r="AG120" s="21">
        <f>[2]底表!BT120</f>
        <v>0</v>
      </c>
      <c r="AH120" s="21" t="str">
        <f>[2]底表!BU120</f>
        <v>持平</v>
      </c>
      <c r="AI120" s="21" t="str">
        <f>[2]底表!BV120</f>
        <v/>
      </c>
      <c r="AJ120" s="21" t="str">
        <f>[2]底表!BW120</f>
        <v/>
      </c>
      <c r="AK120" s="21" t="str">
        <f>[2]底表!BX120</f>
        <v/>
      </c>
      <c r="AL120" s="21" t="str">
        <f>[2]底表!BY120</f>
        <v/>
      </c>
      <c r="AM120" s="21">
        <f>[2]底表!BZ120</f>
        <v>0</v>
      </c>
      <c r="AN120" s="21">
        <f>[2]底表!CA120</f>
        <v>0</v>
      </c>
      <c r="AO120" s="21" t="str">
        <f>[2]底表!CB120</f>
        <v>持平</v>
      </c>
      <c r="AP120" s="21">
        <f>[2]底表!CC120</f>
        <v>0</v>
      </c>
      <c r="AQ120" s="21" t="str">
        <f>[2]底表!CD120</f>
        <v>持平</v>
      </c>
      <c r="AR120" s="21" t="str">
        <f>[2]底表!CE120</f>
        <v/>
      </c>
      <c r="AS120" s="21" t="str">
        <f>[2]底表!CF120</f>
        <v/>
      </c>
      <c r="AT120" s="21">
        <f>[2]底表!CG120</f>
        <v>16</v>
      </c>
      <c r="AU120" s="21">
        <f>[2]底表!CH120</f>
        <v>1</v>
      </c>
      <c r="AV120" s="21">
        <f>[2]底表!CI120</f>
        <v>15</v>
      </c>
      <c r="AW120" s="21">
        <f>[2]底表!CJ120</f>
        <v>1</v>
      </c>
      <c r="AX120" s="21">
        <f>[2]底表!CK120</f>
        <v>15</v>
      </c>
      <c r="AY120" s="21" t="str">
        <f>[2]底表!CL120</f>
        <v/>
      </c>
      <c r="AZ120" s="21" t="str">
        <f>[2]底表!CM120</f>
        <v/>
      </c>
      <c r="BA120" s="21" t="str">
        <f>[2]底表!CN120</f>
        <v/>
      </c>
      <c r="BB120" s="21">
        <f>[2]底表!CO120</f>
        <v>10</v>
      </c>
      <c r="BC120" s="21">
        <f>[2]底表!CP120</f>
        <v>1</v>
      </c>
      <c r="BD120" s="21">
        <f>[2]底表!CQ120</f>
        <v>9</v>
      </c>
      <c r="BE120" s="21">
        <f>[2]底表!CR120</f>
        <v>1</v>
      </c>
      <c r="BF120" s="21">
        <f>[2]底表!CS120</f>
        <v>9</v>
      </c>
      <c r="BG120" s="21">
        <f>[2]底表!CT120</f>
        <v>0.625</v>
      </c>
      <c r="BH120" s="21">
        <f>[2]底表!CU120</f>
        <v>-0.375</v>
      </c>
      <c r="BI120" s="21" t="str">
        <f>[2]底表!CV120</f>
        <v/>
      </c>
      <c r="BJ120" s="21" t="str">
        <f>[2]底表!CW120</f>
        <v/>
      </c>
      <c r="BK120" s="21" t="str">
        <f>[2]底表!CX120</f>
        <v/>
      </c>
      <c r="BL120" s="21">
        <f>[2]底表!CY120</f>
        <v>10</v>
      </c>
      <c r="BM120" s="21">
        <f>[2]底表!CZ120</f>
        <v>1</v>
      </c>
      <c r="BN120" s="23">
        <f>[2]底表!DA120</f>
        <v>9</v>
      </c>
      <c r="BO120" s="21">
        <f>[2]底表!DB120</f>
        <v>1</v>
      </c>
      <c r="BP120" s="21">
        <f>[2]底表!DC120</f>
        <v>9</v>
      </c>
      <c r="BQ120" s="21">
        <f>[2]底表!DD120</f>
        <v>0.625</v>
      </c>
      <c r="BR120" s="21">
        <f>[2]底表!DE120</f>
        <v>-0.375</v>
      </c>
      <c r="BS120" s="21" t="str">
        <f>[2]底表!DF120</f>
        <v/>
      </c>
      <c r="BT120" s="21" t="str">
        <f>[2]底表!DG120</f>
        <v/>
      </c>
      <c r="BU120" s="21" t="str">
        <f>[2]底表!DH120</f>
        <v/>
      </c>
      <c r="BV120" s="21">
        <f>[2]底表!DI120</f>
        <v>9</v>
      </c>
      <c r="BW120" s="21">
        <f>[2]底表!DJ120</f>
        <v>1</v>
      </c>
      <c r="BX120" s="23">
        <f>[2]底表!DK120</f>
        <v>8</v>
      </c>
      <c r="BY120" s="21">
        <f>[2]底表!DL120</f>
        <v>1</v>
      </c>
      <c r="BZ120" s="21">
        <f>[2]底表!DM120</f>
        <v>8</v>
      </c>
      <c r="CA120" s="21">
        <f>[2]底表!DN120</f>
        <v>1</v>
      </c>
      <c r="CB120" s="21">
        <f>[2]底表!DO120</f>
        <v>2</v>
      </c>
      <c r="CC120" s="21">
        <f>[2]底表!DP120</f>
        <v>-0.5</v>
      </c>
      <c r="CD120" s="21">
        <f>[2]底表!DQ120</f>
        <v>0</v>
      </c>
      <c r="CE120" s="21" t="str">
        <f>[2]底表!DR120</f>
        <v>多1人</v>
      </c>
      <c r="CF120" s="21">
        <f>[2]底表!DS120</f>
        <v>1</v>
      </c>
      <c r="CG120" s="21">
        <f>[2]底表!DT120</f>
        <v>2</v>
      </c>
      <c r="CH120" s="21">
        <f>[2]底表!DU120</f>
        <v>-0.5</v>
      </c>
      <c r="CI120" s="21">
        <f>[2]底表!DV120</f>
        <v>0</v>
      </c>
      <c r="CJ120" s="21" t="str">
        <f>[2]底表!DW120</f>
        <v>多1人</v>
      </c>
      <c r="CK120" s="21">
        <f>[2]底表!DX120</f>
        <v>1</v>
      </c>
      <c r="CL120" s="21">
        <f>[2]底表!DY120</f>
        <v>1</v>
      </c>
      <c r="CM120" s="21">
        <f>[2]底表!DZ120</f>
        <v>0</v>
      </c>
      <c r="CN120" s="21">
        <f>[2]底表!EA120</f>
        <v>1</v>
      </c>
      <c r="CO120" s="21">
        <f>[2]底表!EB120</f>
        <v>0</v>
      </c>
      <c r="CP120" s="21">
        <f>[2]底表!EC120</f>
        <v>0</v>
      </c>
      <c r="CQ120" s="21">
        <f>[2]底表!ED120</f>
        <v>0</v>
      </c>
      <c r="CR120" s="21" t="str">
        <f>[2]底表!EE120</f>
        <v>持平</v>
      </c>
      <c r="CS120" s="21">
        <f>[2]底表!EF120</f>
        <v>0</v>
      </c>
      <c r="CT120" s="21" t="str">
        <f>[2]底表!EG120</f>
        <v>持平</v>
      </c>
      <c r="CU120" s="21">
        <f>[2]底表!EH120</f>
        <v>0</v>
      </c>
      <c r="CV120" s="21">
        <f>[2]底表!EI120</f>
        <v>0</v>
      </c>
      <c r="CW120" s="21" t="str">
        <f>[2]底表!EJ120</f>
        <v/>
      </c>
      <c r="CX120" s="21" t="str">
        <f>[2]底表!EK120</f>
        <v/>
      </c>
      <c r="CY120" s="21" t="str">
        <f>[2]底表!EL120</f>
        <v/>
      </c>
      <c r="CZ120" s="21">
        <f>[2]底表!EM120</f>
        <v>0</v>
      </c>
      <c r="DA120" s="21">
        <f>[2]底表!EN120</f>
        <v>0</v>
      </c>
      <c r="DB120" s="21" t="str">
        <f>[2]底表!EO120</f>
        <v>持平</v>
      </c>
      <c r="DC120" s="21">
        <f>[2]底表!EP120</f>
        <v>0</v>
      </c>
      <c r="DD120" s="21" t="str">
        <f>[2]底表!EQ120</f>
        <v>持平</v>
      </c>
      <c r="DE120" s="21">
        <f>[2]底表!ER120</f>
        <v>0</v>
      </c>
      <c r="DF120" s="21">
        <f>[2]底表!ES120</f>
        <v>0</v>
      </c>
      <c r="DG120" s="23" t="str">
        <f>[2]底表!ET120</f>
        <v>持平</v>
      </c>
      <c r="DH120" s="21">
        <f>[2]底表!EU120</f>
        <v>1</v>
      </c>
      <c r="DI120" s="21" t="str">
        <f>[2]底表!EV120</f>
        <v>少1人</v>
      </c>
      <c r="DJ120" s="21">
        <f>[2]底表!EW120</f>
        <v>0</v>
      </c>
      <c r="DK120" s="21">
        <f>[2]底表!EX120</f>
        <v>0</v>
      </c>
      <c r="DL120" s="21" t="str">
        <f>[2]底表!EY120</f>
        <v/>
      </c>
      <c r="DM120" s="21" t="str">
        <f>[2]底表!EZ120</f>
        <v/>
      </c>
      <c r="DN120" s="21" t="str">
        <f>[2]底表!FA120</f>
        <v/>
      </c>
      <c r="DO120" s="21">
        <f>[2]底表!BQ120</f>
        <v>0</v>
      </c>
      <c r="DP120" s="21">
        <f>[2]底表!BR120</f>
        <v>0</v>
      </c>
      <c r="DQ120" s="24" t="str">
        <f>[2]底表!BS120</f>
        <v>持平</v>
      </c>
    </row>
    <row r="121" s="2" customFormat="1" ht="32" hidden="1" customHeight="1" spans="1:121">
      <c r="A121" s="27" t="str">
        <f>[2]底表!A121</f>
        <v>利信、帮信</v>
      </c>
      <c r="B121" s="28" t="str">
        <f>[2]底表!B121</f>
        <v>郁南县</v>
      </c>
      <c r="C121" s="21">
        <f>[2]底表!AM121</f>
        <v>1</v>
      </c>
      <c r="D121" s="21">
        <f>[2]底表!AN121</f>
        <v>0</v>
      </c>
      <c r="E121" s="23" t="str">
        <f>[2]底表!AO121</f>
        <v>多1起</v>
      </c>
      <c r="F121" s="21">
        <f>[2]底表!AP121</f>
        <v>0</v>
      </c>
      <c r="G121" s="21" t="str">
        <f>[2]底表!AQ121</f>
        <v>多1起</v>
      </c>
      <c r="H121" s="21">
        <f>[2]底表!AR121</f>
        <v>1</v>
      </c>
      <c r="I121" s="21" t="str">
        <f>[2]底表!AS121</f>
        <v/>
      </c>
      <c r="J121" s="21">
        <f>[2]底表!AT121</f>
        <v>1</v>
      </c>
      <c r="K121" s="21">
        <f>[2]底表!AU121</f>
        <v>0</v>
      </c>
      <c r="L121" s="21" t="str">
        <f>[2]底表!AV121</f>
        <v>多1起</v>
      </c>
      <c r="M121" s="21">
        <f>[2]底表!AW121</f>
        <v>0</v>
      </c>
      <c r="N121" s="21" t="str">
        <f>[2]底表!AX121</f>
        <v>多1起</v>
      </c>
      <c r="O121" s="21">
        <f>[2]底表!AY121</f>
        <v>1</v>
      </c>
      <c r="P121" s="21">
        <f>[2]底表!AZ121</f>
        <v>0</v>
      </c>
      <c r="Q121" s="21" t="str">
        <f>[2]底表!BA121</f>
        <v>多1起</v>
      </c>
      <c r="R121" s="21">
        <f>[2]底表!BB121</f>
        <v>0</v>
      </c>
      <c r="S121" s="21" t="str">
        <f>[2]底表!BC121</f>
        <v>多1起</v>
      </c>
      <c r="T121" s="21">
        <f>[2]底表!BD121</f>
        <v>1</v>
      </c>
      <c r="U121" s="21" t="str">
        <f>[2]底表!BE121</f>
        <v/>
      </c>
      <c r="V121" s="21">
        <f>[2]底表!BF121</f>
        <v>0</v>
      </c>
      <c r="W121" s="21">
        <f>[2]底表!BG121</f>
        <v>0</v>
      </c>
      <c r="X121" s="21" t="str">
        <f>[2]底表!BH121</f>
        <v>持平</v>
      </c>
      <c r="Y121" s="21">
        <f>[2]底表!BI121</f>
        <v>0</v>
      </c>
      <c r="Z121" s="21" t="str">
        <f>[2]底表!BJ121</f>
        <v>持平</v>
      </c>
      <c r="AA121" s="21">
        <f>[2]底表!BK121</f>
        <v>0</v>
      </c>
      <c r="AB121" s="21">
        <f>[2]底表!BL121</f>
        <v>0</v>
      </c>
      <c r="AC121" s="21">
        <f>[2]底表!BM121</f>
        <v>0</v>
      </c>
      <c r="AD121" s="21" t="str">
        <f>[2]底表!BN121</f>
        <v>持平</v>
      </c>
      <c r="AE121" s="21">
        <f>[2]底表!BO121</f>
        <v>0</v>
      </c>
      <c r="AF121" s="21" t="str">
        <f>[2]底表!BP121</f>
        <v>持平</v>
      </c>
      <c r="AG121" s="21">
        <f>[2]底表!BT121</f>
        <v>0</v>
      </c>
      <c r="AH121" s="21" t="str">
        <f>[2]底表!BU121</f>
        <v>持平</v>
      </c>
      <c r="AI121" s="21">
        <f>[2]底表!BV121</f>
        <v>0</v>
      </c>
      <c r="AJ121" s="21" t="str">
        <f>[2]底表!BW121</f>
        <v/>
      </c>
      <c r="AK121" s="21">
        <f>[2]底表!BX121</f>
        <v>0</v>
      </c>
      <c r="AL121" s="21" t="str">
        <f>[2]底表!BY121</f>
        <v/>
      </c>
      <c r="AM121" s="21">
        <f>[2]底表!BZ121</f>
        <v>0</v>
      </c>
      <c r="AN121" s="21">
        <f>[2]底表!CA121</f>
        <v>0</v>
      </c>
      <c r="AO121" s="21" t="str">
        <f>[2]底表!CB121</f>
        <v>持平</v>
      </c>
      <c r="AP121" s="21">
        <f>[2]底表!CC121</f>
        <v>0</v>
      </c>
      <c r="AQ121" s="21" t="str">
        <f>[2]底表!CD121</f>
        <v>持平</v>
      </c>
      <c r="AR121" s="21" t="str">
        <f>[2]底表!CE121</f>
        <v/>
      </c>
      <c r="AS121" s="21" t="str">
        <f>[2]底表!CF121</f>
        <v/>
      </c>
      <c r="AT121" s="21">
        <f>[2]底表!CG121</f>
        <v>9</v>
      </c>
      <c r="AU121" s="21">
        <f>[2]底表!CH121</f>
        <v>0</v>
      </c>
      <c r="AV121" s="21" t="str">
        <f>[2]底表!CI121</f>
        <v>多9人</v>
      </c>
      <c r="AW121" s="21">
        <f>[2]底表!CJ121</f>
        <v>0</v>
      </c>
      <c r="AX121" s="21" t="str">
        <f>[2]底表!CK121</f>
        <v>多9人</v>
      </c>
      <c r="AY121" s="21">
        <f>[2]底表!CL121</f>
        <v>900</v>
      </c>
      <c r="AZ121" s="21" t="str">
        <f>[2]底表!CM121</f>
        <v/>
      </c>
      <c r="BA121" s="21" t="str">
        <f>[2]底表!CN121</f>
        <v/>
      </c>
      <c r="BB121" s="21">
        <f>[2]底表!CO121</f>
        <v>11</v>
      </c>
      <c r="BC121" s="21">
        <f>[2]底表!CP121</f>
        <v>0</v>
      </c>
      <c r="BD121" s="21" t="str">
        <f>[2]底表!CQ121</f>
        <v>多11人</v>
      </c>
      <c r="BE121" s="21">
        <f>[2]底表!CR121</f>
        <v>0</v>
      </c>
      <c r="BF121" s="21" t="str">
        <f>[2]底表!CS121</f>
        <v>多11人</v>
      </c>
      <c r="BG121" s="21">
        <f>[2]底表!CT121</f>
        <v>1.2222</v>
      </c>
      <c r="BH121" s="21" t="str">
        <f>[2]底表!CU121</f>
        <v/>
      </c>
      <c r="BI121" s="21">
        <f>[2]底表!CV121</f>
        <v>1100</v>
      </c>
      <c r="BJ121" s="21" t="str">
        <f>[2]底表!CW121</f>
        <v/>
      </c>
      <c r="BK121" s="21" t="str">
        <f>[2]底表!CX121</f>
        <v/>
      </c>
      <c r="BL121" s="21">
        <f>[2]底表!CY121</f>
        <v>11</v>
      </c>
      <c r="BM121" s="21">
        <f>[2]底表!CZ121</f>
        <v>0</v>
      </c>
      <c r="BN121" s="23" t="str">
        <f>[2]底表!DA121</f>
        <v>多11人</v>
      </c>
      <c r="BO121" s="21">
        <f>[2]底表!DB121</f>
        <v>0</v>
      </c>
      <c r="BP121" s="21" t="str">
        <f>[2]底表!DC121</f>
        <v>多11人</v>
      </c>
      <c r="BQ121" s="21">
        <f>[2]底表!DD121</f>
        <v>1.2222</v>
      </c>
      <c r="BR121" s="21" t="str">
        <f>[2]底表!DE121</f>
        <v/>
      </c>
      <c r="BS121" s="21">
        <f>[2]底表!DF121</f>
        <v>1100</v>
      </c>
      <c r="BT121" s="21" t="str">
        <f>[2]底表!DG121</f>
        <v/>
      </c>
      <c r="BU121" s="21" t="str">
        <f>[2]底表!DH121</f>
        <v/>
      </c>
      <c r="BV121" s="21">
        <f>[2]底表!DI121</f>
        <v>0</v>
      </c>
      <c r="BW121" s="21">
        <f>[2]底表!DJ121</f>
        <v>0</v>
      </c>
      <c r="BX121" s="23" t="str">
        <f>[2]底表!DK121</f>
        <v>持平</v>
      </c>
      <c r="BY121" s="21">
        <f>[2]底表!DL121</f>
        <v>0</v>
      </c>
      <c r="BZ121" s="21" t="str">
        <f>[2]底表!DM121</f>
        <v>持平</v>
      </c>
      <c r="CA121" s="21">
        <f>[2]底表!DN121</f>
        <v>0</v>
      </c>
      <c r="CB121" s="21">
        <f>[2]底表!DO121</f>
        <v>0</v>
      </c>
      <c r="CC121" s="21" t="str">
        <f>[2]底表!DP121</f>
        <v>持平</v>
      </c>
      <c r="CD121" s="21">
        <f>[2]底表!DQ121</f>
        <v>0</v>
      </c>
      <c r="CE121" s="21" t="str">
        <f>[2]底表!DR121</f>
        <v>持平</v>
      </c>
      <c r="CF121" s="21">
        <f>[2]底表!DS121</f>
        <v>0</v>
      </c>
      <c r="CG121" s="21">
        <f>[2]底表!DT121</f>
        <v>0</v>
      </c>
      <c r="CH121" s="21" t="str">
        <f>[2]底表!DU121</f>
        <v>持平</v>
      </c>
      <c r="CI121" s="21">
        <f>[2]底表!DV121</f>
        <v>0</v>
      </c>
      <c r="CJ121" s="21" t="str">
        <f>[2]底表!DW121</f>
        <v>持平</v>
      </c>
      <c r="CK121" s="21">
        <f>[2]底表!DX121</f>
        <v>0</v>
      </c>
      <c r="CL121" s="21">
        <f>[2]底表!DY121</f>
        <v>0</v>
      </c>
      <c r="CM121" s="21" t="str">
        <f>[2]底表!DZ121</f>
        <v>持平</v>
      </c>
      <c r="CN121" s="21">
        <f>[2]底表!EA121</f>
        <v>0</v>
      </c>
      <c r="CO121" s="21" t="str">
        <f>[2]底表!EB121</f>
        <v>持平</v>
      </c>
      <c r="CP121" s="21">
        <f>[2]底表!EC121</f>
        <v>0</v>
      </c>
      <c r="CQ121" s="21">
        <f>[2]底表!ED121</f>
        <v>0</v>
      </c>
      <c r="CR121" s="21" t="str">
        <f>[2]底表!EE121</f>
        <v>持平</v>
      </c>
      <c r="CS121" s="21">
        <f>[2]底表!EF121</f>
        <v>0</v>
      </c>
      <c r="CT121" s="21" t="str">
        <f>[2]底表!EG121</f>
        <v>持平</v>
      </c>
      <c r="CU121" s="21">
        <f>[2]底表!EH121</f>
        <v>0</v>
      </c>
      <c r="CV121" s="21" t="str">
        <f>[2]底表!EI121</f>
        <v/>
      </c>
      <c r="CW121" s="21">
        <f>[2]底表!EJ121</f>
        <v>0</v>
      </c>
      <c r="CX121" s="21" t="str">
        <f>[2]底表!EK121</f>
        <v/>
      </c>
      <c r="CY121" s="21" t="str">
        <f>[2]底表!EL121</f>
        <v/>
      </c>
      <c r="CZ121" s="21">
        <f>[2]底表!EM121</f>
        <v>0</v>
      </c>
      <c r="DA121" s="21">
        <f>[2]底表!EN121</f>
        <v>0</v>
      </c>
      <c r="DB121" s="21" t="str">
        <f>[2]底表!EO121</f>
        <v>持平</v>
      </c>
      <c r="DC121" s="21">
        <f>[2]底表!EP121</f>
        <v>0</v>
      </c>
      <c r="DD121" s="21" t="str">
        <f>[2]底表!EQ121</f>
        <v>持平</v>
      </c>
      <c r="DE121" s="21">
        <f>[2]底表!ER121</f>
        <v>0</v>
      </c>
      <c r="DF121" s="21">
        <f>[2]底表!ES121</f>
        <v>0</v>
      </c>
      <c r="DG121" s="23" t="str">
        <f>[2]底表!ET121</f>
        <v>持平</v>
      </c>
      <c r="DH121" s="21">
        <f>[2]底表!EU121</f>
        <v>0</v>
      </c>
      <c r="DI121" s="21" t="str">
        <f>[2]底表!EV121</f>
        <v>持平</v>
      </c>
      <c r="DJ121" s="21">
        <f>[2]底表!EW121</f>
        <v>0</v>
      </c>
      <c r="DK121" s="21" t="str">
        <f>[2]底表!EX121</f>
        <v/>
      </c>
      <c r="DL121" s="21">
        <f>[2]底表!EY121</f>
        <v>0</v>
      </c>
      <c r="DM121" s="21" t="str">
        <f>[2]底表!EZ121</f>
        <v/>
      </c>
      <c r="DN121" s="21" t="str">
        <f>[2]底表!FA121</f>
        <v/>
      </c>
      <c r="DO121" s="21">
        <f>[2]底表!BQ121</f>
        <v>0</v>
      </c>
      <c r="DP121" s="21">
        <f>[2]底表!BR121</f>
        <v>0</v>
      </c>
      <c r="DQ121" s="24" t="str">
        <f>[2]底表!BS121</f>
        <v>持平</v>
      </c>
    </row>
    <row r="122" s="2" customFormat="1" ht="32" hidden="1" customHeight="1" spans="1:121">
      <c r="A122" s="27" t="str">
        <f>[2]底表!A122</f>
        <v>利信、帮信</v>
      </c>
      <c r="B122" s="28" t="str">
        <f>[2]底表!B122</f>
        <v>罗定市</v>
      </c>
      <c r="C122" s="21">
        <f>[2]底表!AM122</f>
        <v>0</v>
      </c>
      <c r="D122" s="21">
        <f>[2]底表!AN122</f>
        <v>0</v>
      </c>
      <c r="E122" s="23" t="str">
        <f>[2]底表!AO122</f>
        <v>持平</v>
      </c>
      <c r="F122" s="21">
        <f>[2]底表!AP122</f>
        <v>2</v>
      </c>
      <c r="G122" s="21" t="str">
        <f>[2]底表!AQ122</f>
        <v>少2起</v>
      </c>
      <c r="H122" s="21" t="str">
        <f>[2]底表!AR122</f>
        <v/>
      </c>
      <c r="I122" s="21" t="str">
        <f>[2]底表!AS122</f>
        <v/>
      </c>
      <c r="J122" s="21">
        <f>[2]底表!AT122</f>
        <v>0</v>
      </c>
      <c r="K122" s="21">
        <f>[2]底表!AU122</f>
        <v>0</v>
      </c>
      <c r="L122" s="21" t="str">
        <f>[2]底表!AV122</f>
        <v>持平</v>
      </c>
      <c r="M122" s="21">
        <f>[2]底表!AW122</f>
        <v>0</v>
      </c>
      <c r="N122" s="21" t="str">
        <f>[2]底表!AX122</f>
        <v>持平</v>
      </c>
      <c r="O122" s="21">
        <f>[2]底表!AY122</f>
        <v>0</v>
      </c>
      <c r="P122" s="21">
        <f>[2]底表!AZ122</f>
        <v>0</v>
      </c>
      <c r="Q122" s="21" t="str">
        <f>[2]底表!BA122</f>
        <v>持平</v>
      </c>
      <c r="R122" s="21">
        <f>[2]底表!BB122</f>
        <v>1</v>
      </c>
      <c r="S122" s="21" t="str">
        <f>[2]底表!BC122</f>
        <v>少1起</v>
      </c>
      <c r="T122" s="21" t="str">
        <f>[2]底表!BD122</f>
        <v/>
      </c>
      <c r="U122" s="21" t="str">
        <f>[2]底表!BE122</f>
        <v/>
      </c>
      <c r="V122" s="21">
        <f>[2]底表!BF122</f>
        <v>0</v>
      </c>
      <c r="W122" s="21">
        <f>[2]底表!BG122</f>
        <v>0</v>
      </c>
      <c r="X122" s="21" t="str">
        <f>[2]底表!BH122</f>
        <v>持平</v>
      </c>
      <c r="Y122" s="21">
        <f>[2]底表!BI122</f>
        <v>0</v>
      </c>
      <c r="Z122" s="21" t="str">
        <f>[2]底表!BJ122</f>
        <v>持平</v>
      </c>
      <c r="AA122" s="21" t="str">
        <f>[2]底表!BK122</f>
        <v/>
      </c>
      <c r="AB122" s="21">
        <f>[2]底表!BL122</f>
        <v>0</v>
      </c>
      <c r="AC122" s="21">
        <f>[2]底表!BM122</f>
        <v>0</v>
      </c>
      <c r="AD122" s="21" t="str">
        <f>[2]底表!BN122</f>
        <v>持平</v>
      </c>
      <c r="AE122" s="21">
        <f>[2]底表!BO122</f>
        <v>1</v>
      </c>
      <c r="AF122" s="21" t="str">
        <f>[2]底表!BP122</f>
        <v>少1起</v>
      </c>
      <c r="AG122" s="21">
        <f>[2]底表!BT122</f>
        <v>0</v>
      </c>
      <c r="AH122" s="21" t="str">
        <f>[2]底表!BU122</f>
        <v>持平</v>
      </c>
      <c r="AI122" s="21" t="str">
        <f>[2]底表!BV122</f>
        <v/>
      </c>
      <c r="AJ122" s="21" t="str">
        <f>[2]底表!BW122</f>
        <v/>
      </c>
      <c r="AK122" s="21" t="str">
        <f>[2]底表!BX122</f>
        <v/>
      </c>
      <c r="AL122" s="21" t="str">
        <f>[2]底表!BY122</f>
        <v/>
      </c>
      <c r="AM122" s="21">
        <f>[2]底表!BZ122</f>
        <v>0</v>
      </c>
      <c r="AN122" s="21">
        <f>[2]底表!CA122</f>
        <v>0</v>
      </c>
      <c r="AO122" s="21" t="str">
        <f>[2]底表!CB122</f>
        <v>持平</v>
      </c>
      <c r="AP122" s="21">
        <f>[2]底表!CC122</f>
        <v>0</v>
      </c>
      <c r="AQ122" s="21" t="str">
        <f>[2]底表!CD122</f>
        <v>持平</v>
      </c>
      <c r="AR122" s="21" t="str">
        <f>[2]底表!CE122</f>
        <v/>
      </c>
      <c r="AS122" s="21" t="str">
        <f>[2]底表!CF122</f>
        <v/>
      </c>
      <c r="AT122" s="21">
        <f>[2]底表!CG122</f>
        <v>0</v>
      </c>
      <c r="AU122" s="21">
        <f>[2]底表!CH122</f>
        <v>0</v>
      </c>
      <c r="AV122" s="21" t="str">
        <f>[2]底表!CI122</f>
        <v>持平</v>
      </c>
      <c r="AW122" s="21">
        <f>[2]底表!CJ122</f>
        <v>1</v>
      </c>
      <c r="AX122" s="21" t="str">
        <f>[2]底表!CK122</f>
        <v>少1人</v>
      </c>
      <c r="AY122" s="21" t="str">
        <f>[2]底表!CL122</f>
        <v/>
      </c>
      <c r="AZ122" s="21" t="str">
        <f>[2]底表!CM122</f>
        <v/>
      </c>
      <c r="BA122" s="21" t="str">
        <f>[2]底表!CN122</f>
        <v/>
      </c>
      <c r="BB122" s="21">
        <f>[2]底表!CO122</f>
        <v>0</v>
      </c>
      <c r="BC122" s="21">
        <f>[2]底表!CP122</f>
        <v>0</v>
      </c>
      <c r="BD122" s="21" t="str">
        <f>[2]底表!CQ122</f>
        <v>持平</v>
      </c>
      <c r="BE122" s="21">
        <f>[2]底表!CR122</f>
        <v>0</v>
      </c>
      <c r="BF122" s="21" t="str">
        <f>[2]底表!CS122</f>
        <v>持平</v>
      </c>
      <c r="BG122" s="21" t="str">
        <f>[2]底表!CT122</f>
        <v/>
      </c>
      <c r="BH122" s="21" t="str">
        <f>[2]底表!CU122</f>
        <v/>
      </c>
      <c r="BI122" s="21" t="str">
        <f>[2]底表!CV122</f>
        <v/>
      </c>
      <c r="BJ122" s="21" t="str">
        <f>[2]底表!CW122</f>
        <v/>
      </c>
      <c r="BK122" s="21" t="str">
        <f>[2]底表!CX122</f>
        <v/>
      </c>
      <c r="BL122" s="21">
        <f>[2]底表!CY122</f>
        <v>0</v>
      </c>
      <c r="BM122" s="21">
        <f>[2]底表!CZ122</f>
        <v>0</v>
      </c>
      <c r="BN122" s="23" t="str">
        <f>[2]底表!DA122</f>
        <v>持平</v>
      </c>
      <c r="BO122" s="21">
        <f>[2]底表!DB122</f>
        <v>0</v>
      </c>
      <c r="BP122" s="21" t="str">
        <f>[2]底表!DC122</f>
        <v>持平</v>
      </c>
      <c r="BQ122" s="21" t="str">
        <f>[2]底表!DD122</f>
        <v/>
      </c>
      <c r="BR122" s="21" t="str">
        <f>[2]底表!DE122</f>
        <v/>
      </c>
      <c r="BS122" s="21" t="str">
        <f>[2]底表!DF122</f>
        <v/>
      </c>
      <c r="BT122" s="21" t="str">
        <f>[2]底表!DG122</f>
        <v/>
      </c>
      <c r="BU122" s="21" t="str">
        <f>[2]底表!DH122</f>
        <v/>
      </c>
      <c r="BV122" s="21">
        <f>[2]底表!DI122</f>
        <v>0</v>
      </c>
      <c r="BW122" s="21">
        <f>[2]底表!DJ122</f>
        <v>0</v>
      </c>
      <c r="BX122" s="23" t="str">
        <f>[2]底表!DK122</f>
        <v>持平</v>
      </c>
      <c r="BY122" s="21">
        <f>[2]底表!DL122</f>
        <v>2</v>
      </c>
      <c r="BZ122" s="21" t="str">
        <f>[2]底表!DM122</f>
        <v>少2人</v>
      </c>
      <c r="CA122" s="21">
        <f>[2]底表!DN122</f>
        <v>0</v>
      </c>
      <c r="CB122" s="21">
        <f>[2]底表!DO122</f>
        <v>0</v>
      </c>
      <c r="CC122" s="21" t="str">
        <f>[2]底表!DP122</f>
        <v>持平</v>
      </c>
      <c r="CD122" s="21">
        <f>[2]底表!DQ122</f>
        <v>0</v>
      </c>
      <c r="CE122" s="21" t="str">
        <f>[2]底表!DR122</f>
        <v>持平</v>
      </c>
      <c r="CF122" s="21">
        <f>[2]底表!DS122</f>
        <v>0</v>
      </c>
      <c r="CG122" s="21">
        <f>[2]底表!DT122</f>
        <v>0</v>
      </c>
      <c r="CH122" s="21" t="str">
        <f>[2]底表!DU122</f>
        <v>持平</v>
      </c>
      <c r="CI122" s="21">
        <f>[2]底表!DV122</f>
        <v>0</v>
      </c>
      <c r="CJ122" s="21" t="str">
        <f>[2]底表!DW122</f>
        <v>持平</v>
      </c>
      <c r="CK122" s="21">
        <f>[2]底表!DX122</f>
        <v>0</v>
      </c>
      <c r="CL122" s="21">
        <f>[2]底表!DY122</f>
        <v>0</v>
      </c>
      <c r="CM122" s="21" t="str">
        <f>[2]底表!DZ122</f>
        <v>持平</v>
      </c>
      <c r="CN122" s="21">
        <f>[2]底表!EA122</f>
        <v>0</v>
      </c>
      <c r="CO122" s="21" t="str">
        <f>[2]底表!EB122</f>
        <v>持平</v>
      </c>
      <c r="CP122" s="21">
        <f>[2]底表!EC122</f>
        <v>0</v>
      </c>
      <c r="CQ122" s="21">
        <f>[2]底表!ED122</f>
        <v>0</v>
      </c>
      <c r="CR122" s="21" t="str">
        <f>[2]底表!EE122</f>
        <v>持平</v>
      </c>
      <c r="CS122" s="21">
        <f>[2]底表!EF122</f>
        <v>0</v>
      </c>
      <c r="CT122" s="21" t="str">
        <f>[2]底表!EG122</f>
        <v>持平</v>
      </c>
      <c r="CU122" s="21" t="str">
        <f>[2]底表!EH122</f>
        <v/>
      </c>
      <c r="CV122" s="21" t="str">
        <f>[2]底表!EI122</f>
        <v/>
      </c>
      <c r="CW122" s="21" t="str">
        <f>[2]底表!EJ122</f>
        <v/>
      </c>
      <c r="CX122" s="21" t="str">
        <f>[2]底表!EK122</f>
        <v/>
      </c>
      <c r="CY122" s="21" t="str">
        <f>[2]底表!EL122</f>
        <v/>
      </c>
      <c r="CZ122" s="21">
        <f>[2]底表!EM122</f>
        <v>0</v>
      </c>
      <c r="DA122" s="21">
        <f>[2]底表!EN122</f>
        <v>0</v>
      </c>
      <c r="DB122" s="21" t="str">
        <f>[2]底表!EO122</f>
        <v>持平</v>
      </c>
      <c r="DC122" s="21">
        <f>[2]底表!EP122</f>
        <v>0</v>
      </c>
      <c r="DD122" s="21" t="str">
        <f>[2]底表!EQ122</f>
        <v>持平</v>
      </c>
      <c r="DE122" s="21">
        <f>[2]底表!ER122</f>
        <v>0</v>
      </c>
      <c r="DF122" s="21">
        <f>[2]底表!ES122</f>
        <v>0</v>
      </c>
      <c r="DG122" s="23" t="str">
        <f>[2]底表!ET122</f>
        <v>持平</v>
      </c>
      <c r="DH122" s="21">
        <f>[2]底表!EU122</f>
        <v>0</v>
      </c>
      <c r="DI122" s="21" t="str">
        <f>[2]底表!EV122</f>
        <v>持平</v>
      </c>
      <c r="DJ122" s="21" t="str">
        <f>[2]底表!EW122</f>
        <v/>
      </c>
      <c r="DK122" s="21" t="str">
        <f>[2]底表!EX122</f>
        <v/>
      </c>
      <c r="DL122" s="21" t="str">
        <f>[2]底表!EY122</f>
        <v/>
      </c>
      <c r="DM122" s="21" t="str">
        <f>[2]底表!EZ122</f>
        <v/>
      </c>
      <c r="DN122" s="21" t="str">
        <f>[2]底表!FA122</f>
        <v/>
      </c>
      <c r="DO122" s="21">
        <f>[2]底表!BQ122</f>
        <v>0</v>
      </c>
      <c r="DP122" s="21">
        <f>[2]底表!BR122</f>
        <v>0</v>
      </c>
      <c r="DQ122" s="24" t="str">
        <f>[2]底表!BS122</f>
        <v>持平</v>
      </c>
    </row>
    <row r="123" s="2" customFormat="1" ht="32" hidden="1" customHeight="1" spans="1:121">
      <c r="A123" s="27" t="str">
        <f>[2]底表!A123</f>
        <v>非法利用信息网络</v>
      </c>
      <c r="B123" s="28" t="str">
        <f>[2]底表!B123</f>
        <v>全省</v>
      </c>
      <c r="C123" s="21">
        <f>[2]底表!AM123</f>
        <v>783</v>
      </c>
      <c r="D123" s="21">
        <f>[2]底表!AN123</f>
        <v>991</v>
      </c>
      <c r="E123" s="23">
        <f>[2]底表!AO123</f>
        <v>-0.2099</v>
      </c>
      <c r="F123" s="21">
        <f>[2]底表!AP123</f>
        <v>3280</v>
      </c>
      <c r="G123" s="21">
        <f>[2]底表!AQ123</f>
        <v>-0.7613</v>
      </c>
      <c r="H123" s="21">
        <f>[2]底表!AR123</f>
        <v>0.4036</v>
      </c>
      <c r="I123" s="21">
        <f>[2]底表!AS123</f>
        <v>0.2765</v>
      </c>
      <c r="J123" s="21">
        <f>[2]底表!AT123</f>
        <v>1292</v>
      </c>
      <c r="K123" s="21">
        <f>[2]底表!AU123</f>
        <v>3096</v>
      </c>
      <c r="L123" s="21">
        <f>[2]底表!AV123</f>
        <v>-0.5827</v>
      </c>
      <c r="M123" s="21">
        <f>[2]底表!AW123</f>
        <v>3071</v>
      </c>
      <c r="N123" s="21">
        <f>[2]底表!AX123</f>
        <v>-0.5793</v>
      </c>
      <c r="O123" s="21">
        <f>[2]底表!AY123</f>
        <v>71</v>
      </c>
      <c r="P123" s="21">
        <f>[2]底表!AZ123</f>
        <v>261</v>
      </c>
      <c r="Q123" s="21">
        <f>[2]底表!BA123</f>
        <v>-0.728</v>
      </c>
      <c r="R123" s="21">
        <f>[2]底表!BB123</f>
        <v>880</v>
      </c>
      <c r="S123" s="21">
        <f>[2]底表!BC123</f>
        <v>-0.9193</v>
      </c>
      <c r="T123" s="21">
        <f>[2]底表!BD123</f>
        <v>0.055</v>
      </c>
      <c r="U123" s="21">
        <f>[2]底表!BE123</f>
        <v>-0.0293</v>
      </c>
      <c r="V123" s="21">
        <f>[2]底表!BF123</f>
        <v>648</v>
      </c>
      <c r="W123" s="21">
        <f>[2]底表!BG123</f>
        <v>4700</v>
      </c>
      <c r="X123" s="21">
        <f>[2]底表!BH123</f>
        <v>-0.8621</v>
      </c>
      <c r="Y123" s="21">
        <f>[2]底表!BI123</f>
        <v>38</v>
      </c>
      <c r="Z123" s="21">
        <f>[2]底表!BJ123</f>
        <v>16.0526</v>
      </c>
      <c r="AA123" s="21">
        <f>[2]底表!BK123</f>
        <v>0.334</v>
      </c>
      <c r="AB123" s="21">
        <f>[2]底表!BL123</f>
        <v>712</v>
      </c>
      <c r="AC123" s="21">
        <f>[2]底表!BM123</f>
        <v>730</v>
      </c>
      <c r="AD123" s="21">
        <f>[2]底表!BN123</f>
        <v>-0.0247</v>
      </c>
      <c r="AE123" s="21">
        <f>[2]底表!BO123</f>
        <v>2400</v>
      </c>
      <c r="AF123" s="21">
        <f>[2]底表!BP123</f>
        <v>-0.7033</v>
      </c>
      <c r="AG123" s="21">
        <f>[2]底表!BT123</f>
        <v>241</v>
      </c>
      <c r="AH123" s="21">
        <f>[2]底表!BU123</f>
        <v>-0.5104</v>
      </c>
      <c r="AI123" s="21">
        <f>[2]底表!BV123</f>
        <v>0.0608</v>
      </c>
      <c r="AJ123" s="21">
        <f>[2]底表!BW123</f>
        <v>0.048</v>
      </c>
      <c r="AK123" s="21">
        <f>[2]底表!BX123</f>
        <v>0.0913</v>
      </c>
      <c r="AL123" s="21">
        <f>[2]底表!BY123</f>
        <v>0.059</v>
      </c>
      <c r="AM123" s="21">
        <f>[2]底表!BZ123</f>
        <v>0</v>
      </c>
      <c r="AN123" s="21">
        <f>[2]底表!CA123</f>
        <v>0</v>
      </c>
      <c r="AO123" s="21" t="str">
        <f>[2]底表!CB123</f>
        <v>持平</v>
      </c>
      <c r="AP123" s="21">
        <f>[2]底表!CC123</f>
        <v>16</v>
      </c>
      <c r="AQ123" s="21" t="str">
        <f>[2]底表!CD123</f>
        <v>少16起</v>
      </c>
      <c r="AR123" s="21" t="str">
        <f>[2]底表!CE123</f>
        <v/>
      </c>
      <c r="AS123" s="21" t="str">
        <f>[2]底表!CF123</f>
        <v/>
      </c>
      <c r="AT123" s="21">
        <f>[2]底表!CG123</f>
        <v>662</v>
      </c>
      <c r="AU123" s="21">
        <f>[2]底表!CH123</f>
        <v>973</v>
      </c>
      <c r="AV123" s="21">
        <f>[2]底表!CI123</f>
        <v>-0.3196</v>
      </c>
      <c r="AW123" s="21">
        <f>[2]底表!CJ123</f>
        <v>1187</v>
      </c>
      <c r="AX123" s="21">
        <f>[2]底表!CK123</f>
        <v>-0.4423</v>
      </c>
      <c r="AY123" s="21">
        <f>[2]底表!CL123</f>
        <v>34</v>
      </c>
      <c r="AZ123" s="21">
        <f>[2]底表!CM123</f>
        <v>22</v>
      </c>
      <c r="BA123" s="21">
        <f>[2]底表!CN123</f>
        <v>1.7341</v>
      </c>
      <c r="BB123" s="21">
        <f>[2]底表!CO123</f>
        <v>806</v>
      </c>
      <c r="BC123" s="21">
        <f>[2]底表!CP123</f>
        <v>696</v>
      </c>
      <c r="BD123" s="21">
        <f>[2]底表!CQ123</f>
        <v>0.158</v>
      </c>
      <c r="BE123" s="21">
        <f>[2]底表!CR123</f>
        <v>694</v>
      </c>
      <c r="BF123" s="21">
        <f>[2]底表!CS123</f>
        <v>0.1614</v>
      </c>
      <c r="BG123" s="21">
        <f>[2]底表!CT123</f>
        <v>1.2175</v>
      </c>
      <c r="BH123" s="21">
        <f>[2]底表!CU123</f>
        <v>0.5022</v>
      </c>
      <c r="BI123" s="21">
        <f>[2]底表!CV123</f>
        <v>42</v>
      </c>
      <c r="BJ123" s="21">
        <f>[2]底表!CW123</f>
        <v>33</v>
      </c>
      <c r="BK123" s="21">
        <f>[2]底表!CX123</f>
        <v>3.6537</v>
      </c>
      <c r="BL123" s="21">
        <f>[2]底表!CY123</f>
        <v>880</v>
      </c>
      <c r="BM123" s="21">
        <f>[2]底表!CZ123</f>
        <v>795</v>
      </c>
      <c r="BN123" s="23">
        <f>[2]底表!DA123</f>
        <v>0.1069</v>
      </c>
      <c r="BO123" s="21">
        <f>[2]底表!DB123</f>
        <v>770</v>
      </c>
      <c r="BP123" s="21">
        <f>[2]底表!DC123</f>
        <v>0.1429</v>
      </c>
      <c r="BQ123" s="21">
        <f>[2]底表!DD123</f>
        <v>1.3293</v>
      </c>
      <c r="BR123" s="21">
        <f>[2]底表!DE123</f>
        <v>0.5122</v>
      </c>
      <c r="BS123" s="21">
        <f>[2]底表!DF123</f>
        <v>45</v>
      </c>
      <c r="BT123" s="21">
        <f>[2]底表!DG123</f>
        <v>35</v>
      </c>
      <c r="BU123" s="21">
        <f>[2]底表!DH123</f>
        <v>3.4482</v>
      </c>
      <c r="BV123" s="21">
        <f>[2]底表!DI123</f>
        <v>164</v>
      </c>
      <c r="BW123" s="21">
        <f>[2]底表!DJ123</f>
        <v>80</v>
      </c>
      <c r="BX123" s="23">
        <f>[2]底表!DK123</f>
        <v>1.05</v>
      </c>
      <c r="BY123" s="21">
        <f>[2]底表!DL123</f>
        <v>163</v>
      </c>
      <c r="BZ123" s="21">
        <f>[2]底表!DM123</f>
        <v>0.0061</v>
      </c>
      <c r="CA123" s="21">
        <f>[2]底表!DN123</f>
        <v>518</v>
      </c>
      <c r="CB123" s="21">
        <f>[2]底表!DO123</f>
        <v>544</v>
      </c>
      <c r="CC123" s="21">
        <f>[2]底表!DP123</f>
        <v>-0.0478</v>
      </c>
      <c r="CD123" s="21">
        <f>[2]底表!DQ123</f>
        <v>510</v>
      </c>
      <c r="CE123" s="21">
        <f>[2]底表!DR123</f>
        <v>0.0157</v>
      </c>
      <c r="CF123" s="21">
        <f>[2]底表!DS123</f>
        <v>518</v>
      </c>
      <c r="CG123" s="21">
        <f>[2]底表!DT123</f>
        <v>544</v>
      </c>
      <c r="CH123" s="21">
        <f>[2]底表!DU123</f>
        <v>-0.0478</v>
      </c>
      <c r="CI123" s="21">
        <f>[2]底表!DV123</f>
        <v>511</v>
      </c>
      <c r="CJ123" s="21">
        <f>[2]底表!DW123</f>
        <v>0.0137</v>
      </c>
      <c r="CK123" s="21">
        <f>[2]底表!DX123</f>
        <v>209</v>
      </c>
      <c r="CL123" s="21">
        <f>[2]底表!DY123</f>
        <v>253</v>
      </c>
      <c r="CM123" s="21">
        <f>[2]底表!DZ123</f>
        <v>-0.1739</v>
      </c>
      <c r="CN123" s="21">
        <f>[2]底表!EA123</f>
        <v>162</v>
      </c>
      <c r="CO123" s="21">
        <f>[2]底表!EB123</f>
        <v>0.2901</v>
      </c>
      <c r="CP123" s="21">
        <f>[2]底表!EC123</f>
        <v>75</v>
      </c>
      <c r="CQ123" s="21">
        <f>[2]底表!ED123</f>
        <v>143</v>
      </c>
      <c r="CR123" s="21">
        <f>[2]底表!EE123</f>
        <v>-0.4755</v>
      </c>
      <c r="CS123" s="21">
        <f>[2]底表!EF123</f>
        <v>90</v>
      </c>
      <c r="CT123" s="21">
        <f>[2]底表!EG123</f>
        <v>-0.1667</v>
      </c>
      <c r="CU123" s="21">
        <f>[2]底表!EH123</f>
        <v>0.0931</v>
      </c>
      <c r="CV123" s="21">
        <f>[2]底表!EI123</f>
        <v>-0.1124</v>
      </c>
      <c r="CW123" s="21">
        <f>[2]底表!EJ123</f>
        <v>4</v>
      </c>
      <c r="CX123" s="21">
        <f>[2]底表!EK123</f>
        <v>2</v>
      </c>
      <c r="CY123" s="21">
        <f>[2]底表!EL123</f>
        <v>1.1076</v>
      </c>
      <c r="CZ123" s="21">
        <f>[2]底表!EM123</f>
        <v>80</v>
      </c>
      <c r="DA123" s="21">
        <f>[2]底表!EN123</f>
        <v>131</v>
      </c>
      <c r="DB123" s="21">
        <f>[2]底表!EO123</f>
        <v>-0.3893</v>
      </c>
      <c r="DC123" s="21">
        <f>[2]底表!EP123</f>
        <v>83</v>
      </c>
      <c r="DD123" s="21">
        <f>[2]底表!EQ123</f>
        <v>-0.0361</v>
      </c>
      <c r="DE123" s="21">
        <f>[2]底表!ER123</f>
        <v>162</v>
      </c>
      <c r="DF123" s="21">
        <f>[2]底表!ES123</f>
        <v>148</v>
      </c>
      <c r="DG123" s="23">
        <f>[2]底表!ET123</f>
        <v>0.0946</v>
      </c>
      <c r="DH123" s="21">
        <f>[2]底表!EU123</f>
        <v>320</v>
      </c>
      <c r="DI123" s="21">
        <f>[2]底表!EV123</f>
        <v>-0.4938</v>
      </c>
      <c r="DJ123" s="21">
        <f>[2]底表!EW123</f>
        <v>0.201</v>
      </c>
      <c r="DK123" s="21">
        <f>[2]底表!EX123</f>
        <v>-0.0117</v>
      </c>
      <c r="DL123" s="21">
        <f>[2]底表!EY123</f>
        <v>8</v>
      </c>
      <c r="DM123" s="21">
        <f>[2]底表!EZ123</f>
        <v>6</v>
      </c>
      <c r="DN123" s="21">
        <f>[2]底表!FA123</f>
        <v>3.3987</v>
      </c>
      <c r="DO123" s="21">
        <f>[2]底表!BQ123</f>
        <v>118</v>
      </c>
      <c r="DP123" s="21">
        <f>[2]底表!BR123</f>
        <v>100</v>
      </c>
      <c r="DQ123" s="24">
        <f>[2]底表!BS123</f>
        <v>0.18</v>
      </c>
    </row>
    <row r="124" s="2" customFormat="1" ht="32" hidden="1" customHeight="1" spans="1:121">
      <c r="A124" s="27" t="str">
        <f>[2]底表!A124</f>
        <v>非法利用信息网络</v>
      </c>
      <c r="B124" s="28" t="str">
        <f>[2]底表!B124</f>
        <v>云浮</v>
      </c>
      <c r="C124" s="21">
        <f>[2]底表!AM124</f>
        <v>1</v>
      </c>
      <c r="D124" s="21">
        <f>[2]底表!AN124</f>
        <v>0</v>
      </c>
      <c r="E124" s="23" t="str">
        <f>[2]底表!AO124</f>
        <v>多1起</v>
      </c>
      <c r="F124" s="21">
        <f>[2]底表!AP124</f>
        <v>1</v>
      </c>
      <c r="G124" s="21">
        <f>[2]底表!AQ124</f>
        <v>0</v>
      </c>
      <c r="H124" s="21" t="str">
        <f>[2]底表!AR124</f>
        <v/>
      </c>
      <c r="I124" s="21" t="str">
        <f>[2]底表!AS124</f>
        <v/>
      </c>
      <c r="J124" s="21">
        <f>[2]底表!AT124</f>
        <v>0</v>
      </c>
      <c r="K124" s="21">
        <f>[2]底表!AU124</f>
        <v>0</v>
      </c>
      <c r="L124" s="21" t="str">
        <f>[2]底表!AV124</f>
        <v>持平</v>
      </c>
      <c r="M124" s="21">
        <f>[2]底表!AW124</f>
        <v>0</v>
      </c>
      <c r="N124" s="21" t="str">
        <f>[2]底表!AX124</f>
        <v>持平</v>
      </c>
      <c r="O124" s="21">
        <f>[2]底表!AY124</f>
        <v>0</v>
      </c>
      <c r="P124" s="21">
        <f>[2]底表!AZ124</f>
        <v>0</v>
      </c>
      <c r="Q124" s="21" t="str">
        <f>[2]底表!BA124</f>
        <v>持平</v>
      </c>
      <c r="R124" s="21">
        <f>[2]底表!BB124</f>
        <v>1</v>
      </c>
      <c r="S124" s="21" t="str">
        <f>[2]底表!BC124</f>
        <v>少1起</v>
      </c>
      <c r="T124" s="21" t="str">
        <f>[2]底表!BD124</f>
        <v/>
      </c>
      <c r="U124" s="21" t="str">
        <f>[2]底表!BE124</f>
        <v/>
      </c>
      <c r="V124" s="21">
        <f>[2]底表!BF124</f>
        <v>0</v>
      </c>
      <c r="W124" s="21">
        <f>[2]底表!BG124</f>
        <v>0</v>
      </c>
      <c r="X124" s="21" t="str">
        <f>[2]底表!BH124</f>
        <v>持平</v>
      </c>
      <c r="Y124" s="21">
        <f>[2]底表!BI124</f>
        <v>0</v>
      </c>
      <c r="Z124" s="21" t="str">
        <f>[2]底表!BJ124</f>
        <v>持平</v>
      </c>
      <c r="AA124" s="21" t="str">
        <f>[2]底表!BK124</f>
        <v/>
      </c>
      <c r="AB124" s="21">
        <f>[2]底表!BL124</f>
        <v>1</v>
      </c>
      <c r="AC124" s="21">
        <f>[2]底表!BM124</f>
        <v>0</v>
      </c>
      <c r="AD124" s="21" t="str">
        <f>[2]底表!BN124</f>
        <v>多1起</v>
      </c>
      <c r="AE124" s="21">
        <f>[2]底表!BO124</f>
        <v>0</v>
      </c>
      <c r="AF124" s="21" t="str">
        <f>[2]底表!BP124</f>
        <v>多1起</v>
      </c>
      <c r="AG124" s="21">
        <f>[2]底表!BT124</f>
        <v>0</v>
      </c>
      <c r="AH124" s="21" t="str">
        <f>[2]底表!BU124</f>
        <v>持平</v>
      </c>
      <c r="AI124" s="21" t="str">
        <f>[2]底表!BV124</f>
        <v/>
      </c>
      <c r="AJ124" s="21" t="str">
        <f>[2]底表!BW124</f>
        <v/>
      </c>
      <c r="AK124" s="21" t="str">
        <f>[2]底表!BX124</f>
        <v/>
      </c>
      <c r="AL124" s="21" t="str">
        <f>[2]底表!BY124</f>
        <v/>
      </c>
      <c r="AM124" s="21">
        <f>[2]底表!BZ124</f>
        <v>0</v>
      </c>
      <c r="AN124" s="21">
        <f>[2]底表!CA124</f>
        <v>0</v>
      </c>
      <c r="AO124" s="21" t="str">
        <f>[2]底表!CB124</f>
        <v>持平</v>
      </c>
      <c r="AP124" s="21">
        <f>[2]底表!CC124</f>
        <v>0</v>
      </c>
      <c r="AQ124" s="21" t="str">
        <f>[2]底表!CD124</f>
        <v>持平</v>
      </c>
      <c r="AR124" s="21" t="str">
        <f>[2]底表!CE124</f>
        <v/>
      </c>
      <c r="AS124" s="21" t="str">
        <f>[2]底表!CF124</f>
        <v/>
      </c>
      <c r="AT124" s="21">
        <f>[2]底表!CG124</f>
        <v>16</v>
      </c>
      <c r="AU124" s="21">
        <f>[2]底表!CH124</f>
        <v>0</v>
      </c>
      <c r="AV124" s="21" t="str">
        <f>[2]底表!CI124</f>
        <v>多16人</v>
      </c>
      <c r="AW124" s="21">
        <f>[2]底表!CJ124</f>
        <v>1</v>
      </c>
      <c r="AX124" s="21">
        <f>[2]底表!CK124</f>
        <v>15</v>
      </c>
      <c r="AY124" s="21" t="str">
        <f>[2]底表!CL124</f>
        <v/>
      </c>
      <c r="AZ124" s="21" t="str">
        <f>[2]底表!CM124</f>
        <v/>
      </c>
      <c r="BA124" s="21" t="str">
        <f>[2]底表!CN124</f>
        <v/>
      </c>
      <c r="BB124" s="21">
        <f>[2]底表!CO124</f>
        <v>10</v>
      </c>
      <c r="BC124" s="21">
        <f>[2]底表!CP124</f>
        <v>0</v>
      </c>
      <c r="BD124" s="21" t="str">
        <f>[2]底表!CQ124</f>
        <v>多10人</v>
      </c>
      <c r="BE124" s="21">
        <f>[2]底表!CR124</f>
        <v>1</v>
      </c>
      <c r="BF124" s="21">
        <f>[2]底表!CS124</f>
        <v>9</v>
      </c>
      <c r="BG124" s="21">
        <f>[2]底表!CT124</f>
        <v>0.625</v>
      </c>
      <c r="BH124" s="21" t="str">
        <f>[2]底表!CU124</f>
        <v/>
      </c>
      <c r="BI124" s="21" t="str">
        <f>[2]底表!CV124</f>
        <v/>
      </c>
      <c r="BJ124" s="21" t="str">
        <f>[2]底表!CW124</f>
        <v/>
      </c>
      <c r="BK124" s="21" t="str">
        <f>[2]底表!CX124</f>
        <v/>
      </c>
      <c r="BL124" s="21">
        <f>[2]底表!CY124</f>
        <v>10</v>
      </c>
      <c r="BM124" s="21">
        <f>[2]底表!CZ124</f>
        <v>0</v>
      </c>
      <c r="BN124" s="23" t="str">
        <f>[2]底表!DA124</f>
        <v>多10人</v>
      </c>
      <c r="BO124" s="21">
        <f>[2]底表!DB124</f>
        <v>1</v>
      </c>
      <c r="BP124" s="21">
        <f>[2]底表!DC124</f>
        <v>9</v>
      </c>
      <c r="BQ124" s="21">
        <f>[2]底表!DD124</f>
        <v>0.625</v>
      </c>
      <c r="BR124" s="21" t="str">
        <f>[2]底表!DE124</f>
        <v/>
      </c>
      <c r="BS124" s="21" t="str">
        <f>[2]底表!DF124</f>
        <v/>
      </c>
      <c r="BT124" s="21" t="str">
        <f>[2]底表!DG124</f>
        <v/>
      </c>
      <c r="BU124" s="21" t="str">
        <f>[2]底表!DH124</f>
        <v/>
      </c>
      <c r="BV124" s="21">
        <f>[2]底表!DI124</f>
        <v>1</v>
      </c>
      <c r="BW124" s="21">
        <f>[2]底表!DJ124</f>
        <v>0</v>
      </c>
      <c r="BX124" s="23" t="str">
        <f>[2]底表!DK124</f>
        <v>多1人</v>
      </c>
      <c r="BY124" s="21">
        <f>[2]底表!DL124</f>
        <v>0</v>
      </c>
      <c r="BZ124" s="21" t="str">
        <f>[2]底表!DM124</f>
        <v>多1人</v>
      </c>
      <c r="CA124" s="21">
        <f>[2]底表!DN124</f>
        <v>1</v>
      </c>
      <c r="CB124" s="21">
        <f>[2]底表!DO124</f>
        <v>1</v>
      </c>
      <c r="CC124" s="21">
        <f>[2]底表!DP124</f>
        <v>0</v>
      </c>
      <c r="CD124" s="21">
        <f>[2]底表!DQ124</f>
        <v>0</v>
      </c>
      <c r="CE124" s="21" t="str">
        <f>[2]底表!DR124</f>
        <v>多1人</v>
      </c>
      <c r="CF124" s="21">
        <f>[2]底表!DS124</f>
        <v>1</v>
      </c>
      <c r="CG124" s="21">
        <f>[2]底表!DT124</f>
        <v>1</v>
      </c>
      <c r="CH124" s="21">
        <f>[2]底表!DU124</f>
        <v>0</v>
      </c>
      <c r="CI124" s="21">
        <f>[2]底表!DV124</f>
        <v>0</v>
      </c>
      <c r="CJ124" s="21" t="str">
        <f>[2]底表!DW124</f>
        <v>多1人</v>
      </c>
      <c r="CK124" s="21">
        <f>[2]底表!DX124</f>
        <v>1</v>
      </c>
      <c r="CL124" s="21">
        <f>[2]底表!DY124</f>
        <v>0</v>
      </c>
      <c r="CM124" s="21" t="str">
        <f>[2]底表!DZ124</f>
        <v>多1人</v>
      </c>
      <c r="CN124" s="21">
        <f>[2]底表!EA124</f>
        <v>1</v>
      </c>
      <c r="CO124" s="21">
        <f>[2]底表!EB124</f>
        <v>0</v>
      </c>
      <c r="CP124" s="21">
        <f>[2]底表!EC124</f>
        <v>0</v>
      </c>
      <c r="CQ124" s="21">
        <f>[2]底表!ED124</f>
        <v>0</v>
      </c>
      <c r="CR124" s="21" t="str">
        <f>[2]底表!EE124</f>
        <v>持平</v>
      </c>
      <c r="CS124" s="21">
        <f>[2]底表!EF124</f>
        <v>0</v>
      </c>
      <c r="CT124" s="21" t="str">
        <f>[2]底表!EG124</f>
        <v>持平</v>
      </c>
      <c r="CU124" s="21">
        <f>[2]底表!EH124</f>
        <v>0</v>
      </c>
      <c r="CV124" s="21" t="str">
        <f>[2]底表!EI124</f>
        <v/>
      </c>
      <c r="CW124" s="21" t="str">
        <f>[2]底表!EJ124</f>
        <v/>
      </c>
      <c r="CX124" s="21" t="str">
        <f>[2]底表!EK124</f>
        <v/>
      </c>
      <c r="CY124" s="21" t="str">
        <f>[2]底表!EL124</f>
        <v/>
      </c>
      <c r="CZ124" s="21">
        <f>[2]底表!EM124</f>
        <v>0</v>
      </c>
      <c r="DA124" s="21">
        <f>[2]底表!EN124</f>
        <v>0</v>
      </c>
      <c r="DB124" s="21" t="str">
        <f>[2]底表!EO124</f>
        <v>持平</v>
      </c>
      <c r="DC124" s="21">
        <f>[2]底表!EP124</f>
        <v>0</v>
      </c>
      <c r="DD124" s="21" t="str">
        <f>[2]底表!EQ124</f>
        <v>持平</v>
      </c>
      <c r="DE124" s="21">
        <f>[2]底表!ER124</f>
        <v>0</v>
      </c>
      <c r="DF124" s="21">
        <f>[2]底表!ES124</f>
        <v>0</v>
      </c>
      <c r="DG124" s="23" t="str">
        <f>[2]底表!ET124</f>
        <v>持平</v>
      </c>
      <c r="DH124" s="21">
        <f>[2]底表!EU124</f>
        <v>0</v>
      </c>
      <c r="DI124" s="21" t="str">
        <f>[2]底表!EV124</f>
        <v>持平</v>
      </c>
      <c r="DJ124" s="21">
        <f>[2]底表!EW124</f>
        <v>0</v>
      </c>
      <c r="DK124" s="21" t="str">
        <f>[2]底表!EX124</f>
        <v/>
      </c>
      <c r="DL124" s="21" t="str">
        <f>[2]底表!EY124</f>
        <v/>
      </c>
      <c r="DM124" s="21" t="str">
        <f>[2]底表!EZ124</f>
        <v/>
      </c>
      <c r="DN124" s="21" t="str">
        <f>[2]底表!FA124</f>
        <v/>
      </c>
      <c r="DO124" s="21">
        <f>[2]底表!BQ124</f>
        <v>0</v>
      </c>
      <c r="DP124" s="21">
        <f>[2]底表!BR124</f>
        <v>0</v>
      </c>
      <c r="DQ124" s="24" t="str">
        <f>[2]底表!BS124</f>
        <v>持平</v>
      </c>
    </row>
    <row r="125" s="2" customFormat="1" ht="32" hidden="1" customHeight="1" spans="1:121">
      <c r="A125" s="27" t="str">
        <f>[2]底表!A125</f>
        <v>非法利用信息网络</v>
      </c>
      <c r="B125" s="28" t="str">
        <f>[2]底表!B125</f>
        <v>云城区</v>
      </c>
      <c r="C125" s="21">
        <f>[2]底表!AM125</f>
        <v>0</v>
      </c>
      <c r="D125" s="21">
        <f>[2]底表!AN125</f>
        <v>0</v>
      </c>
      <c r="E125" s="23" t="str">
        <f>[2]底表!AO125</f>
        <v>持平</v>
      </c>
      <c r="F125" s="21">
        <f>[2]底表!AP125</f>
        <v>0</v>
      </c>
      <c r="G125" s="21" t="str">
        <f>[2]底表!AQ125</f>
        <v>持平</v>
      </c>
      <c r="H125" s="21" t="str">
        <f>[2]底表!AR125</f>
        <v/>
      </c>
      <c r="I125" s="21" t="str">
        <f>[2]底表!AS125</f>
        <v/>
      </c>
      <c r="J125" s="21">
        <f>[2]底表!AT125</f>
        <v>0</v>
      </c>
      <c r="K125" s="21">
        <f>[2]底表!AU125</f>
        <v>0</v>
      </c>
      <c r="L125" s="21" t="str">
        <f>[2]底表!AV125</f>
        <v>持平</v>
      </c>
      <c r="M125" s="21">
        <f>[2]底表!AW125</f>
        <v>0</v>
      </c>
      <c r="N125" s="21" t="str">
        <f>[2]底表!AX125</f>
        <v>持平</v>
      </c>
      <c r="O125" s="21">
        <f>[2]底表!AY125</f>
        <v>0</v>
      </c>
      <c r="P125" s="21">
        <f>[2]底表!AZ125</f>
        <v>0</v>
      </c>
      <c r="Q125" s="21" t="str">
        <f>[2]底表!BA125</f>
        <v>持平</v>
      </c>
      <c r="R125" s="21">
        <f>[2]底表!BB125</f>
        <v>0</v>
      </c>
      <c r="S125" s="21" t="str">
        <f>[2]底表!BC125</f>
        <v>持平</v>
      </c>
      <c r="T125" s="21" t="str">
        <f>[2]底表!BD125</f>
        <v/>
      </c>
      <c r="U125" s="21" t="str">
        <f>[2]底表!BE125</f>
        <v/>
      </c>
      <c r="V125" s="21">
        <f>[2]底表!BF125</f>
        <v>0</v>
      </c>
      <c r="W125" s="21">
        <f>[2]底表!BG125</f>
        <v>0</v>
      </c>
      <c r="X125" s="21" t="str">
        <f>[2]底表!BH125</f>
        <v>持平</v>
      </c>
      <c r="Y125" s="21">
        <f>[2]底表!BI125</f>
        <v>0</v>
      </c>
      <c r="Z125" s="21" t="str">
        <f>[2]底表!BJ125</f>
        <v>持平</v>
      </c>
      <c r="AA125" s="21" t="str">
        <f>[2]底表!BK125</f>
        <v/>
      </c>
      <c r="AB125" s="21">
        <f>[2]底表!BL125</f>
        <v>0</v>
      </c>
      <c r="AC125" s="21">
        <f>[2]底表!BM125</f>
        <v>0</v>
      </c>
      <c r="AD125" s="21" t="str">
        <f>[2]底表!BN125</f>
        <v>持平</v>
      </c>
      <c r="AE125" s="21">
        <f>[2]底表!BO125</f>
        <v>0</v>
      </c>
      <c r="AF125" s="21" t="str">
        <f>[2]底表!BP125</f>
        <v>持平</v>
      </c>
      <c r="AG125" s="21">
        <f>[2]底表!BT125</f>
        <v>0</v>
      </c>
      <c r="AH125" s="21" t="str">
        <f>[2]底表!BU125</f>
        <v>持平</v>
      </c>
      <c r="AI125" s="21" t="str">
        <f>[2]底表!BV125</f>
        <v/>
      </c>
      <c r="AJ125" s="21" t="str">
        <f>[2]底表!BW125</f>
        <v/>
      </c>
      <c r="AK125" s="21" t="str">
        <f>[2]底表!BX125</f>
        <v/>
      </c>
      <c r="AL125" s="21" t="str">
        <f>[2]底表!BY125</f>
        <v/>
      </c>
      <c r="AM125" s="21">
        <f>[2]底表!BZ125</f>
        <v>0</v>
      </c>
      <c r="AN125" s="21">
        <f>[2]底表!CA125</f>
        <v>0</v>
      </c>
      <c r="AO125" s="21" t="str">
        <f>[2]底表!CB125</f>
        <v>持平</v>
      </c>
      <c r="AP125" s="21">
        <f>[2]底表!CC125</f>
        <v>0</v>
      </c>
      <c r="AQ125" s="21" t="str">
        <f>[2]底表!CD125</f>
        <v>持平</v>
      </c>
      <c r="AR125" s="21" t="str">
        <f>[2]底表!CE125</f>
        <v/>
      </c>
      <c r="AS125" s="21" t="str">
        <f>[2]底表!CF125</f>
        <v/>
      </c>
      <c r="AT125" s="21">
        <f>[2]底表!CG125</f>
        <v>0</v>
      </c>
      <c r="AU125" s="21">
        <f>[2]底表!CH125</f>
        <v>0</v>
      </c>
      <c r="AV125" s="21" t="str">
        <f>[2]底表!CI125</f>
        <v>持平</v>
      </c>
      <c r="AW125" s="21">
        <f>[2]底表!CJ125</f>
        <v>0</v>
      </c>
      <c r="AX125" s="21" t="str">
        <f>[2]底表!CK125</f>
        <v>持平</v>
      </c>
      <c r="AY125" s="21" t="str">
        <f>[2]底表!CL125</f>
        <v/>
      </c>
      <c r="AZ125" s="21" t="str">
        <f>[2]底表!CM125</f>
        <v/>
      </c>
      <c r="BA125" s="21" t="str">
        <f>[2]底表!CN125</f>
        <v/>
      </c>
      <c r="BB125" s="21">
        <f>[2]底表!CO125</f>
        <v>0</v>
      </c>
      <c r="BC125" s="21">
        <f>[2]底表!CP125</f>
        <v>0</v>
      </c>
      <c r="BD125" s="21" t="str">
        <f>[2]底表!CQ125</f>
        <v>持平</v>
      </c>
      <c r="BE125" s="21">
        <f>[2]底表!CR125</f>
        <v>0</v>
      </c>
      <c r="BF125" s="21" t="str">
        <f>[2]底表!CS125</f>
        <v>持平</v>
      </c>
      <c r="BG125" s="21" t="str">
        <f>[2]底表!CT125</f>
        <v/>
      </c>
      <c r="BH125" s="21" t="str">
        <f>[2]底表!CU125</f>
        <v/>
      </c>
      <c r="BI125" s="21" t="str">
        <f>[2]底表!CV125</f>
        <v/>
      </c>
      <c r="BJ125" s="21" t="str">
        <f>[2]底表!CW125</f>
        <v/>
      </c>
      <c r="BK125" s="21" t="str">
        <f>[2]底表!CX125</f>
        <v/>
      </c>
      <c r="BL125" s="21">
        <f>[2]底表!CY125</f>
        <v>0</v>
      </c>
      <c r="BM125" s="21">
        <f>[2]底表!CZ125</f>
        <v>0</v>
      </c>
      <c r="BN125" s="23" t="str">
        <f>[2]底表!DA125</f>
        <v>持平</v>
      </c>
      <c r="BO125" s="21">
        <f>[2]底表!DB125</f>
        <v>0</v>
      </c>
      <c r="BP125" s="21" t="str">
        <f>[2]底表!DC125</f>
        <v>持平</v>
      </c>
      <c r="BQ125" s="21" t="str">
        <f>[2]底表!DD125</f>
        <v/>
      </c>
      <c r="BR125" s="21" t="str">
        <f>[2]底表!DE125</f>
        <v/>
      </c>
      <c r="BS125" s="21" t="str">
        <f>[2]底表!DF125</f>
        <v/>
      </c>
      <c r="BT125" s="21" t="str">
        <f>[2]底表!DG125</f>
        <v/>
      </c>
      <c r="BU125" s="21" t="str">
        <f>[2]底表!DH125</f>
        <v/>
      </c>
      <c r="BV125" s="21">
        <f>[2]底表!DI125</f>
        <v>0</v>
      </c>
      <c r="BW125" s="21">
        <f>[2]底表!DJ125</f>
        <v>0</v>
      </c>
      <c r="BX125" s="23" t="str">
        <f>[2]底表!DK125</f>
        <v>持平</v>
      </c>
      <c r="BY125" s="21">
        <f>[2]底表!DL125</f>
        <v>0</v>
      </c>
      <c r="BZ125" s="21" t="str">
        <f>[2]底表!DM125</f>
        <v>持平</v>
      </c>
      <c r="CA125" s="21">
        <f>[2]底表!DN125</f>
        <v>0</v>
      </c>
      <c r="CB125" s="21">
        <f>[2]底表!DO125</f>
        <v>0</v>
      </c>
      <c r="CC125" s="21" t="str">
        <f>[2]底表!DP125</f>
        <v>持平</v>
      </c>
      <c r="CD125" s="21">
        <f>[2]底表!DQ125</f>
        <v>0</v>
      </c>
      <c r="CE125" s="21" t="str">
        <f>[2]底表!DR125</f>
        <v>持平</v>
      </c>
      <c r="CF125" s="21">
        <f>[2]底表!DS125</f>
        <v>0</v>
      </c>
      <c r="CG125" s="21">
        <f>[2]底表!DT125</f>
        <v>0</v>
      </c>
      <c r="CH125" s="21" t="str">
        <f>[2]底表!DU125</f>
        <v>持平</v>
      </c>
      <c r="CI125" s="21">
        <f>[2]底表!DV125</f>
        <v>0</v>
      </c>
      <c r="CJ125" s="21" t="str">
        <f>[2]底表!DW125</f>
        <v>持平</v>
      </c>
      <c r="CK125" s="21">
        <f>[2]底表!DX125</f>
        <v>0</v>
      </c>
      <c r="CL125" s="21">
        <f>[2]底表!DY125</f>
        <v>0</v>
      </c>
      <c r="CM125" s="21" t="str">
        <f>[2]底表!DZ125</f>
        <v>持平</v>
      </c>
      <c r="CN125" s="21">
        <f>[2]底表!EA125</f>
        <v>0</v>
      </c>
      <c r="CO125" s="21" t="str">
        <f>[2]底表!EB125</f>
        <v>持平</v>
      </c>
      <c r="CP125" s="21">
        <f>[2]底表!EC125</f>
        <v>0</v>
      </c>
      <c r="CQ125" s="21">
        <f>[2]底表!ED125</f>
        <v>0</v>
      </c>
      <c r="CR125" s="21" t="str">
        <f>[2]底表!EE125</f>
        <v>持平</v>
      </c>
      <c r="CS125" s="21">
        <f>[2]底表!EF125</f>
        <v>0</v>
      </c>
      <c r="CT125" s="21" t="str">
        <f>[2]底表!EG125</f>
        <v>持平</v>
      </c>
      <c r="CU125" s="21" t="str">
        <f>[2]底表!EH125</f>
        <v/>
      </c>
      <c r="CV125" s="21" t="str">
        <f>[2]底表!EI125</f>
        <v/>
      </c>
      <c r="CW125" s="21" t="str">
        <f>[2]底表!EJ125</f>
        <v/>
      </c>
      <c r="CX125" s="21" t="str">
        <f>[2]底表!EK125</f>
        <v/>
      </c>
      <c r="CY125" s="21" t="str">
        <f>[2]底表!EL125</f>
        <v/>
      </c>
      <c r="CZ125" s="21">
        <f>[2]底表!EM125</f>
        <v>0</v>
      </c>
      <c r="DA125" s="21">
        <f>[2]底表!EN125</f>
        <v>0</v>
      </c>
      <c r="DB125" s="21" t="str">
        <f>[2]底表!EO125</f>
        <v>持平</v>
      </c>
      <c r="DC125" s="21">
        <f>[2]底表!EP125</f>
        <v>0</v>
      </c>
      <c r="DD125" s="21" t="str">
        <f>[2]底表!EQ125</f>
        <v>持平</v>
      </c>
      <c r="DE125" s="21">
        <f>[2]底表!ER125</f>
        <v>0</v>
      </c>
      <c r="DF125" s="21">
        <f>[2]底表!ES125</f>
        <v>0</v>
      </c>
      <c r="DG125" s="23" t="str">
        <f>[2]底表!ET125</f>
        <v>持平</v>
      </c>
      <c r="DH125" s="21">
        <f>[2]底表!EU125</f>
        <v>0</v>
      </c>
      <c r="DI125" s="21" t="str">
        <f>[2]底表!EV125</f>
        <v>持平</v>
      </c>
      <c r="DJ125" s="21" t="str">
        <f>[2]底表!EW125</f>
        <v/>
      </c>
      <c r="DK125" s="21" t="str">
        <f>[2]底表!EX125</f>
        <v/>
      </c>
      <c r="DL125" s="21" t="str">
        <f>[2]底表!EY125</f>
        <v/>
      </c>
      <c r="DM125" s="21" t="str">
        <f>[2]底表!EZ125</f>
        <v/>
      </c>
      <c r="DN125" s="21" t="str">
        <f>[2]底表!FA125</f>
        <v/>
      </c>
      <c r="DO125" s="21">
        <f>[2]底表!BQ125</f>
        <v>0</v>
      </c>
      <c r="DP125" s="21">
        <f>[2]底表!BR125</f>
        <v>0</v>
      </c>
      <c r="DQ125" s="24" t="str">
        <f>[2]底表!BS125</f>
        <v>持平</v>
      </c>
    </row>
    <row r="126" s="2" customFormat="1" ht="32" hidden="1" customHeight="1" spans="1:121">
      <c r="A126" s="27" t="str">
        <f>[2]底表!A126</f>
        <v>非法利用信息网络</v>
      </c>
      <c r="B126" s="28" t="str">
        <f>[2]底表!B126</f>
        <v>云安区</v>
      </c>
      <c r="C126" s="21">
        <f>[2]底表!AM126</f>
        <v>1</v>
      </c>
      <c r="D126" s="21">
        <f>[2]底表!AN126</f>
        <v>0</v>
      </c>
      <c r="E126" s="23" t="str">
        <f>[2]底表!AO126</f>
        <v>多1起</v>
      </c>
      <c r="F126" s="21">
        <f>[2]底表!AP126</f>
        <v>1</v>
      </c>
      <c r="G126" s="21">
        <f>[2]底表!AQ126</f>
        <v>0</v>
      </c>
      <c r="H126" s="21" t="str">
        <f>[2]底表!AR126</f>
        <v/>
      </c>
      <c r="I126" s="21" t="str">
        <f>[2]底表!AS126</f>
        <v/>
      </c>
      <c r="J126" s="21">
        <f>[2]底表!AT126</f>
        <v>0</v>
      </c>
      <c r="K126" s="21">
        <f>[2]底表!AU126</f>
        <v>0</v>
      </c>
      <c r="L126" s="21" t="str">
        <f>[2]底表!AV126</f>
        <v>持平</v>
      </c>
      <c r="M126" s="21">
        <f>[2]底表!AW126</f>
        <v>0</v>
      </c>
      <c r="N126" s="21" t="str">
        <f>[2]底表!AX126</f>
        <v>持平</v>
      </c>
      <c r="O126" s="21">
        <f>[2]底表!AY126</f>
        <v>0</v>
      </c>
      <c r="P126" s="21">
        <f>[2]底表!AZ126</f>
        <v>0</v>
      </c>
      <c r="Q126" s="21" t="str">
        <f>[2]底表!BA126</f>
        <v>持平</v>
      </c>
      <c r="R126" s="21">
        <f>[2]底表!BB126</f>
        <v>1</v>
      </c>
      <c r="S126" s="21" t="str">
        <f>[2]底表!BC126</f>
        <v>少1起</v>
      </c>
      <c r="T126" s="21" t="str">
        <f>[2]底表!BD126</f>
        <v/>
      </c>
      <c r="U126" s="21" t="str">
        <f>[2]底表!BE126</f>
        <v/>
      </c>
      <c r="V126" s="21">
        <f>[2]底表!BF126</f>
        <v>0</v>
      </c>
      <c r="W126" s="21">
        <f>[2]底表!BG126</f>
        <v>0</v>
      </c>
      <c r="X126" s="21" t="str">
        <f>[2]底表!BH126</f>
        <v>持平</v>
      </c>
      <c r="Y126" s="21">
        <f>[2]底表!BI126</f>
        <v>0</v>
      </c>
      <c r="Z126" s="21" t="str">
        <f>[2]底表!BJ126</f>
        <v>持平</v>
      </c>
      <c r="AA126" s="21" t="str">
        <f>[2]底表!BK126</f>
        <v/>
      </c>
      <c r="AB126" s="21">
        <f>[2]底表!BL126</f>
        <v>1</v>
      </c>
      <c r="AC126" s="21">
        <f>[2]底表!BM126</f>
        <v>0</v>
      </c>
      <c r="AD126" s="21" t="str">
        <f>[2]底表!BN126</f>
        <v>多1起</v>
      </c>
      <c r="AE126" s="21">
        <f>[2]底表!BO126</f>
        <v>0</v>
      </c>
      <c r="AF126" s="21" t="str">
        <f>[2]底表!BP126</f>
        <v>多1起</v>
      </c>
      <c r="AG126" s="21">
        <f>[2]底表!BT126</f>
        <v>0</v>
      </c>
      <c r="AH126" s="21" t="str">
        <f>[2]底表!BU126</f>
        <v>持平</v>
      </c>
      <c r="AI126" s="21" t="str">
        <f>[2]底表!BV126</f>
        <v/>
      </c>
      <c r="AJ126" s="21" t="str">
        <f>[2]底表!BW126</f>
        <v/>
      </c>
      <c r="AK126" s="21" t="str">
        <f>[2]底表!BX126</f>
        <v/>
      </c>
      <c r="AL126" s="21" t="str">
        <f>[2]底表!BY126</f>
        <v/>
      </c>
      <c r="AM126" s="21">
        <f>[2]底表!BZ126</f>
        <v>0</v>
      </c>
      <c r="AN126" s="21">
        <f>[2]底表!CA126</f>
        <v>0</v>
      </c>
      <c r="AO126" s="21" t="str">
        <f>[2]底表!CB126</f>
        <v>持平</v>
      </c>
      <c r="AP126" s="21">
        <f>[2]底表!CC126</f>
        <v>0</v>
      </c>
      <c r="AQ126" s="21" t="str">
        <f>[2]底表!CD126</f>
        <v>持平</v>
      </c>
      <c r="AR126" s="21" t="str">
        <f>[2]底表!CE126</f>
        <v/>
      </c>
      <c r="AS126" s="21" t="str">
        <f>[2]底表!CF126</f>
        <v/>
      </c>
      <c r="AT126" s="21">
        <f>[2]底表!CG126</f>
        <v>0</v>
      </c>
      <c r="AU126" s="21">
        <f>[2]底表!CH126</f>
        <v>0</v>
      </c>
      <c r="AV126" s="21" t="str">
        <f>[2]底表!CI126</f>
        <v>持平</v>
      </c>
      <c r="AW126" s="21">
        <f>[2]底表!CJ126</f>
        <v>0</v>
      </c>
      <c r="AX126" s="21" t="str">
        <f>[2]底表!CK126</f>
        <v>持平</v>
      </c>
      <c r="AY126" s="21" t="str">
        <f>[2]底表!CL126</f>
        <v/>
      </c>
      <c r="AZ126" s="21" t="str">
        <f>[2]底表!CM126</f>
        <v/>
      </c>
      <c r="BA126" s="21" t="str">
        <f>[2]底表!CN126</f>
        <v/>
      </c>
      <c r="BB126" s="21">
        <f>[2]底表!CO126</f>
        <v>0</v>
      </c>
      <c r="BC126" s="21">
        <f>[2]底表!CP126</f>
        <v>0</v>
      </c>
      <c r="BD126" s="21" t="str">
        <f>[2]底表!CQ126</f>
        <v>持平</v>
      </c>
      <c r="BE126" s="21">
        <f>[2]底表!CR126</f>
        <v>0</v>
      </c>
      <c r="BF126" s="21" t="str">
        <f>[2]底表!CS126</f>
        <v>持平</v>
      </c>
      <c r="BG126" s="21" t="str">
        <f>[2]底表!CT126</f>
        <v/>
      </c>
      <c r="BH126" s="21" t="str">
        <f>[2]底表!CU126</f>
        <v/>
      </c>
      <c r="BI126" s="21" t="str">
        <f>[2]底表!CV126</f>
        <v/>
      </c>
      <c r="BJ126" s="21" t="str">
        <f>[2]底表!CW126</f>
        <v/>
      </c>
      <c r="BK126" s="21" t="str">
        <f>[2]底表!CX126</f>
        <v/>
      </c>
      <c r="BL126" s="21">
        <f>[2]底表!CY126</f>
        <v>0</v>
      </c>
      <c r="BM126" s="21">
        <f>[2]底表!CZ126</f>
        <v>0</v>
      </c>
      <c r="BN126" s="23" t="str">
        <f>[2]底表!DA126</f>
        <v>持平</v>
      </c>
      <c r="BO126" s="21">
        <f>[2]底表!DB126</f>
        <v>0</v>
      </c>
      <c r="BP126" s="21" t="str">
        <f>[2]底表!DC126</f>
        <v>持平</v>
      </c>
      <c r="BQ126" s="21" t="str">
        <f>[2]底表!DD126</f>
        <v/>
      </c>
      <c r="BR126" s="21" t="str">
        <f>[2]底表!DE126</f>
        <v/>
      </c>
      <c r="BS126" s="21" t="str">
        <f>[2]底表!DF126</f>
        <v/>
      </c>
      <c r="BT126" s="21" t="str">
        <f>[2]底表!DG126</f>
        <v/>
      </c>
      <c r="BU126" s="21" t="str">
        <f>[2]底表!DH126</f>
        <v/>
      </c>
      <c r="BV126" s="21">
        <f>[2]底表!DI126</f>
        <v>0</v>
      </c>
      <c r="BW126" s="21">
        <f>[2]底表!DJ126</f>
        <v>0</v>
      </c>
      <c r="BX126" s="23" t="str">
        <f>[2]底表!DK126</f>
        <v>持平</v>
      </c>
      <c r="BY126" s="21">
        <f>[2]底表!DL126</f>
        <v>0</v>
      </c>
      <c r="BZ126" s="21" t="str">
        <f>[2]底表!DM126</f>
        <v>持平</v>
      </c>
      <c r="CA126" s="21">
        <f>[2]底表!DN126</f>
        <v>0</v>
      </c>
      <c r="CB126" s="21">
        <f>[2]底表!DO126</f>
        <v>1</v>
      </c>
      <c r="CC126" s="21" t="str">
        <f>[2]底表!DP126</f>
        <v>少1人</v>
      </c>
      <c r="CD126" s="21">
        <f>[2]底表!DQ126</f>
        <v>0</v>
      </c>
      <c r="CE126" s="21" t="str">
        <f>[2]底表!DR126</f>
        <v>持平</v>
      </c>
      <c r="CF126" s="21">
        <f>[2]底表!DS126</f>
        <v>0</v>
      </c>
      <c r="CG126" s="21">
        <f>[2]底表!DT126</f>
        <v>1</v>
      </c>
      <c r="CH126" s="21" t="str">
        <f>[2]底表!DU126</f>
        <v>少1人</v>
      </c>
      <c r="CI126" s="21">
        <f>[2]底表!DV126</f>
        <v>0</v>
      </c>
      <c r="CJ126" s="21" t="str">
        <f>[2]底表!DW126</f>
        <v>持平</v>
      </c>
      <c r="CK126" s="21">
        <f>[2]底表!DX126</f>
        <v>0</v>
      </c>
      <c r="CL126" s="21">
        <f>[2]底表!DY126</f>
        <v>0</v>
      </c>
      <c r="CM126" s="21" t="str">
        <f>[2]底表!DZ126</f>
        <v>持平</v>
      </c>
      <c r="CN126" s="21">
        <f>[2]底表!EA126</f>
        <v>0</v>
      </c>
      <c r="CO126" s="21" t="str">
        <f>[2]底表!EB126</f>
        <v>持平</v>
      </c>
      <c r="CP126" s="21">
        <f>[2]底表!EC126</f>
        <v>0</v>
      </c>
      <c r="CQ126" s="21">
        <f>[2]底表!ED126</f>
        <v>0</v>
      </c>
      <c r="CR126" s="21" t="str">
        <f>[2]底表!EE126</f>
        <v>持平</v>
      </c>
      <c r="CS126" s="21">
        <f>[2]底表!EF126</f>
        <v>0</v>
      </c>
      <c r="CT126" s="21" t="str">
        <f>[2]底表!EG126</f>
        <v>持平</v>
      </c>
      <c r="CU126" s="21" t="str">
        <f>[2]底表!EH126</f>
        <v/>
      </c>
      <c r="CV126" s="21" t="str">
        <f>[2]底表!EI126</f>
        <v/>
      </c>
      <c r="CW126" s="21" t="str">
        <f>[2]底表!EJ126</f>
        <v/>
      </c>
      <c r="CX126" s="21" t="str">
        <f>[2]底表!EK126</f>
        <v/>
      </c>
      <c r="CY126" s="21" t="str">
        <f>[2]底表!EL126</f>
        <v/>
      </c>
      <c r="CZ126" s="21">
        <f>[2]底表!EM126</f>
        <v>0</v>
      </c>
      <c r="DA126" s="21">
        <f>[2]底表!EN126</f>
        <v>0</v>
      </c>
      <c r="DB126" s="21" t="str">
        <f>[2]底表!EO126</f>
        <v>持平</v>
      </c>
      <c r="DC126" s="21">
        <f>[2]底表!EP126</f>
        <v>0</v>
      </c>
      <c r="DD126" s="21" t="str">
        <f>[2]底表!EQ126</f>
        <v>持平</v>
      </c>
      <c r="DE126" s="21">
        <f>[2]底表!ER126</f>
        <v>0</v>
      </c>
      <c r="DF126" s="21">
        <f>[2]底表!ES126</f>
        <v>0</v>
      </c>
      <c r="DG126" s="23" t="str">
        <f>[2]底表!ET126</f>
        <v>持平</v>
      </c>
      <c r="DH126" s="21">
        <f>[2]底表!EU126</f>
        <v>0</v>
      </c>
      <c r="DI126" s="21" t="str">
        <f>[2]底表!EV126</f>
        <v>持平</v>
      </c>
      <c r="DJ126" s="21" t="str">
        <f>[2]底表!EW126</f>
        <v/>
      </c>
      <c r="DK126" s="21" t="str">
        <f>[2]底表!EX126</f>
        <v/>
      </c>
      <c r="DL126" s="21" t="str">
        <f>[2]底表!EY126</f>
        <v/>
      </c>
      <c r="DM126" s="21" t="str">
        <f>[2]底表!EZ126</f>
        <v/>
      </c>
      <c r="DN126" s="21" t="str">
        <f>[2]底表!FA126</f>
        <v/>
      </c>
      <c r="DO126" s="21">
        <f>[2]底表!BQ126</f>
        <v>0</v>
      </c>
      <c r="DP126" s="21">
        <f>[2]底表!BR126</f>
        <v>0</v>
      </c>
      <c r="DQ126" s="24" t="str">
        <f>[2]底表!BS126</f>
        <v>持平</v>
      </c>
    </row>
    <row r="127" s="2" customFormat="1" ht="32" hidden="1" customHeight="1" spans="1:121">
      <c r="A127" s="27" t="str">
        <f>[2]底表!A127</f>
        <v>非法利用信息网络</v>
      </c>
      <c r="B127" s="28" t="str">
        <f>[2]底表!B127</f>
        <v>新兴县</v>
      </c>
      <c r="C127" s="21">
        <f>[2]底表!AM127</f>
        <v>0</v>
      </c>
      <c r="D127" s="21">
        <f>[2]底表!AN127</f>
        <v>0</v>
      </c>
      <c r="E127" s="23" t="str">
        <f>[2]底表!AO127</f>
        <v>持平</v>
      </c>
      <c r="F127" s="21">
        <f>[2]底表!AP127</f>
        <v>0</v>
      </c>
      <c r="G127" s="21" t="str">
        <f>[2]底表!AQ127</f>
        <v>持平</v>
      </c>
      <c r="H127" s="21" t="str">
        <f>[2]底表!AR127</f>
        <v/>
      </c>
      <c r="I127" s="21" t="str">
        <f>[2]底表!AS127</f>
        <v/>
      </c>
      <c r="J127" s="21">
        <f>[2]底表!AT127</f>
        <v>0</v>
      </c>
      <c r="K127" s="21">
        <f>[2]底表!AU127</f>
        <v>0</v>
      </c>
      <c r="L127" s="21" t="str">
        <f>[2]底表!AV127</f>
        <v>持平</v>
      </c>
      <c r="M127" s="21">
        <f>[2]底表!AW127</f>
        <v>0</v>
      </c>
      <c r="N127" s="21" t="str">
        <f>[2]底表!AX127</f>
        <v>持平</v>
      </c>
      <c r="O127" s="21">
        <f>[2]底表!AY127</f>
        <v>0</v>
      </c>
      <c r="P127" s="21">
        <f>[2]底表!AZ127</f>
        <v>0</v>
      </c>
      <c r="Q127" s="21" t="str">
        <f>[2]底表!BA127</f>
        <v>持平</v>
      </c>
      <c r="R127" s="21">
        <f>[2]底表!BB127</f>
        <v>0</v>
      </c>
      <c r="S127" s="21" t="str">
        <f>[2]底表!BC127</f>
        <v>持平</v>
      </c>
      <c r="T127" s="21" t="str">
        <f>[2]底表!BD127</f>
        <v/>
      </c>
      <c r="U127" s="21" t="str">
        <f>[2]底表!BE127</f>
        <v/>
      </c>
      <c r="V127" s="21">
        <f>[2]底表!BF127</f>
        <v>0</v>
      </c>
      <c r="W127" s="21">
        <f>[2]底表!BG127</f>
        <v>0</v>
      </c>
      <c r="X127" s="21" t="str">
        <f>[2]底表!BH127</f>
        <v>持平</v>
      </c>
      <c r="Y127" s="21">
        <f>[2]底表!BI127</f>
        <v>0</v>
      </c>
      <c r="Z127" s="21" t="str">
        <f>[2]底表!BJ127</f>
        <v>持平</v>
      </c>
      <c r="AA127" s="21" t="str">
        <f>[2]底表!BK127</f>
        <v/>
      </c>
      <c r="AB127" s="21">
        <f>[2]底表!BL127</f>
        <v>0</v>
      </c>
      <c r="AC127" s="21">
        <f>[2]底表!BM127</f>
        <v>0</v>
      </c>
      <c r="AD127" s="21" t="str">
        <f>[2]底表!BN127</f>
        <v>持平</v>
      </c>
      <c r="AE127" s="21">
        <f>[2]底表!BO127</f>
        <v>0</v>
      </c>
      <c r="AF127" s="21" t="str">
        <f>[2]底表!BP127</f>
        <v>持平</v>
      </c>
      <c r="AG127" s="21">
        <f>[2]底表!BT127</f>
        <v>0</v>
      </c>
      <c r="AH127" s="21" t="str">
        <f>[2]底表!BU127</f>
        <v>持平</v>
      </c>
      <c r="AI127" s="21" t="str">
        <f>[2]底表!BV127</f>
        <v/>
      </c>
      <c r="AJ127" s="21" t="str">
        <f>[2]底表!BW127</f>
        <v/>
      </c>
      <c r="AK127" s="21" t="str">
        <f>[2]底表!BX127</f>
        <v/>
      </c>
      <c r="AL127" s="21" t="str">
        <f>[2]底表!BY127</f>
        <v/>
      </c>
      <c r="AM127" s="21">
        <f>[2]底表!BZ127</f>
        <v>0</v>
      </c>
      <c r="AN127" s="21">
        <f>[2]底表!CA127</f>
        <v>0</v>
      </c>
      <c r="AO127" s="21" t="str">
        <f>[2]底表!CB127</f>
        <v>持平</v>
      </c>
      <c r="AP127" s="21">
        <f>[2]底表!CC127</f>
        <v>0</v>
      </c>
      <c r="AQ127" s="21" t="str">
        <f>[2]底表!CD127</f>
        <v>持平</v>
      </c>
      <c r="AR127" s="21" t="str">
        <f>[2]底表!CE127</f>
        <v/>
      </c>
      <c r="AS127" s="21" t="str">
        <f>[2]底表!CF127</f>
        <v/>
      </c>
      <c r="AT127" s="21">
        <f>[2]底表!CG127</f>
        <v>16</v>
      </c>
      <c r="AU127" s="21">
        <f>[2]底表!CH127</f>
        <v>0</v>
      </c>
      <c r="AV127" s="21" t="str">
        <f>[2]底表!CI127</f>
        <v>多16人</v>
      </c>
      <c r="AW127" s="21">
        <f>[2]底表!CJ127</f>
        <v>1</v>
      </c>
      <c r="AX127" s="21">
        <f>[2]底表!CK127</f>
        <v>15</v>
      </c>
      <c r="AY127" s="21" t="str">
        <f>[2]底表!CL127</f>
        <v/>
      </c>
      <c r="AZ127" s="21" t="str">
        <f>[2]底表!CM127</f>
        <v/>
      </c>
      <c r="BA127" s="21" t="str">
        <f>[2]底表!CN127</f>
        <v/>
      </c>
      <c r="BB127" s="21">
        <f>[2]底表!CO127</f>
        <v>10</v>
      </c>
      <c r="BC127" s="21">
        <f>[2]底表!CP127</f>
        <v>0</v>
      </c>
      <c r="BD127" s="21" t="str">
        <f>[2]底表!CQ127</f>
        <v>多10人</v>
      </c>
      <c r="BE127" s="21">
        <f>[2]底表!CR127</f>
        <v>1</v>
      </c>
      <c r="BF127" s="21">
        <f>[2]底表!CS127</f>
        <v>9</v>
      </c>
      <c r="BG127" s="21">
        <f>[2]底表!CT127</f>
        <v>0.625</v>
      </c>
      <c r="BH127" s="21" t="str">
        <f>[2]底表!CU127</f>
        <v/>
      </c>
      <c r="BI127" s="21" t="str">
        <f>[2]底表!CV127</f>
        <v/>
      </c>
      <c r="BJ127" s="21" t="str">
        <f>[2]底表!CW127</f>
        <v/>
      </c>
      <c r="BK127" s="21" t="str">
        <f>[2]底表!CX127</f>
        <v/>
      </c>
      <c r="BL127" s="21">
        <f>[2]底表!CY127</f>
        <v>10</v>
      </c>
      <c r="BM127" s="21">
        <f>[2]底表!CZ127</f>
        <v>0</v>
      </c>
      <c r="BN127" s="23" t="str">
        <f>[2]底表!DA127</f>
        <v>多10人</v>
      </c>
      <c r="BO127" s="21">
        <f>[2]底表!DB127</f>
        <v>1</v>
      </c>
      <c r="BP127" s="21">
        <f>[2]底表!DC127</f>
        <v>9</v>
      </c>
      <c r="BQ127" s="21">
        <f>[2]底表!DD127</f>
        <v>0.625</v>
      </c>
      <c r="BR127" s="21" t="str">
        <f>[2]底表!DE127</f>
        <v/>
      </c>
      <c r="BS127" s="21" t="str">
        <f>[2]底表!DF127</f>
        <v/>
      </c>
      <c r="BT127" s="21" t="str">
        <f>[2]底表!DG127</f>
        <v/>
      </c>
      <c r="BU127" s="21" t="str">
        <f>[2]底表!DH127</f>
        <v/>
      </c>
      <c r="BV127" s="21">
        <f>[2]底表!DI127</f>
        <v>1</v>
      </c>
      <c r="BW127" s="21">
        <f>[2]底表!DJ127</f>
        <v>0</v>
      </c>
      <c r="BX127" s="23" t="str">
        <f>[2]底表!DK127</f>
        <v>多1人</v>
      </c>
      <c r="BY127" s="21">
        <f>[2]底表!DL127</f>
        <v>0</v>
      </c>
      <c r="BZ127" s="21" t="str">
        <f>[2]底表!DM127</f>
        <v>多1人</v>
      </c>
      <c r="CA127" s="21">
        <f>[2]底表!DN127</f>
        <v>1</v>
      </c>
      <c r="CB127" s="21">
        <f>[2]底表!DO127</f>
        <v>0</v>
      </c>
      <c r="CC127" s="21" t="str">
        <f>[2]底表!DP127</f>
        <v>多1人</v>
      </c>
      <c r="CD127" s="21">
        <f>[2]底表!DQ127</f>
        <v>0</v>
      </c>
      <c r="CE127" s="21" t="str">
        <f>[2]底表!DR127</f>
        <v>多1人</v>
      </c>
      <c r="CF127" s="21">
        <f>[2]底表!DS127</f>
        <v>1</v>
      </c>
      <c r="CG127" s="21">
        <f>[2]底表!DT127</f>
        <v>0</v>
      </c>
      <c r="CH127" s="21" t="str">
        <f>[2]底表!DU127</f>
        <v>多1人</v>
      </c>
      <c r="CI127" s="21">
        <f>[2]底表!DV127</f>
        <v>0</v>
      </c>
      <c r="CJ127" s="21" t="str">
        <f>[2]底表!DW127</f>
        <v>多1人</v>
      </c>
      <c r="CK127" s="21">
        <f>[2]底表!DX127</f>
        <v>1</v>
      </c>
      <c r="CL127" s="21">
        <f>[2]底表!DY127</f>
        <v>0</v>
      </c>
      <c r="CM127" s="21" t="str">
        <f>[2]底表!DZ127</f>
        <v>多1人</v>
      </c>
      <c r="CN127" s="21">
        <f>[2]底表!EA127</f>
        <v>1</v>
      </c>
      <c r="CO127" s="21">
        <f>[2]底表!EB127</f>
        <v>0</v>
      </c>
      <c r="CP127" s="21">
        <f>[2]底表!EC127</f>
        <v>0</v>
      </c>
      <c r="CQ127" s="21">
        <f>[2]底表!ED127</f>
        <v>0</v>
      </c>
      <c r="CR127" s="21" t="str">
        <f>[2]底表!EE127</f>
        <v>持平</v>
      </c>
      <c r="CS127" s="21">
        <f>[2]底表!EF127</f>
        <v>0</v>
      </c>
      <c r="CT127" s="21" t="str">
        <f>[2]底表!EG127</f>
        <v>持平</v>
      </c>
      <c r="CU127" s="21">
        <f>[2]底表!EH127</f>
        <v>0</v>
      </c>
      <c r="CV127" s="21" t="str">
        <f>[2]底表!EI127</f>
        <v/>
      </c>
      <c r="CW127" s="21" t="str">
        <f>[2]底表!EJ127</f>
        <v/>
      </c>
      <c r="CX127" s="21" t="str">
        <f>[2]底表!EK127</f>
        <v/>
      </c>
      <c r="CY127" s="21" t="str">
        <f>[2]底表!EL127</f>
        <v/>
      </c>
      <c r="CZ127" s="21">
        <f>[2]底表!EM127</f>
        <v>0</v>
      </c>
      <c r="DA127" s="21">
        <f>[2]底表!EN127</f>
        <v>0</v>
      </c>
      <c r="DB127" s="21" t="str">
        <f>[2]底表!EO127</f>
        <v>持平</v>
      </c>
      <c r="DC127" s="21">
        <f>[2]底表!EP127</f>
        <v>0</v>
      </c>
      <c r="DD127" s="21" t="str">
        <f>[2]底表!EQ127</f>
        <v>持平</v>
      </c>
      <c r="DE127" s="21">
        <f>[2]底表!ER127</f>
        <v>0</v>
      </c>
      <c r="DF127" s="21">
        <f>[2]底表!ES127</f>
        <v>0</v>
      </c>
      <c r="DG127" s="23" t="str">
        <f>[2]底表!ET127</f>
        <v>持平</v>
      </c>
      <c r="DH127" s="21">
        <f>[2]底表!EU127</f>
        <v>0</v>
      </c>
      <c r="DI127" s="21" t="str">
        <f>[2]底表!EV127</f>
        <v>持平</v>
      </c>
      <c r="DJ127" s="21">
        <f>[2]底表!EW127</f>
        <v>0</v>
      </c>
      <c r="DK127" s="21" t="str">
        <f>[2]底表!EX127</f>
        <v/>
      </c>
      <c r="DL127" s="21" t="str">
        <f>[2]底表!EY127</f>
        <v/>
      </c>
      <c r="DM127" s="21" t="str">
        <f>[2]底表!EZ127</f>
        <v/>
      </c>
      <c r="DN127" s="21" t="str">
        <f>[2]底表!FA127</f>
        <v/>
      </c>
      <c r="DO127" s="21">
        <f>[2]底表!BQ127</f>
        <v>0</v>
      </c>
      <c r="DP127" s="21">
        <f>[2]底表!BR127</f>
        <v>0</v>
      </c>
      <c r="DQ127" s="24" t="str">
        <f>[2]底表!BS127</f>
        <v>持平</v>
      </c>
    </row>
    <row r="128" s="2" customFormat="1" ht="32" hidden="1" customHeight="1" spans="1:121">
      <c r="A128" s="27" t="str">
        <f>[2]底表!A128</f>
        <v>非法利用信息网络</v>
      </c>
      <c r="B128" s="28" t="str">
        <f>[2]底表!B128</f>
        <v>郁南县</v>
      </c>
      <c r="C128" s="21">
        <f>[2]底表!AM128</f>
        <v>0</v>
      </c>
      <c r="D128" s="21">
        <f>[2]底表!AN128</f>
        <v>0</v>
      </c>
      <c r="E128" s="23" t="str">
        <f>[2]底表!AO128</f>
        <v>持平</v>
      </c>
      <c r="F128" s="21">
        <f>[2]底表!AP128</f>
        <v>0</v>
      </c>
      <c r="G128" s="21" t="str">
        <f>[2]底表!AQ128</f>
        <v>持平</v>
      </c>
      <c r="H128" s="21" t="str">
        <f>[2]底表!AR128</f>
        <v/>
      </c>
      <c r="I128" s="21" t="str">
        <f>[2]底表!AS128</f>
        <v/>
      </c>
      <c r="J128" s="21">
        <f>[2]底表!AT128</f>
        <v>0</v>
      </c>
      <c r="K128" s="21">
        <f>[2]底表!AU128</f>
        <v>0</v>
      </c>
      <c r="L128" s="21" t="str">
        <f>[2]底表!AV128</f>
        <v>持平</v>
      </c>
      <c r="M128" s="21">
        <f>[2]底表!AW128</f>
        <v>0</v>
      </c>
      <c r="N128" s="21" t="str">
        <f>[2]底表!AX128</f>
        <v>持平</v>
      </c>
      <c r="O128" s="21">
        <f>[2]底表!AY128</f>
        <v>0</v>
      </c>
      <c r="P128" s="21">
        <f>[2]底表!AZ128</f>
        <v>0</v>
      </c>
      <c r="Q128" s="21" t="str">
        <f>[2]底表!BA128</f>
        <v>持平</v>
      </c>
      <c r="R128" s="21">
        <f>[2]底表!BB128</f>
        <v>0</v>
      </c>
      <c r="S128" s="21" t="str">
        <f>[2]底表!BC128</f>
        <v>持平</v>
      </c>
      <c r="T128" s="21" t="str">
        <f>[2]底表!BD128</f>
        <v/>
      </c>
      <c r="U128" s="21" t="str">
        <f>[2]底表!BE128</f>
        <v/>
      </c>
      <c r="V128" s="21">
        <f>[2]底表!BF128</f>
        <v>0</v>
      </c>
      <c r="W128" s="21">
        <f>[2]底表!BG128</f>
        <v>0</v>
      </c>
      <c r="X128" s="21" t="str">
        <f>[2]底表!BH128</f>
        <v>持平</v>
      </c>
      <c r="Y128" s="21">
        <f>[2]底表!BI128</f>
        <v>0</v>
      </c>
      <c r="Z128" s="21" t="str">
        <f>[2]底表!BJ128</f>
        <v>持平</v>
      </c>
      <c r="AA128" s="21" t="str">
        <f>[2]底表!BK128</f>
        <v/>
      </c>
      <c r="AB128" s="21">
        <f>[2]底表!BL128</f>
        <v>0</v>
      </c>
      <c r="AC128" s="21">
        <f>[2]底表!BM128</f>
        <v>0</v>
      </c>
      <c r="AD128" s="21" t="str">
        <f>[2]底表!BN128</f>
        <v>持平</v>
      </c>
      <c r="AE128" s="21">
        <f>[2]底表!BO128</f>
        <v>0</v>
      </c>
      <c r="AF128" s="21" t="str">
        <f>[2]底表!BP128</f>
        <v>持平</v>
      </c>
      <c r="AG128" s="21">
        <f>[2]底表!BT128</f>
        <v>0</v>
      </c>
      <c r="AH128" s="21" t="str">
        <f>[2]底表!BU128</f>
        <v>持平</v>
      </c>
      <c r="AI128" s="21" t="str">
        <f>[2]底表!BV128</f>
        <v/>
      </c>
      <c r="AJ128" s="21" t="str">
        <f>[2]底表!BW128</f>
        <v/>
      </c>
      <c r="AK128" s="21" t="str">
        <f>[2]底表!BX128</f>
        <v/>
      </c>
      <c r="AL128" s="21" t="str">
        <f>[2]底表!BY128</f>
        <v/>
      </c>
      <c r="AM128" s="21">
        <f>[2]底表!BZ128</f>
        <v>0</v>
      </c>
      <c r="AN128" s="21">
        <f>[2]底表!CA128</f>
        <v>0</v>
      </c>
      <c r="AO128" s="21" t="str">
        <f>[2]底表!CB128</f>
        <v>持平</v>
      </c>
      <c r="AP128" s="21">
        <f>[2]底表!CC128</f>
        <v>0</v>
      </c>
      <c r="AQ128" s="21" t="str">
        <f>[2]底表!CD128</f>
        <v>持平</v>
      </c>
      <c r="AR128" s="21" t="str">
        <f>[2]底表!CE128</f>
        <v/>
      </c>
      <c r="AS128" s="21" t="str">
        <f>[2]底表!CF128</f>
        <v/>
      </c>
      <c r="AT128" s="21">
        <f>[2]底表!CG128</f>
        <v>0</v>
      </c>
      <c r="AU128" s="21">
        <f>[2]底表!CH128</f>
        <v>0</v>
      </c>
      <c r="AV128" s="21" t="str">
        <f>[2]底表!CI128</f>
        <v>持平</v>
      </c>
      <c r="AW128" s="21">
        <f>[2]底表!CJ128</f>
        <v>0</v>
      </c>
      <c r="AX128" s="21" t="str">
        <f>[2]底表!CK128</f>
        <v>持平</v>
      </c>
      <c r="AY128" s="21" t="str">
        <f>[2]底表!CL128</f>
        <v/>
      </c>
      <c r="AZ128" s="21" t="str">
        <f>[2]底表!CM128</f>
        <v/>
      </c>
      <c r="BA128" s="21" t="str">
        <f>[2]底表!CN128</f>
        <v/>
      </c>
      <c r="BB128" s="21">
        <f>[2]底表!CO128</f>
        <v>0</v>
      </c>
      <c r="BC128" s="21">
        <f>[2]底表!CP128</f>
        <v>0</v>
      </c>
      <c r="BD128" s="21" t="str">
        <f>[2]底表!CQ128</f>
        <v>持平</v>
      </c>
      <c r="BE128" s="21">
        <f>[2]底表!CR128</f>
        <v>0</v>
      </c>
      <c r="BF128" s="21" t="str">
        <f>[2]底表!CS128</f>
        <v>持平</v>
      </c>
      <c r="BG128" s="21" t="str">
        <f>[2]底表!CT128</f>
        <v/>
      </c>
      <c r="BH128" s="21" t="str">
        <f>[2]底表!CU128</f>
        <v/>
      </c>
      <c r="BI128" s="21" t="str">
        <f>[2]底表!CV128</f>
        <v/>
      </c>
      <c r="BJ128" s="21" t="str">
        <f>[2]底表!CW128</f>
        <v/>
      </c>
      <c r="BK128" s="21" t="str">
        <f>[2]底表!CX128</f>
        <v/>
      </c>
      <c r="BL128" s="21">
        <f>[2]底表!CY128</f>
        <v>0</v>
      </c>
      <c r="BM128" s="21">
        <f>[2]底表!CZ128</f>
        <v>0</v>
      </c>
      <c r="BN128" s="23" t="str">
        <f>[2]底表!DA128</f>
        <v>持平</v>
      </c>
      <c r="BO128" s="21">
        <f>[2]底表!DB128</f>
        <v>0</v>
      </c>
      <c r="BP128" s="21" t="str">
        <f>[2]底表!DC128</f>
        <v>持平</v>
      </c>
      <c r="BQ128" s="21" t="str">
        <f>[2]底表!DD128</f>
        <v/>
      </c>
      <c r="BR128" s="21" t="str">
        <f>[2]底表!DE128</f>
        <v/>
      </c>
      <c r="BS128" s="21" t="str">
        <f>[2]底表!DF128</f>
        <v/>
      </c>
      <c r="BT128" s="21" t="str">
        <f>[2]底表!DG128</f>
        <v/>
      </c>
      <c r="BU128" s="21" t="str">
        <f>[2]底表!DH128</f>
        <v/>
      </c>
      <c r="BV128" s="21">
        <f>[2]底表!DI128</f>
        <v>0</v>
      </c>
      <c r="BW128" s="21">
        <f>[2]底表!DJ128</f>
        <v>0</v>
      </c>
      <c r="BX128" s="23" t="str">
        <f>[2]底表!DK128</f>
        <v>持平</v>
      </c>
      <c r="BY128" s="21">
        <f>[2]底表!DL128</f>
        <v>0</v>
      </c>
      <c r="BZ128" s="21" t="str">
        <f>[2]底表!DM128</f>
        <v>持平</v>
      </c>
      <c r="CA128" s="21">
        <f>[2]底表!DN128</f>
        <v>0</v>
      </c>
      <c r="CB128" s="21">
        <f>[2]底表!DO128</f>
        <v>0</v>
      </c>
      <c r="CC128" s="21" t="str">
        <f>[2]底表!DP128</f>
        <v>持平</v>
      </c>
      <c r="CD128" s="21">
        <f>[2]底表!DQ128</f>
        <v>0</v>
      </c>
      <c r="CE128" s="21" t="str">
        <f>[2]底表!DR128</f>
        <v>持平</v>
      </c>
      <c r="CF128" s="21">
        <f>[2]底表!DS128</f>
        <v>0</v>
      </c>
      <c r="CG128" s="21">
        <f>[2]底表!DT128</f>
        <v>0</v>
      </c>
      <c r="CH128" s="21" t="str">
        <f>[2]底表!DU128</f>
        <v>持平</v>
      </c>
      <c r="CI128" s="21">
        <f>[2]底表!DV128</f>
        <v>0</v>
      </c>
      <c r="CJ128" s="21" t="str">
        <f>[2]底表!DW128</f>
        <v>持平</v>
      </c>
      <c r="CK128" s="21">
        <f>[2]底表!DX128</f>
        <v>0</v>
      </c>
      <c r="CL128" s="21">
        <f>[2]底表!DY128</f>
        <v>0</v>
      </c>
      <c r="CM128" s="21" t="str">
        <f>[2]底表!DZ128</f>
        <v>持平</v>
      </c>
      <c r="CN128" s="21">
        <f>[2]底表!EA128</f>
        <v>0</v>
      </c>
      <c r="CO128" s="21" t="str">
        <f>[2]底表!EB128</f>
        <v>持平</v>
      </c>
      <c r="CP128" s="21">
        <f>[2]底表!EC128</f>
        <v>0</v>
      </c>
      <c r="CQ128" s="21">
        <f>[2]底表!ED128</f>
        <v>0</v>
      </c>
      <c r="CR128" s="21" t="str">
        <f>[2]底表!EE128</f>
        <v>持平</v>
      </c>
      <c r="CS128" s="21">
        <f>[2]底表!EF128</f>
        <v>0</v>
      </c>
      <c r="CT128" s="21" t="str">
        <f>[2]底表!EG128</f>
        <v>持平</v>
      </c>
      <c r="CU128" s="21" t="str">
        <f>[2]底表!EH128</f>
        <v/>
      </c>
      <c r="CV128" s="21" t="str">
        <f>[2]底表!EI128</f>
        <v/>
      </c>
      <c r="CW128" s="21" t="str">
        <f>[2]底表!EJ128</f>
        <v/>
      </c>
      <c r="CX128" s="21" t="str">
        <f>[2]底表!EK128</f>
        <v/>
      </c>
      <c r="CY128" s="21" t="str">
        <f>[2]底表!EL128</f>
        <v/>
      </c>
      <c r="CZ128" s="21">
        <f>[2]底表!EM128</f>
        <v>0</v>
      </c>
      <c r="DA128" s="21">
        <f>[2]底表!EN128</f>
        <v>0</v>
      </c>
      <c r="DB128" s="21" t="str">
        <f>[2]底表!EO128</f>
        <v>持平</v>
      </c>
      <c r="DC128" s="21">
        <f>[2]底表!EP128</f>
        <v>0</v>
      </c>
      <c r="DD128" s="21" t="str">
        <f>[2]底表!EQ128</f>
        <v>持平</v>
      </c>
      <c r="DE128" s="21">
        <f>[2]底表!ER128</f>
        <v>0</v>
      </c>
      <c r="DF128" s="21">
        <f>[2]底表!ES128</f>
        <v>0</v>
      </c>
      <c r="DG128" s="23" t="str">
        <f>[2]底表!ET128</f>
        <v>持平</v>
      </c>
      <c r="DH128" s="21">
        <f>[2]底表!EU128</f>
        <v>0</v>
      </c>
      <c r="DI128" s="21" t="str">
        <f>[2]底表!EV128</f>
        <v>持平</v>
      </c>
      <c r="DJ128" s="21" t="str">
        <f>[2]底表!EW128</f>
        <v/>
      </c>
      <c r="DK128" s="21" t="str">
        <f>[2]底表!EX128</f>
        <v/>
      </c>
      <c r="DL128" s="21" t="str">
        <f>[2]底表!EY128</f>
        <v/>
      </c>
      <c r="DM128" s="21" t="str">
        <f>[2]底表!EZ128</f>
        <v/>
      </c>
      <c r="DN128" s="21" t="str">
        <f>[2]底表!FA128</f>
        <v/>
      </c>
      <c r="DO128" s="21">
        <f>[2]底表!BQ128</f>
        <v>0</v>
      </c>
      <c r="DP128" s="21">
        <f>[2]底表!BR128</f>
        <v>0</v>
      </c>
      <c r="DQ128" s="24" t="str">
        <f>[2]底表!BS128</f>
        <v>持平</v>
      </c>
    </row>
    <row r="129" s="2" customFormat="1" ht="32" hidden="1" customHeight="1" spans="1:121">
      <c r="A129" s="27" t="str">
        <f>[2]底表!A129</f>
        <v>非法利用信息网络</v>
      </c>
      <c r="B129" s="28" t="str">
        <f>[2]底表!B129</f>
        <v>罗定市</v>
      </c>
      <c r="C129" s="21">
        <f>[2]底表!AM129</f>
        <v>0</v>
      </c>
      <c r="D129" s="21">
        <f>[2]底表!AN129</f>
        <v>0</v>
      </c>
      <c r="E129" s="23" t="str">
        <f>[2]底表!AO129</f>
        <v>持平</v>
      </c>
      <c r="F129" s="21">
        <f>[2]底表!AP129</f>
        <v>0</v>
      </c>
      <c r="G129" s="21" t="str">
        <f>[2]底表!AQ129</f>
        <v>持平</v>
      </c>
      <c r="H129" s="21" t="str">
        <f>[2]底表!AR129</f>
        <v/>
      </c>
      <c r="I129" s="21" t="str">
        <f>[2]底表!AS129</f>
        <v/>
      </c>
      <c r="J129" s="21">
        <f>[2]底表!AT129</f>
        <v>0</v>
      </c>
      <c r="K129" s="21">
        <f>[2]底表!AU129</f>
        <v>0</v>
      </c>
      <c r="L129" s="21" t="str">
        <f>[2]底表!AV129</f>
        <v>持平</v>
      </c>
      <c r="M129" s="21">
        <f>[2]底表!AW129</f>
        <v>0</v>
      </c>
      <c r="N129" s="21" t="str">
        <f>[2]底表!AX129</f>
        <v>持平</v>
      </c>
      <c r="O129" s="21">
        <f>[2]底表!AY129</f>
        <v>0</v>
      </c>
      <c r="P129" s="21">
        <f>[2]底表!AZ129</f>
        <v>0</v>
      </c>
      <c r="Q129" s="21" t="str">
        <f>[2]底表!BA129</f>
        <v>持平</v>
      </c>
      <c r="R129" s="21">
        <f>[2]底表!BB129</f>
        <v>0</v>
      </c>
      <c r="S129" s="21" t="str">
        <f>[2]底表!BC129</f>
        <v>持平</v>
      </c>
      <c r="T129" s="21" t="str">
        <f>[2]底表!BD129</f>
        <v/>
      </c>
      <c r="U129" s="21" t="str">
        <f>[2]底表!BE129</f>
        <v/>
      </c>
      <c r="V129" s="21">
        <f>[2]底表!BF129</f>
        <v>0</v>
      </c>
      <c r="W129" s="21">
        <f>[2]底表!BG129</f>
        <v>0</v>
      </c>
      <c r="X129" s="21" t="str">
        <f>[2]底表!BH129</f>
        <v>持平</v>
      </c>
      <c r="Y129" s="21">
        <f>[2]底表!BI129</f>
        <v>0</v>
      </c>
      <c r="Z129" s="21" t="str">
        <f>[2]底表!BJ129</f>
        <v>持平</v>
      </c>
      <c r="AA129" s="21" t="str">
        <f>[2]底表!BK129</f>
        <v/>
      </c>
      <c r="AB129" s="21">
        <f>[2]底表!BL129</f>
        <v>0</v>
      </c>
      <c r="AC129" s="21">
        <f>[2]底表!BM129</f>
        <v>0</v>
      </c>
      <c r="AD129" s="21" t="str">
        <f>[2]底表!BN129</f>
        <v>持平</v>
      </c>
      <c r="AE129" s="21">
        <f>[2]底表!BO129</f>
        <v>0</v>
      </c>
      <c r="AF129" s="21" t="str">
        <f>[2]底表!BP129</f>
        <v>持平</v>
      </c>
      <c r="AG129" s="21">
        <f>[2]底表!BT129</f>
        <v>0</v>
      </c>
      <c r="AH129" s="21" t="str">
        <f>[2]底表!BU129</f>
        <v>持平</v>
      </c>
      <c r="AI129" s="21" t="str">
        <f>[2]底表!BV129</f>
        <v/>
      </c>
      <c r="AJ129" s="21" t="str">
        <f>[2]底表!BW129</f>
        <v/>
      </c>
      <c r="AK129" s="21" t="str">
        <f>[2]底表!BX129</f>
        <v/>
      </c>
      <c r="AL129" s="21" t="str">
        <f>[2]底表!BY129</f>
        <v/>
      </c>
      <c r="AM129" s="21">
        <f>[2]底表!BZ129</f>
        <v>0</v>
      </c>
      <c r="AN129" s="21">
        <f>[2]底表!CA129</f>
        <v>0</v>
      </c>
      <c r="AO129" s="21" t="str">
        <f>[2]底表!CB129</f>
        <v>持平</v>
      </c>
      <c r="AP129" s="21">
        <f>[2]底表!CC129</f>
        <v>0</v>
      </c>
      <c r="AQ129" s="21" t="str">
        <f>[2]底表!CD129</f>
        <v>持平</v>
      </c>
      <c r="AR129" s="21" t="str">
        <f>[2]底表!CE129</f>
        <v/>
      </c>
      <c r="AS129" s="21" t="str">
        <f>[2]底表!CF129</f>
        <v/>
      </c>
      <c r="AT129" s="21">
        <f>[2]底表!CG129</f>
        <v>0</v>
      </c>
      <c r="AU129" s="21">
        <f>[2]底表!CH129</f>
        <v>0</v>
      </c>
      <c r="AV129" s="21" t="str">
        <f>[2]底表!CI129</f>
        <v>持平</v>
      </c>
      <c r="AW129" s="21">
        <f>[2]底表!CJ129</f>
        <v>0</v>
      </c>
      <c r="AX129" s="21" t="str">
        <f>[2]底表!CK129</f>
        <v>持平</v>
      </c>
      <c r="AY129" s="21" t="str">
        <f>[2]底表!CL129</f>
        <v/>
      </c>
      <c r="AZ129" s="21" t="str">
        <f>[2]底表!CM129</f>
        <v/>
      </c>
      <c r="BA129" s="21" t="str">
        <f>[2]底表!CN129</f>
        <v/>
      </c>
      <c r="BB129" s="21">
        <f>[2]底表!CO129</f>
        <v>0</v>
      </c>
      <c r="BC129" s="21">
        <f>[2]底表!CP129</f>
        <v>0</v>
      </c>
      <c r="BD129" s="21" t="str">
        <f>[2]底表!CQ129</f>
        <v>持平</v>
      </c>
      <c r="BE129" s="21">
        <f>[2]底表!CR129</f>
        <v>0</v>
      </c>
      <c r="BF129" s="21" t="str">
        <f>[2]底表!CS129</f>
        <v>持平</v>
      </c>
      <c r="BG129" s="21" t="str">
        <f>[2]底表!CT129</f>
        <v/>
      </c>
      <c r="BH129" s="21" t="str">
        <f>[2]底表!CU129</f>
        <v/>
      </c>
      <c r="BI129" s="21" t="str">
        <f>[2]底表!CV129</f>
        <v/>
      </c>
      <c r="BJ129" s="21" t="str">
        <f>[2]底表!CW129</f>
        <v/>
      </c>
      <c r="BK129" s="21" t="str">
        <f>[2]底表!CX129</f>
        <v/>
      </c>
      <c r="BL129" s="21">
        <f>[2]底表!CY129</f>
        <v>0</v>
      </c>
      <c r="BM129" s="21">
        <f>[2]底表!CZ129</f>
        <v>0</v>
      </c>
      <c r="BN129" s="23" t="str">
        <f>[2]底表!DA129</f>
        <v>持平</v>
      </c>
      <c r="BO129" s="21">
        <f>[2]底表!DB129</f>
        <v>0</v>
      </c>
      <c r="BP129" s="21" t="str">
        <f>[2]底表!DC129</f>
        <v>持平</v>
      </c>
      <c r="BQ129" s="21" t="str">
        <f>[2]底表!DD129</f>
        <v/>
      </c>
      <c r="BR129" s="21" t="str">
        <f>[2]底表!DE129</f>
        <v/>
      </c>
      <c r="BS129" s="21" t="str">
        <f>[2]底表!DF129</f>
        <v/>
      </c>
      <c r="BT129" s="21" t="str">
        <f>[2]底表!DG129</f>
        <v/>
      </c>
      <c r="BU129" s="21" t="str">
        <f>[2]底表!DH129</f>
        <v/>
      </c>
      <c r="BV129" s="21">
        <f>[2]底表!DI129</f>
        <v>0</v>
      </c>
      <c r="BW129" s="21">
        <f>[2]底表!DJ129</f>
        <v>0</v>
      </c>
      <c r="BX129" s="23" t="str">
        <f>[2]底表!DK129</f>
        <v>持平</v>
      </c>
      <c r="BY129" s="21">
        <f>[2]底表!DL129</f>
        <v>0</v>
      </c>
      <c r="BZ129" s="21" t="str">
        <f>[2]底表!DM129</f>
        <v>持平</v>
      </c>
      <c r="CA129" s="21">
        <f>[2]底表!DN129</f>
        <v>0</v>
      </c>
      <c r="CB129" s="21">
        <f>[2]底表!DO129</f>
        <v>0</v>
      </c>
      <c r="CC129" s="21" t="str">
        <f>[2]底表!DP129</f>
        <v>持平</v>
      </c>
      <c r="CD129" s="21">
        <f>[2]底表!DQ129</f>
        <v>0</v>
      </c>
      <c r="CE129" s="21" t="str">
        <f>[2]底表!DR129</f>
        <v>持平</v>
      </c>
      <c r="CF129" s="21">
        <f>[2]底表!DS129</f>
        <v>0</v>
      </c>
      <c r="CG129" s="21">
        <f>[2]底表!DT129</f>
        <v>0</v>
      </c>
      <c r="CH129" s="21" t="str">
        <f>[2]底表!DU129</f>
        <v>持平</v>
      </c>
      <c r="CI129" s="21">
        <f>[2]底表!DV129</f>
        <v>0</v>
      </c>
      <c r="CJ129" s="21" t="str">
        <f>[2]底表!DW129</f>
        <v>持平</v>
      </c>
      <c r="CK129" s="21">
        <f>[2]底表!DX129</f>
        <v>0</v>
      </c>
      <c r="CL129" s="21">
        <f>[2]底表!DY129</f>
        <v>0</v>
      </c>
      <c r="CM129" s="21" t="str">
        <f>[2]底表!DZ129</f>
        <v>持平</v>
      </c>
      <c r="CN129" s="21">
        <f>[2]底表!EA129</f>
        <v>0</v>
      </c>
      <c r="CO129" s="21" t="str">
        <f>[2]底表!EB129</f>
        <v>持平</v>
      </c>
      <c r="CP129" s="21">
        <f>[2]底表!EC129</f>
        <v>0</v>
      </c>
      <c r="CQ129" s="21">
        <f>[2]底表!ED129</f>
        <v>0</v>
      </c>
      <c r="CR129" s="21" t="str">
        <f>[2]底表!EE129</f>
        <v>持平</v>
      </c>
      <c r="CS129" s="21">
        <f>[2]底表!EF129</f>
        <v>0</v>
      </c>
      <c r="CT129" s="21" t="str">
        <f>[2]底表!EG129</f>
        <v>持平</v>
      </c>
      <c r="CU129" s="21" t="str">
        <f>[2]底表!EH129</f>
        <v/>
      </c>
      <c r="CV129" s="21" t="str">
        <f>[2]底表!EI129</f>
        <v/>
      </c>
      <c r="CW129" s="21" t="str">
        <f>[2]底表!EJ129</f>
        <v/>
      </c>
      <c r="CX129" s="21" t="str">
        <f>[2]底表!EK129</f>
        <v/>
      </c>
      <c r="CY129" s="21" t="str">
        <f>[2]底表!EL129</f>
        <v/>
      </c>
      <c r="CZ129" s="21">
        <f>[2]底表!EM129</f>
        <v>0</v>
      </c>
      <c r="DA129" s="21">
        <f>[2]底表!EN129</f>
        <v>0</v>
      </c>
      <c r="DB129" s="21" t="str">
        <f>[2]底表!EO129</f>
        <v>持平</v>
      </c>
      <c r="DC129" s="21">
        <f>[2]底表!EP129</f>
        <v>0</v>
      </c>
      <c r="DD129" s="21" t="str">
        <f>[2]底表!EQ129</f>
        <v>持平</v>
      </c>
      <c r="DE129" s="21">
        <f>[2]底表!ER129</f>
        <v>0</v>
      </c>
      <c r="DF129" s="21">
        <f>[2]底表!ES129</f>
        <v>0</v>
      </c>
      <c r="DG129" s="23" t="str">
        <f>[2]底表!ET129</f>
        <v>持平</v>
      </c>
      <c r="DH129" s="21">
        <f>[2]底表!EU129</f>
        <v>0</v>
      </c>
      <c r="DI129" s="21" t="str">
        <f>[2]底表!EV129</f>
        <v>持平</v>
      </c>
      <c r="DJ129" s="21" t="str">
        <f>[2]底表!EW129</f>
        <v/>
      </c>
      <c r="DK129" s="21" t="str">
        <f>[2]底表!EX129</f>
        <v/>
      </c>
      <c r="DL129" s="21" t="str">
        <f>[2]底表!EY129</f>
        <v/>
      </c>
      <c r="DM129" s="21" t="str">
        <f>[2]底表!EZ129</f>
        <v/>
      </c>
      <c r="DN129" s="21" t="str">
        <f>[2]底表!FA129</f>
        <v/>
      </c>
      <c r="DO129" s="21">
        <f>[2]底表!BQ129</f>
        <v>0</v>
      </c>
      <c r="DP129" s="21">
        <f>[2]底表!BR129</f>
        <v>0</v>
      </c>
      <c r="DQ129" s="24" t="str">
        <f>[2]底表!BS129</f>
        <v>持平</v>
      </c>
    </row>
    <row r="130" s="2" customFormat="1" ht="32" hidden="1" customHeight="1" spans="1:121">
      <c r="A130" s="27" t="str">
        <f>[2]底表!A130</f>
        <v>帮助信息网络犯罪活动</v>
      </c>
      <c r="B130" s="28" t="str">
        <f>[2]底表!B130</f>
        <v>全省</v>
      </c>
      <c r="C130" s="21">
        <f>[2]底表!AM130</f>
        <v>641</v>
      </c>
      <c r="D130" s="21">
        <f>[2]底表!AN130</f>
        <v>659</v>
      </c>
      <c r="E130" s="23">
        <f>[2]底表!AO130</f>
        <v>-0.0273</v>
      </c>
      <c r="F130" s="21">
        <f>[2]底表!AP130</f>
        <v>1859</v>
      </c>
      <c r="G130" s="21">
        <f>[2]底表!AQ130</f>
        <v>-0.6552</v>
      </c>
      <c r="H130" s="21">
        <f>[2]底表!AR130</f>
        <v>0.5886</v>
      </c>
      <c r="I130" s="21">
        <f>[2]底表!AS130</f>
        <v>0.3925</v>
      </c>
      <c r="J130" s="21">
        <f>[2]底表!AT130</f>
        <v>623</v>
      </c>
      <c r="K130" s="21">
        <f>[2]底表!AU130</f>
        <v>1261</v>
      </c>
      <c r="L130" s="21">
        <f>[2]底表!AV130</f>
        <v>-0.5059</v>
      </c>
      <c r="M130" s="21">
        <f>[2]底表!AW130</f>
        <v>3231</v>
      </c>
      <c r="N130" s="21">
        <f>[2]底表!AX130</f>
        <v>-0.8072</v>
      </c>
      <c r="O130" s="21">
        <f>[2]底表!AY130</f>
        <v>96</v>
      </c>
      <c r="P130" s="21">
        <f>[2]底表!AZ130</f>
        <v>221</v>
      </c>
      <c r="Q130" s="21">
        <f>[2]底表!BA130</f>
        <v>-0.5656</v>
      </c>
      <c r="R130" s="21">
        <f>[2]底表!BB130</f>
        <v>1101</v>
      </c>
      <c r="S130" s="21">
        <f>[2]底表!BC130</f>
        <v>-0.9128</v>
      </c>
      <c r="T130" s="21">
        <f>[2]底表!BD130</f>
        <v>0.1541</v>
      </c>
      <c r="U130" s="21">
        <f>[2]底表!BE130</f>
        <v>-0.0212</v>
      </c>
      <c r="V130" s="21">
        <f>[2]底表!BF130</f>
        <v>466</v>
      </c>
      <c r="W130" s="21">
        <f>[2]底表!BG130</f>
        <v>2099</v>
      </c>
      <c r="X130" s="21">
        <f>[2]底表!BH130</f>
        <v>-0.778</v>
      </c>
      <c r="Y130" s="21">
        <f>[2]底表!BI130</f>
        <v>44</v>
      </c>
      <c r="Z130" s="21">
        <f>[2]底表!BJ130</f>
        <v>9.5909</v>
      </c>
      <c r="AA130" s="21">
        <f>[2]底表!BK130</f>
        <v>0.4279</v>
      </c>
      <c r="AB130" s="21">
        <f>[2]底表!BL130</f>
        <v>545</v>
      </c>
      <c r="AC130" s="21">
        <f>[2]底表!BM130</f>
        <v>438</v>
      </c>
      <c r="AD130" s="21">
        <f>[2]底表!BN130</f>
        <v>0.2443</v>
      </c>
      <c r="AE130" s="21">
        <f>[2]底表!BO130</f>
        <v>758</v>
      </c>
      <c r="AF130" s="21">
        <f>[2]底表!BP130</f>
        <v>-0.281</v>
      </c>
      <c r="AG130" s="21">
        <f>[2]底表!BT130</f>
        <v>254</v>
      </c>
      <c r="AH130" s="21">
        <f>[2]底表!BU130</f>
        <v>-0.5354</v>
      </c>
      <c r="AI130" s="21">
        <f>[2]底表!BV130</f>
        <v>0.1084</v>
      </c>
      <c r="AJ130" s="21">
        <f>[2]底表!BW130</f>
        <v>0.0851</v>
      </c>
      <c r="AK130" s="21">
        <f>[2]底表!BX130</f>
        <v>0.1894</v>
      </c>
      <c r="AL130" s="21">
        <f>[2]底表!BY130</f>
        <v>0.1276</v>
      </c>
      <c r="AM130" s="21">
        <f>[2]底表!BZ130</f>
        <v>2</v>
      </c>
      <c r="AN130" s="21">
        <f>[2]底表!CA130</f>
        <v>2</v>
      </c>
      <c r="AO130" s="21">
        <f>[2]底表!CB130</f>
        <v>0</v>
      </c>
      <c r="AP130" s="21">
        <f>[2]底表!CC130</f>
        <v>46</v>
      </c>
      <c r="AQ130" s="21">
        <f>[2]底表!CD130</f>
        <v>-0.9565</v>
      </c>
      <c r="AR130" s="21" t="str">
        <f>[2]底表!CE130</f>
        <v/>
      </c>
      <c r="AS130" s="21" t="str">
        <f>[2]底表!CF130</f>
        <v/>
      </c>
      <c r="AT130" s="21">
        <f>[2]底表!CG130</f>
        <v>837</v>
      </c>
      <c r="AU130" s="21">
        <f>[2]底表!CH130</f>
        <v>715</v>
      </c>
      <c r="AV130" s="21">
        <f>[2]底表!CI130</f>
        <v>0.1706</v>
      </c>
      <c r="AW130" s="21">
        <f>[2]底表!CJ130</f>
        <v>1028</v>
      </c>
      <c r="AX130" s="21">
        <f>[2]底表!CK130</f>
        <v>-0.1858</v>
      </c>
      <c r="AY130" s="21">
        <f>[2]底表!CL130</f>
        <v>77</v>
      </c>
      <c r="AZ130" s="21">
        <f>[2]底表!CM130</f>
        <v>56</v>
      </c>
      <c r="BA130" s="21">
        <f>[2]底表!CN130</f>
        <v>2.6119</v>
      </c>
      <c r="BB130" s="21">
        <f>[2]底表!CO130</f>
        <v>901</v>
      </c>
      <c r="BC130" s="21">
        <f>[2]底表!CP130</f>
        <v>482</v>
      </c>
      <c r="BD130" s="21">
        <f>[2]底表!CQ130</f>
        <v>0.8693</v>
      </c>
      <c r="BE130" s="21">
        <f>[2]底表!CR130</f>
        <v>691</v>
      </c>
      <c r="BF130" s="21">
        <f>[2]底表!CS130</f>
        <v>0.3039</v>
      </c>
      <c r="BG130" s="21">
        <f>[2]底表!CT130</f>
        <v>1.0765</v>
      </c>
      <c r="BH130" s="21">
        <f>[2]底表!CU130</f>
        <v>0.4023</v>
      </c>
      <c r="BI130" s="21">
        <f>[2]底表!CV130</f>
        <v>83</v>
      </c>
      <c r="BJ130" s="21">
        <f>[2]底表!CW130</f>
        <v>68</v>
      </c>
      <c r="BK130" s="21">
        <f>[2]底表!CX130</f>
        <v>4.7675</v>
      </c>
      <c r="BL130" s="21">
        <f>[2]底表!CY130</f>
        <v>935</v>
      </c>
      <c r="BM130" s="21">
        <f>[2]底表!CZ130</f>
        <v>552</v>
      </c>
      <c r="BN130" s="23">
        <f>[2]底表!DA130</f>
        <v>0.6938</v>
      </c>
      <c r="BO130" s="21">
        <f>[2]底表!DB130</f>
        <v>778</v>
      </c>
      <c r="BP130" s="21">
        <f>[2]底表!DC130</f>
        <v>0.2018</v>
      </c>
      <c r="BQ130" s="21">
        <f>[2]底表!DD130</f>
        <v>1.1171</v>
      </c>
      <c r="BR130" s="21">
        <f>[2]底表!DE130</f>
        <v>0.3451</v>
      </c>
      <c r="BS130" s="21">
        <f>[2]底表!DF130</f>
        <v>86</v>
      </c>
      <c r="BT130" s="21">
        <f>[2]底表!DG130</f>
        <v>69</v>
      </c>
      <c r="BU130" s="21">
        <f>[2]底表!DH130</f>
        <v>4.2262</v>
      </c>
      <c r="BV130" s="21">
        <f>[2]底表!DI130</f>
        <v>691</v>
      </c>
      <c r="BW130" s="21">
        <f>[2]底表!DJ130</f>
        <v>460</v>
      </c>
      <c r="BX130" s="23">
        <f>[2]底表!DK130</f>
        <v>0.5022</v>
      </c>
      <c r="BY130" s="21">
        <f>[2]底表!DL130</f>
        <v>476</v>
      </c>
      <c r="BZ130" s="21">
        <f>[2]底表!DM130</f>
        <v>0.4517</v>
      </c>
      <c r="CA130" s="21">
        <f>[2]底表!DN130</f>
        <v>446</v>
      </c>
      <c r="CB130" s="21">
        <f>[2]底表!DO130</f>
        <v>310</v>
      </c>
      <c r="CC130" s="21">
        <f>[2]底表!DP130</f>
        <v>0.4387</v>
      </c>
      <c r="CD130" s="21">
        <f>[2]底表!DQ130</f>
        <v>515</v>
      </c>
      <c r="CE130" s="21">
        <f>[2]底表!DR130</f>
        <v>-0.134</v>
      </c>
      <c r="CF130" s="21">
        <f>[2]底表!DS130</f>
        <v>447</v>
      </c>
      <c r="CG130" s="21">
        <f>[2]底表!DT130</f>
        <v>310</v>
      </c>
      <c r="CH130" s="21">
        <f>[2]底表!DU130</f>
        <v>0.4419</v>
      </c>
      <c r="CI130" s="21">
        <f>[2]底表!DV130</f>
        <v>515</v>
      </c>
      <c r="CJ130" s="21">
        <f>[2]底表!DW130</f>
        <v>-0.132</v>
      </c>
      <c r="CK130" s="21">
        <f>[2]底表!DX130</f>
        <v>254</v>
      </c>
      <c r="CL130" s="21">
        <f>[2]底表!DY130</f>
        <v>226</v>
      </c>
      <c r="CM130" s="21">
        <f>[2]底表!DZ130</f>
        <v>0.1239</v>
      </c>
      <c r="CN130" s="21">
        <f>[2]底表!EA130</f>
        <v>203</v>
      </c>
      <c r="CO130" s="21">
        <f>[2]底表!EB130</f>
        <v>0.2512</v>
      </c>
      <c r="CP130" s="21">
        <f>[2]底表!EC130</f>
        <v>72</v>
      </c>
      <c r="CQ130" s="21">
        <f>[2]底表!ED130</f>
        <v>140</v>
      </c>
      <c r="CR130" s="21">
        <f>[2]底表!EE130</f>
        <v>-0.4857</v>
      </c>
      <c r="CS130" s="21">
        <f>[2]底表!EF130</f>
        <v>97</v>
      </c>
      <c r="CT130" s="21">
        <f>[2]底表!EG130</f>
        <v>-0.2577</v>
      </c>
      <c r="CU130" s="21">
        <f>[2]底表!EH130</f>
        <v>0.0799</v>
      </c>
      <c r="CV130" s="21">
        <f>[2]底表!EI130</f>
        <v>-0.2105</v>
      </c>
      <c r="CW130" s="21">
        <f>[2]底表!EJ130</f>
        <v>7</v>
      </c>
      <c r="CX130" s="21">
        <f>[2]底表!EK130</f>
        <v>2</v>
      </c>
      <c r="CY130" s="21">
        <f>[2]底表!EL130</f>
        <v>0.5868</v>
      </c>
      <c r="CZ130" s="21">
        <f>[2]底表!EM130</f>
        <v>85</v>
      </c>
      <c r="DA130" s="21">
        <f>[2]底表!EN130</f>
        <v>135</v>
      </c>
      <c r="DB130" s="21">
        <f>[2]底表!EO130</f>
        <v>-0.3704</v>
      </c>
      <c r="DC130" s="21">
        <f>[2]底表!EP130</f>
        <v>102</v>
      </c>
      <c r="DD130" s="21">
        <f>[2]底表!EQ130</f>
        <v>-0.1667</v>
      </c>
      <c r="DE130" s="21">
        <f>[2]底表!ER130</f>
        <v>177</v>
      </c>
      <c r="DF130" s="21">
        <f>[2]底表!ES130</f>
        <v>134</v>
      </c>
      <c r="DG130" s="23">
        <f>[2]底表!ET130</f>
        <v>0.3209</v>
      </c>
      <c r="DH130" s="21">
        <f>[2]底表!EU130</f>
        <v>349</v>
      </c>
      <c r="DI130" s="21">
        <f>[2]底表!EV130</f>
        <v>-0.4928</v>
      </c>
      <c r="DJ130" s="21">
        <f>[2]底表!EW130</f>
        <v>0.1964</v>
      </c>
      <c r="DK130" s="21">
        <f>[2]底表!EX130</f>
        <v>-0.0816</v>
      </c>
      <c r="DL130" s="21">
        <f>[2]底表!EY130</f>
        <v>16</v>
      </c>
      <c r="DM130" s="21">
        <f>[2]底表!EZ130</f>
        <v>12</v>
      </c>
      <c r="DN130" s="21">
        <f>[2]底表!FA130</f>
        <v>3.0755</v>
      </c>
      <c r="DO130" s="21">
        <f>[2]底表!BQ130</f>
        <v>118</v>
      </c>
      <c r="DP130" s="21">
        <f>[2]底表!BR130</f>
        <v>78</v>
      </c>
      <c r="DQ130" s="24">
        <f>[2]底表!BS130</f>
        <v>0.5128</v>
      </c>
    </row>
    <row r="131" s="2" customFormat="1" ht="32" hidden="1" customHeight="1" spans="1:121">
      <c r="A131" s="27" t="str">
        <f>[2]底表!A131</f>
        <v>帮助信息网络犯罪活动</v>
      </c>
      <c r="B131" s="28" t="str">
        <f>[2]底表!B131</f>
        <v>云浮</v>
      </c>
      <c r="C131" s="21">
        <f>[2]底表!AM131</f>
        <v>1</v>
      </c>
      <c r="D131" s="21">
        <f>[2]底表!AN131</f>
        <v>1</v>
      </c>
      <c r="E131" s="23">
        <f>[2]底表!AO131</f>
        <v>0</v>
      </c>
      <c r="F131" s="21">
        <f>[2]底表!AP131</f>
        <v>3</v>
      </c>
      <c r="G131" s="21">
        <f>[2]底表!AQ131</f>
        <v>-0.6667</v>
      </c>
      <c r="H131" s="21">
        <f>[2]底表!AR131</f>
        <v>1</v>
      </c>
      <c r="I131" s="21">
        <f>[2]底表!AS131</f>
        <v>0</v>
      </c>
      <c r="J131" s="21">
        <f>[2]底表!AT131</f>
        <v>1</v>
      </c>
      <c r="K131" s="21">
        <f>[2]底表!AU131</f>
        <v>1</v>
      </c>
      <c r="L131" s="21">
        <f>[2]底表!AV131</f>
        <v>0</v>
      </c>
      <c r="M131" s="21">
        <f>[2]底表!AW131</f>
        <v>0</v>
      </c>
      <c r="N131" s="21" t="str">
        <f>[2]底表!AX131</f>
        <v>多1起</v>
      </c>
      <c r="O131" s="21">
        <f>[2]底表!AY131</f>
        <v>1</v>
      </c>
      <c r="P131" s="21">
        <f>[2]底表!AZ131</f>
        <v>1</v>
      </c>
      <c r="Q131" s="21">
        <f>[2]底表!BA131</f>
        <v>0</v>
      </c>
      <c r="R131" s="21">
        <f>[2]底表!BB131</f>
        <v>1</v>
      </c>
      <c r="S131" s="21">
        <f>[2]底表!BC131</f>
        <v>0</v>
      </c>
      <c r="T131" s="21">
        <f>[2]底表!BD131</f>
        <v>1</v>
      </c>
      <c r="U131" s="21">
        <f>[2]底表!BE131</f>
        <v>0</v>
      </c>
      <c r="V131" s="21">
        <f>[2]底表!BF131</f>
        <v>0</v>
      </c>
      <c r="W131" s="21">
        <f>[2]底表!BG131</f>
        <v>0</v>
      </c>
      <c r="X131" s="21" t="str">
        <f>[2]底表!BH131</f>
        <v>持平</v>
      </c>
      <c r="Y131" s="21">
        <f>[2]底表!BI131</f>
        <v>0</v>
      </c>
      <c r="Z131" s="21" t="str">
        <f>[2]底表!BJ131</f>
        <v>持平</v>
      </c>
      <c r="AA131" s="21">
        <f>[2]底表!BK131</f>
        <v>0</v>
      </c>
      <c r="AB131" s="21">
        <f>[2]底表!BL131</f>
        <v>0</v>
      </c>
      <c r="AC131" s="21">
        <f>[2]底表!BM131</f>
        <v>0</v>
      </c>
      <c r="AD131" s="21" t="str">
        <f>[2]底表!BN131</f>
        <v>持平</v>
      </c>
      <c r="AE131" s="21">
        <f>[2]底表!BO131</f>
        <v>2</v>
      </c>
      <c r="AF131" s="21" t="str">
        <f>[2]底表!BP131</f>
        <v>少2起</v>
      </c>
      <c r="AG131" s="21">
        <f>[2]底表!BT131</f>
        <v>0</v>
      </c>
      <c r="AH131" s="21" t="str">
        <f>[2]底表!BU131</f>
        <v>持平</v>
      </c>
      <c r="AI131" s="21">
        <f>[2]底表!BV131</f>
        <v>0</v>
      </c>
      <c r="AJ131" s="21">
        <f>[2]底表!BW131</f>
        <v>0</v>
      </c>
      <c r="AK131" s="21">
        <f>[2]底表!BX131</f>
        <v>0</v>
      </c>
      <c r="AL131" s="21">
        <f>[2]底表!BY131</f>
        <v>0</v>
      </c>
      <c r="AM131" s="21">
        <f>[2]底表!BZ131</f>
        <v>0</v>
      </c>
      <c r="AN131" s="21">
        <f>[2]底表!CA131</f>
        <v>0</v>
      </c>
      <c r="AO131" s="21" t="str">
        <f>[2]底表!CB131</f>
        <v>持平</v>
      </c>
      <c r="AP131" s="21">
        <f>[2]底表!CC131</f>
        <v>0</v>
      </c>
      <c r="AQ131" s="21" t="str">
        <f>[2]底表!CD131</f>
        <v>持平</v>
      </c>
      <c r="AR131" s="21" t="str">
        <f>[2]底表!CE131</f>
        <v/>
      </c>
      <c r="AS131" s="21" t="str">
        <f>[2]底表!CF131</f>
        <v/>
      </c>
      <c r="AT131" s="21">
        <f>[2]底表!CG131</f>
        <v>9</v>
      </c>
      <c r="AU131" s="21">
        <f>[2]底表!CH131</f>
        <v>10</v>
      </c>
      <c r="AV131" s="21">
        <f>[2]底表!CI131</f>
        <v>-0.1</v>
      </c>
      <c r="AW131" s="21">
        <f>[2]底表!CJ131</f>
        <v>3</v>
      </c>
      <c r="AX131" s="21">
        <f>[2]底表!CK131</f>
        <v>2</v>
      </c>
      <c r="AY131" s="21">
        <f>[2]底表!CL131</f>
        <v>900</v>
      </c>
      <c r="AZ131" s="21">
        <f>[2]底表!CM131</f>
        <v>-100</v>
      </c>
      <c r="BA131" s="21">
        <f>[2]底表!CN131</f>
        <v>-0.1</v>
      </c>
      <c r="BB131" s="21">
        <f>[2]底表!CO131</f>
        <v>11</v>
      </c>
      <c r="BC131" s="21">
        <f>[2]底表!CP131</f>
        <v>10</v>
      </c>
      <c r="BD131" s="21">
        <f>[2]底表!CQ131</f>
        <v>0.1</v>
      </c>
      <c r="BE131" s="21">
        <f>[2]底表!CR131</f>
        <v>3</v>
      </c>
      <c r="BF131" s="21">
        <f>[2]底表!CS131</f>
        <v>2.6667</v>
      </c>
      <c r="BG131" s="21">
        <f>[2]底表!CT131</f>
        <v>1.2222</v>
      </c>
      <c r="BH131" s="21">
        <f>[2]底表!CU131</f>
        <v>0.2222</v>
      </c>
      <c r="BI131" s="21">
        <f>[2]底表!CV131</f>
        <v>1100</v>
      </c>
      <c r="BJ131" s="21">
        <f>[2]底表!CW131</f>
        <v>100</v>
      </c>
      <c r="BK131" s="21">
        <f>[2]底表!CX131</f>
        <v>0.1</v>
      </c>
      <c r="BL131" s="21">
        <f>[2]底表!CY131</f>
        <v>11</v>
      </c>
      <c r="BM131" s="21">
        <f>[2]底表!CZ131</f>
        <v>10</v>
      </c>
      <c r="BN131" s="23">
        <f>[2]底表!DA131</f>
        <v>0.1</v>
      </c>
      <c r="BO131" s="21">
        <f>[2]底表!DB131</f>
        <v>3</v>
      </c>
      <c r="BP131" s="21">
        <f>[2]底表!DC131</f>
        <v>2.6667</v>
      </c>
      <c r="BQ131" s="21">
        <f>[2]底表!DD131</f>
        <v>1.2222</v>
      </c>
      <c r="BR131" s="21">
        <f>[2]底表!DE131</f>
        <v>0.2222</v>
      </c>
      <c r="BS131" s="21">
        <f>[2]底表!DF131</f>
        <v>1100</v>
      </c>
      <c r="BT131" s="21">
        <f>[2]底表!DG131</f>
        <v>100</v>
      </c>
      <c r="BU131" s="21">
        <f>[2]底表!DH131</f>
        <v>0.1</v>
      </c>
      <c r="BV131" s="21">
        <f>[2]底表!DI131</f>
        <v>11</v>
      </c>
      <c r="BW131" s="21">
        <f>[2]底表!DJ131</f>
        <v>4</v>
      </c>
      <c r="BX131" s="23">
        <f>[2]底表!DK131</f>
        <v>1.75</v>
      </c>
      <c r="BY131" s="21">
        <f>[2]底表!DL131</f>
        <v>3</v>
      </c>
      <c r="BZ131" s="21">
        <f>[2]底表!DM131</f>
        <v>2.6667</v>
      </c>
      <c r="CA131" s="21">
        <f>[2]底表!DN131</f>
        <v>1</v>
      </c>
      <c r="CB131" s="21">
        <f>[2]底表!DO131</f>
        <v>2</v>
      </c>
      <c r="CC131" s="21">
        <f>[2]底表!DP131</f>
        <v>-0.5</v>
      </c>
      <c r="CD131" s="21">
        <f>[2]底表!DQ131</f>
        <v>0</v>
      </c>
      <c r="CE131" s="21" t="str">
        <f>[2]底表!DR131</f>
        <v>多1人</v>
      </c>
      <c r="CF131" s="21">
        <f>[2]底表!DS131</f>
        <v>1</v>
      </c>
      <c r="CG131" s="21">
        <f>[2]底表!DT131</f>
        <v>2</v>
      </c>
      <c r="CH131" s="21">
        <f>[2]底表!DU131</f>
        <v>-0.5</v>
      </c>
      <c r="CI131" s="21">
        <f>[2]底表!DV131</f>
        <v>0</v>
      </c>
      <c r="CJ131" s="21" t="str">
        <f>[2]底表!DW131</f>
        <v>多1人</v>
      </c>
      <c r="CK131" s="21">
        <f>[2]底表!DX131</f>
        <v>3</v>
      </c>
      <c r="CL131" s="21">
        <f>[2]底表!DY131</f>
        <v>1</v>
      </c>
      <c r="CM131" s="21">
        <f>[2]底表!DZ131</f>
        <v>2</v>
      </c>
      <c r="CN131" s="21">
        <f>[2]底表!EA131</f>
        <v>0</v>
      </c>
      <c r="CO131" s="21" t="str">
        <f>[2]底表!EB131</f>
        <v>多3人</v>
      </c>
      <c r="CP131" s="21">
        <f>[2]底表!EC131</f>
        <v>0</v>
      </c>
      <c r="CQ131" s="21">
        <f>[2]底表!ED131</f>
        <v>0</v>
      </c>
      <c r="CR131" s="21" t="str">
        <f>[2]底表!EE131</f>
        <v>持平</v>
      </c>
      <c r="CS131" s="21">
        <f>[2]底表!EF131</f>
        <v>0</v>
      </c>
      <c r="CT131" s="21" t="str">
        <f>[2]底表!EG131</f>
        <v>持平</v>
      </c>
      <c r="CU131" s="21">
        <f>[2]底表!EH131</f>
        <v>0</v>
      </c>
      <c r="CV131" s="21">
        <f>[2]底表!EI131</f>
        <v>0</v>
      </c>
      <c r="CW131" s="21">
        <f>[2]底表!EJ131</f>
        <v>0</v>
      </c>
      <c r="CX131" s="21">
        <f>[2]底表!EK131</f>
        <v>0</v>
      </c>
      <c r="CY131" s="21" t="str">
        <f>[2]底表!EL131</f>
        <v/>
      </c>
      <c r="CZ131" s="21">
        <f>[2]底表!EM131</f>
        <v>0</v>
      </c>
      <c r="DA131" s="21">
        <f>[2]底表!EN131</f>
        <v>0</v>
      </c>
      <c r="DB131" s="21" t="str">
        <f>[2]底表!EO131</f>
        <v>持平</v>
      </c>
      <c r="DC131" s="21">
        <f>[2]底表!EP131</f>
        <v>0</v>
      </c>
      <c r="DD131" s="21" t="str">
        <f>[2]底表!EQ131</f>
        <v>持平</v>
      </c>
      <c r="DE131" s="21">
        <f>[2]底表!ER131</f>
        <v>0</v>
      </c>
      <c r="DF131" s="21">
        <f>[2]底表!ES131</f>
        <v>0</v>
      </c>
      <c r="DG131" s="23" t="str">
        <f>[2]底表!ET131</f>
        <v>持平</v>
      </c>
      <c r="DH131" s="21">
        <f>[2]底表!EU131</f>
        <v>2</v>
      </c>
      <c r="DI131" s="21" t="str">
        <f>[2]底表!EV131</f>
        <v>少2人</v>
      </c>
      <c r="DJ131" s="21">
        <f>[2]底表!EW131</f>
        <v>0</v>
      </c>
      <c r="DK131" s="21">
        <f>[2]底表!EX131</f>
        <v>0</v>
      </c>
      <c r="DL131" s="21">
        <f>[2]底表!EY131</f>
        <v>0</v>
      </c>
      <c r="DM131" s="21">
        <f>[2]底表!EZ131</f>
        <v>0</v>
      </c>
      <c r="DN131" s="21" t="str">
        <f>[2]底表!FA131</f>
        <v/>
      </c>
      <c r="DO131" s="21">
        <f>[2]底表!BQ131</f>
        <v>0</v>
      </c>
      <c r="DP131" s="21">
        <f>[2]底表!BR131</f>
        <v>0</v>
      </c>
      <c r="DQ131" s="24" t="str">
        <f>[2]底表!BS131</f>
        <v>持平</v>
      </c>
    </row>
    <row r="132" s="2" customFormat="1" ht="32" hidden="1" customHeight="1" spans="1:121">
      <c r="A132" s="27" t="str">
        <f>[2]底表!A132</f>
        <v>帮助信息网络犯罪活动</v>
      </c>
      <c r="B132" s="28" t="str">
        <f>[2]底表!B132</f>
        <v>云城区</v>
      </c>
      <c r="C132" s="21">
        <f>[2]底表!AM132</f>
        <v>0</v>
      </c>
      <c r="D132" s="21">
        <f>[2]底表!AN132</f>
        <v>0</v>
      </c>
      <c r="E132" s="23" t="str">
        <f>[2]底表!AO132</f>
        <v>持平</v>
      </c>
      <c r="F132" s="21">
        <f>[2]底表!AP132</f>
        <v>0</v>
      </c>
      <c r="G132" s="21" t="str">
        <f>[2]底表!AQ132</f>
        <v>持平</v>
      </c>
      <c r="H132" s="21" t="str">
        <f>[2]底表!AR132</f>
        <v/>
      </c>
      <c r="I132" s="21" t="str">
        <f>[2]底表!AS132</f>
        <v/>
      </c>
      <c r="J132" s="21">
        <f>[2]底表!AT132</f>
        <v>0</v>
      </c>
      <c r="K132" s="21">
        <f>[2]底表!AU132</f>
        <v>0</v>
      </c>
      <c r="L132" s="21" t="str">
        <f>[2]底表!AV132</f>
        <v>持平</v>
      </c>
      <c r="M132" s="21">
        <f>[2]底表!AW132</f>
        <v>0</v>
      </c>
      <c r="N132" s="21" t="str">
        <f>[2]底表!AX132</f>
        <v>持平</v>
      </c>
      <c r="O132" s="21">
        <f>[2]底表!AY132</f>
        <v>0</v>
      </c>
      <c r="P132" s="21">
        <f>[2]底表!AZ132</f>
        <v>0</v>
      </c>
      <c r="Q132" s="21" t="str">
        <f>[2]底表!BA132</f>
        <v>持平</v>
      </c>
      <c r="R132" s="21">
        <f>[2]底表!BB132</f>
        <v>0</v>
      </c>
      <c r="S132" s="21" t="str">
        <f>[2]底表!BC132</f>
        <v>持平</v>
      </c>
      <c r="T132" s="21" t="str">
        <f>[2]底表!BD132</f>
        <v/>
      </c>
      <c r="U132" s="21" t="str">
        <f>[2]底表!BE132</f>
        <v/>
      </c>
      <c r="V132" s="21">
        <f>[2]底表!BF132</f>
        <v>0</v>
      </c>
      <c r="W132" s="21">
        <f>[2]底表!BG132</f>
        <v>0</v>
      </c>
      <c r="X132" s="21" t="str">
        <f>[2]底表!BH132</f>
        <v>持平</v>
      </c>
      <c r="Y132" s="21">
        <f>[2]底表!BI132</f>
        <v>0</v>
      </c>
      <c r="Z132" s="21" t="str">
        <f>[2]底表!BJ132</f>
        <v>持平</v>
      </c>
      <c r="AA132" s="21" t="str">
        <f>[2]底表!BK132</f>
        <v/>
      </c>
      <c r="AB132" s="21">
        <f>[2]底表!BL132</f>
        <v>0</v>
      </c>
      <c r="AC132" s="21">
        <f>[2]底表!BM132</f>
        <v>0</v>
      </c>
      <c r="AD132" s="21" t="str">
        <f>[2]底表!BN132</f>
        <v>持平</v>
      </c>
      <c r="AE132" s="21">
        <f>[2]底表!BO132</f>
        <v>0</v>
      </c>
      <c r="AF132" s="21" t="str">
        <f>[2]底表!BP132</f>
        <v>持平</v>
      </c>
      <c r="AG132" s="21">
        <f>[2]底表!BT132</f>
        <v>0</v>
      </c>
      <c r="AH132" s="21" t="str">
        <f>[2]底表!BU132</f>
        <v>持平</v>
      </c>
      <c r="AI132" s="21" t="str">
        <f>[2]底表!BV132</f>
        <v/>
      </c>
      <c r="AJ132" s="21" t="str">
        <f>[2]底表!BW132</f>
        <v/>
      </c>
      <c r="AK132" s="21" t="str">
        <f>[2]底表!BX132</f>
        <v/>
      </c>
      <c r="AL132" s="21" t="str">
        <f>[2]底表!BY132</f>
        <v/>
      </c>
      <c r="AM132" s="21">
        <f>[2]底表!BZ132</f>
        <v>0</v>
      </c>
      <c r="AN132" s="21">
        <f>[2]底表!CA132</f>
        <v>0</v>
      </c>
      <c r="AO132" s="21" t="str">
        <f>[2]底表!CB132</f>
        <v>持平</v>
      </c>
      <c r="AP132" s="21">
        <f>[2]底表!CC132</f>
        <v>0</v>
      </c>
      <c r="AQ132" s="21" t="str">
        <f>[2]底表!CD132</f>
        <v>持平</v>
      </c>
      <c r="AR132" s="21" t="str">
        <f>[2]底表!CE132</f>
        <v/>
      </c>
      <c r="AS132" s="21" t="str">
        <f>[2]底表!CF132</f>
        <v/>
      </c>
      <c r="AT132" s="21">
        <f>[2]底表!CG132</f>
        <v>0</v>
      </c>
      <c r="AU132" s="21">
        <f>[2]底表!CH132</f>
        <v>0</v>
      </c>
      <c r="AV132" s="21" t="str">
        <f>[2]底表!CI132</f>
        <v>持平</v>
      </c>
      <c r="AW132" s="21">
        <f>[2]底表!CJ132</f>
        <v>0</v>
      </c>
      <c r="AX132" s="21" t="str">
        <f>[2]底表!CK132</f>
        <v>持平</v>
      </c>
      <c r="AY132" s="21" t="str">
        <f>[2]底表!CL132</f>
        <v/>
      </c>
      <c r="AZ132" s="21" t="str">
        <f>[2]底表!CM132</f>
        <v/>
      </c>
      <c r="BA132" s="21" t="str">
        <f>[2]底表!CN132</f>
        <v/>
      </c>
      <c r="BB132" s="21">
        <f>[2]底表!CO132</f>
        <v>0</v>
      </c>
      <c r="BC132" s="21">
        <f>[2]底表!CP132</f>
        <v>0</v>
      </c>
      <c r="BD132" s="21" t="str">
        <f>[2]底表!CQ132</f>
        <v>持平</v>
      </c>
      <c r="BE132" s="21">
        <f>[2]底表!CR132</f>
        <v>0</v>
      </c>
      <c r="BF132" s="21" t="str">
        <f>[2]底表!CS132</f>
        <v>持平</v>
      </c>
      <c r="BG132" s="21" t="str">
        <f>[2]底表!CT132</f>
        <v/>
      </c>
      <c r="BH132" s="21" t="str">
        <f>[2]底表!CU132</f>
        <v/>
      </c>
      <c r="BI132" s="21" t="str">
        <f>[2]底表!CV132</f>
        <v/>
      </c>
      <c r="BJ132" s="21" t="str">
        <f>[2]底表!CW132</f>
        <v/>
      </c>
      <c r="BK132" s="21" t="str">
        <f>[2]底表!CX132</f>
        <v/>
      </c>
      <c r="BL132" s="21">
        <f>[2]底表!CY132</f>
        <v>0</v>
      </c>
      <c r="BM132" s="21">
        <f>[2]底表!CZ132</f>
        <v>0</v>
      </c>
      <c r="BN132" s="23" t="str">
        <f>[2]底表!DA132</f>
        <v>持平</v>
      </c>
      <c r="BO132" s="21">
        <f>[2]底表!DB132</f>
        <v>0</v>
      </c>
      <c r="BP132" s="21" t="str">
        <f>[2]底表!DC132</f>
        <v>持平</v>
      </c>
      <c r="BQ132" s="21" t="str">
        <f>[2]底表!DD132</f>
        <v/>
      </c>
      <c r="BR132" s="21" t="str">
        <f>[2]底表!DE132</f>
        <v/>
      </c>
      <c r="BS132" s="21" t="str">
        <f>[2]底表!DF132</f>
        <v/>
      </c>
      <c r="BT132" s="21" t="str">
        <f>[2]底表!DG132</f>
        <v/>
      </c>
      <c r="BU132" s="21" t="str">
        <f>[2]底表!DH132</f>
        <v/>
      </c>
      <c r="BV132" s="21">
        <f>[2]底表!DI132</f>
        <v>0</v>
      </c>
      <c r="BW132" s="21">
        <f>[2]底表!DJ132</f>
        <v>0</v>
      </c>
      <c r="BX132" s="23" t="str">
        <f>[2]底表!DK132</f>
        <v>持平</v>
      </c>
      <c r="BY132" s="21">
        <f>[2]底表!DL132</f>
        <v>0</v>
      </c>
      <c r="BZ132" s="21" t="str">
        <f>[2]底表!DM132</f>
        <v>持平</v>
      </c>
      <c r="CA132" s="21">
        <f>[2]底表!DN132</f>
        <v>0</v>
      </c>
      <c r="CB132" s="21">
        <f>[2]底表!DO132</f>
        <v>0</v>
      </c>
      <c r="CC132" s="21" t="str">
        <f>[2]底表!DP132</f>
        <v>持平</v>
      </c>
      <c r="CD132" s="21">
        <f>[2]底表!DQ132</f>
        <v>0</v>
      </c>
      <c r="CE132" s="21" t="str">
        <f>[2]底表!DR132</f>
        <v>持平</v>
      </c>
      <c r="CF132" s="21">
        <f>[2]底表!DS132</f>
        <v>0</v>
      </c>
      <c r="CG132" s="21">
        <f>[2]底表!DT132</f>
        <v>0</v>
      </c>
      <c r="CH132" s="21" t="str">
        <f>[2]底表!DU132</f>
        <v>持平</v>
      </c>
      <c r="CI132" s="21">
        <f>[2]底表!DV132</f>
        <v>0</v>
      </c>
      <c r="CJ132" s="21" t="str">
        <f>[2]底表!DW132</f>
        <v>持平</v>
      </c>
      <c r="CK132" s="21">
        <f>[2]底表!DX132</f>
        <v>0</v>
      </c>
      <c r="CL132" s="21">
        <f>[2]底表!DY132</f>
        <v>0</v>
      </c>
      <c r="CM132" s="21" t="str">
        <f>[2]底表!DZ132</f>
        <v>持平</v>
      </c>
      <c r="CN132" s="21">
        <f>[2]底表!EA132</f>
        <v>0</v>
      </c>
      <c r="CO132" s="21" t="str">
        <f>[2]底表!EB132</f>
        <v>持平</v>
      </c>
      <c r="CP132" s="21">
        <f>[2]底表!EC132</f>
        <v>0</v>
      </c>
      <c r="CQ132" s="21">
        <f>[2]底表!ED132</f>
        <v>0</v>
      </c>
      <c r="CR132" s="21" t="str">
        <f>[2]底表!EE132</f>
        <v>持平</v>
      </c>
      <c r="CS132" s="21">
        <f>[2]底表!EF132</f>
        <v>0</v>
      </c>
      <c r="CT132" s="21" t="str">
        <f>[2]底表!EG132</f>
        <v>持平</v>
      </c>
      <c r="CU132" s="21" t="str">
        <f>[2]底表!EH132</f>
        <v/>
      </c>
      <c r="CV132" s="21" t="str">
        <f>[2]底表!EI132</f>
        <v/>
      </c>
      <c r="CW132" s="21" t="str">
        <f>[2]底表!EJ132</f>
        <v/>
      </c>
      <c r="CX132" s="21" t="str">
        <f>[2]底表!EK132</f>
        <v/>
      </c>
      <c r="CY132" s="21" t="str">
        <f>[2]底表!EL132</f>
        <v/>
      </c>
      <c r="CZ132" s="21">
        <f>[2]底表!EM132</f>
        <v>0</v>
      </c>
      <c r="DA132" s="21">
        <f>[2]底表!EN132</f>
        <v>0</v>
      </c>
      <c r="DB132" s="21" t="str">
        <f>[2]底表!EO132</f>
        <v>持平</v>
      </c>
      <c r="DC132" s="21">
        <f>[2]底表!EP132</f>
        <v>0</v>
      </c>
      <c r="DD132" s="21" t="str">
        <f>[2]底表!EQ132</f>
        <v>持平</v>
      </c>
      <c r="DE132" s="21">
        <f>[2]底表!ER132</f>
        <v>0</v>
      </c>
      <c r="DF132" s="21">
        <f>[2]底表!ES132</f>
        <v>0</v>
      </c>
      <c r="DG132" s="23" t="str">
        <f>[2]底表!ET132</f>
        <v>持平</v>
      </c>
      <c r="DH132" s="21">
        <f>[2]底表!EU132</f>
        <v>0</v>
      </c>
      <c r="DI132" s="21" t="str">
        <f>[2]底表!EV132</f>
        <v>持平</v>
      </c>
      <c r="DJ132" s="21" t="str">
        <f>[2]底表!EW132</f>
        <v/>
      </c>
      <c r="DK132" s="21" t="str">
        <f>[2]底表!EX132</f>
        <v/>
      </c>
      <c r="DL132" s="21" t="str">
        <f>[2]底表!EY132</f>
        <v/>
      </c>
      <c r="DM132" s="21" t="str">
        <f>[2]底表!EZ132</f>
        <v/>
      </c>
      <c r="DN132" s="21" t="str">
        <f>[2]底表!FA132</f>
        <v/>
      </c>
      <c r="DO132" s="21">
        <f>[2]底表!BQ132</f>
        <v>0</v>
      </c>
      <c r="DP132" s="21">
        <f>[2]底表!BR132</f>
        <v>0</v>
      </c>
      <c r="DQ132" s="24" t="str">
        <f>[2]底表!BS132</f>
        <v>持平</v>
      </c>
    </row>
    <row r="133" s="2" customFormat="1" ht="32" hidden="1" customHeight="1" spans="1:121">
      <c r="A133" s="27" t="str">
        <f>[2]底表!A133</f>
        <v>帮助信息网络犯罪活动</v>
      </c>
      <c r="B133" s="28" t="str">
        <f>[2]底表!B133</f>
        <v>云安区</v>
      </c>
      <c r="C133" s="21">
        <f>[2]底表!AM133</f>
        <v>0</v>
      </c>
      <c r="D133" s="21">
        <f>[2]底表!AN133</f>
        <v>1</v>
      </c>
      <c r="E133" s="23" t="str">
        <f>[2]底表!AO133</f>
        <v>少1起</v>
      </c>
      <c r="F133" s="21">
        <f>[2]底表!AP133</f>
        <v>1</v>
      </c>
      <c r="G133" s="21" t="str">
        <f>[2]底表!AQ133</f>
        <v>少1起</v>
      </c>
      <c r="H133" s="21" t="str">
        <f>[2]底表!AR133</f>
        <v/>
      </c>
      <c r="I133" s="21" t="str">
        <f>[2]底表!AS133</f>
        <v/>
      </c>
      <c r="J133" s="21">
        <f>[2]底表!AT133</f>
        <v>0</v>
      </c>
      <c r="K133" s="21">
        <f>[2]底表!AU133</f>
        <v>1</v>
      </c>
      <c r="L133" s="21" t="str">
        <f>[2]底表!AV133</f>
        <v>少1起</v>
      </c>
      <c r="M133" s="21">
        <f>[2]底表!AW133</f>
        <v>0</v>
      </c>
      <c r="N133" s="21" t="str">
        <f>[2]底表!AX133</f>
        <v>持平</v>
      </c>
      <c r="O133" s="21">
        <f>[2]底表!AY133</f>
        <v>0</v>
      </c>
      <c r="P133" s="21">
        <f>[2]底表!AZ133</f>
        <v>1</v>
      </c>
      <c r="Q133" s="21" t="str">
        <f>[2]底表!BA133</f>
        <v>少1起</v>
      </c>
      <c r="R133" s="21">
        <f>[2]底表!BB133</f>
        <v>0</v>
      </c>
      <c r="S133" s="21" t="str">
        <f>[2]底表!BC133</f>
        <v>持平</v>
      </c>
      <c r="T133" s="21" t="str">
        <f>[2]底表!BD133</f>
        <v/>
      </c>
      <c r="U133" s="21" t="str">
        <f>[2]底表!BE133</f>
        <v/>
      </c>
      <c r="V133" s="21">
        <f>[2]底表!BF133</f>
        <v>0</v>
      </c>
      <c r="W133" s="21">
        <f>[2]底表!BG133</f>
        <v>0</v>
      </c>
      <c r="X133" s="21" t="str">
        <f>[2]底表!BH133</f>
        <v>持平</v>
      </c>
      <c r="Y133" s="21">
        <f>[2]底表!BI133</f>
        <v>0</v>
      </c>
      <c r="Z133" s="21" t="str">
        <f>[2]底表!BJ133</f>
        <v>持平</v>
      </c>
      <c r="AA133" s="21" t="str">
        <f>[2]底表!BK133</f>
        <v/>
      </c>
      <c r="AB133" s="21">
        <f>[2]底表!BL133</f>
        <v>0</v>
      </c>
      <c r="AC133" s="21">
        <f>[2]底表!BM133</f>
        <v>0</v>
      </c>
      <c r="AD133" s="21" t="str">
        <f>[2]底表!BN133</f>
        <v>持平</v>
      </c>
      <c r="AE133" s="21">
        <f>[2]底表!BO133</f>
        <v>1</v>
      </c>
      <c r="AF133" s="21" t="str">
        <f>[2]底表!BP133</f>
        <v>少1起</v>
      </c>
      <c r="AG133" s="21">
        <f>[2]底表!BT133</f>
        <v>0</v>
      </c>
      <c r="AH133" s="21" t="str">
        <f>[2]底表!BU133</f>
        <v>持平</v>
      </c>
      <c r="AI133" s="21" t="str">
        <f>[2]底表!BV133</f>
        <v/>
      </c>
      <c r="AJ133" s="21" t="str">
        <f>[2]底表!BW133</f>
        <v/>
      </c>
      <c r="AK133" s="21" t="str">
        <f>[2]底表!BX133</f>
        <v/>
      </c>
      <c r="AL133" s="21" t="str">
        <f>[2]底表!BY133</f>
        <v/>
      </c>
      <c r="AM133" s="21">
        <f>[2]底表!BZ133</f>
        <v>0</v>
      </c>
      <c r="AN133" s="21">
        <f>[2]底表!CA133</f>
        <v>0</v>
      </c>
      <c r="AO133" s="21" t="str">
        <f>[2]底表!CB133</f>
        <v>持平</v>
      </c>
      <c r="AP133" s="21">
        <f>[2]底表!CC133</f>
        <v>0</v>
      </c>
      <c r="AQ133" s="21" t="str">
        <f>[2]底表!CD133</f>
        <v>持平</v>
      </c>
      <c r="AR133" s="21" t="str">
        <f>[2]底表!CE133</f>
        <v/>
      </c>
      <c r="AS133" s="21" t="str">
        <f>[2]底表!CF133</f>
        <v/>
      </c>
      <c r="AT133" s="21">
        <f>[2]底表!CG133</f>
        <v>0</v>
      </c>
      <c r="AU133" s="21">
        <f>[2]底表!CH133</f>
        <v>9</v>
      </c>
      <c r="AV133" s="21" t="str">
        <f>[2]底表!CI133</f>
        <v>少9人</v>
      </c>
      <c r="AW133" s="21">
        <f>[2]底表!CJ133</f>
        <v>2</v>
      </c>
      <c r="AX133" s="21" t="str">
        <f>[2]底表!CK133</f>
        <v>少2人</v>
      </c>
      <c r="AY133" s="21" t="str">
        <f>[2]底表!CL133</f>
        <v/>
      </c>
      <c r="AZ133" s="21" t="str">
        <f>[2]底表!CM133</f>
        <v/>
      </c>
      <c r="BA133" s="21" t="str">
        <f>[2]底表!CN133</f>
        <v/>
      </c>
      <c r="BB133" s="21">
        <f>[2]底表!CO133</f>
        <v>0</v>
      </c>
      <c r="BC133" s="21">
        <f>[2]底表!CP133</f>
        <v>9</v>
      </c>
      <c r="BD133" s="21" t="str">
        <f>[2]底表!CQ133</f>
        <v>少9人</v>
      </c>
      <c r="BE133" s="21">
        <f>[2]底表!CR133</f>
        <v>3</v>
      </c>
      <c r="BF133" s="21" t="str">
        <f>[2]底表!CS133</f>
        <v>少3人</v>
      </c>
      <c r="BG133" s="21" t="str">
        <f>[2]底表!CT133</f>
        <v/>
      </c>
      <c r="BH133" s="21" t="str">
        <f>[2]底表!CU133</f>
        <v/>
      </c>
      <c r="BI133" s="21" t="str">
        <f>[2]底表!CV133</f>
        <v/>
      </c>
      <c r="BJ133" s="21" t="str">
        <f>[2]底表!CW133</f>
        <v/>
      </c>
      <c r="BK133" s="21" t="str">
        <f>[2]底表!CX133</f>
        <v/>
      </c>
      <c r="BL133" s="21">
        <f>[2]底表!CY133</f>
        <v>0</v>
      </c>
      <c r="BM133" s="21">
        <f>[2]底表!CZ133</f>
        <v>9</v>
      </c>
      <c r="BN133" s="23" t="str">
        <f>[2]底表!DA133</f>
        <v>少9人</v>
      </c>
      <c r="BO133" s="21">
        <f>[2]底表!DB133</f>
        <v>3</v>
      </c>
      <c r="BP133" s="21" t="str">
        <f>[2]底表!DC133</f>
        <v>少3人</v>
      </c>
      <c r="BQ133" s="21" t="str">
        <f>[2]底表!DD133</f>
        <v/>
      </c>
      <c r="BR133" s="21" t="str">
        <f>[2]底表!DE133</f>
        <v/>
      </c>
      <c r="BS133" s="21" t="str">
        <f>[2]底表!DF133</f>
        <v/>
      </c>
      <c r="BT133" s="21" t="str">
        <f>[2]底表!DG133</f>
        <v/>
      </c>
      <c r="BU133" s="21" t="str">
        <f>[2]底表!DH133</f>
        <v/>
      </c>
      <c r="BV133" s="21">
        <f>[2]底表!DI133</f>
        <v>0</v>
      </c>
      <c r="BW133" s="21">
        <f>[2]底表!DJ133</f>
        <v>0</v>
      </c>
      <c r="BX133" s="23" t="str">
        <f>[2]底表!DK133</f>
        <v>持平</v>
      </c>
      <c r="BY133" s="21">
        <f>[2]底表!DL133</f>
        <v>0</v>
      </c>
      <c r="BZ133" s="21" t="str">
        <f>[2]底表!DM133</f>
        <v>持平</v>
      </c>
      <c r="CA133" s="21">
        <f>[2]底表!DN133</f>
        <v>1</v>
      </c>
      <c r="CB133" s="21">
        <f>[2]底表!DO133</f>
        <v>0</v>
      </c>
      <c r="CC133" s="21" t="str">
        <f>[2]底表!DP133</f>
        <v>多1人</v>
      </c>
      <c r="CD133" s="21">
        <f>[2]底表!DQ133</f>
        <v>0</v>
      </c>
      <c r="CE133" s="21" t="str">
        <f>[2]底表!DR133</f>
        <v>多1人</v>
      </c>
      <c r="CF133" s="21">
        <f>[2]底表!DS133</f>
        <v>1</v>
      </c>
      <c r="CG133" s="21">
        <f>[2]底表!DT133</f>
        <v>0</v>
      </c>
      <c r="CH133" s="21" t="str">
        <f>[2]底表!DU133</f>
        <v>多1人</v>
      </c>
      <c r="CI133" s="21">
        <f>[2]底表!DV133</f>
        <v>0</v>
      </c>
      <c r="CJ133" s="21" t="str">
        <f>[2]底表!DW133</f>
        <v>多1人</v>
      </c>
      <c r="CK133" s="21">
        <f>[2]底表!DX133</f>
        <v>3</v>
      </c>
      <c r="CL133" s="21">
        <f>[2]底表!DY133</f>
        <v>0</v>
      </c>
      <c r="CM133" s="21" t="str">
        <f>[2]底表!DZ133</f>
        <v>多3人</v>
      </c>
      <c r="CN133" s="21">
        <f>[2]底表!EA133</f>
        <v>0</v>
      </c>
      <c r="CO133" s="21" t="str">
        <f>[2]底表!EB133</f>
        <v>多3人</v>
      </c>
      <c r="CP133" s="21">
        <f>[2]底表!EC133</f>
        <v>0</v>
      </c>
      <c r="CQ133" s="21">
        <f>[2]底表!ED133</f>
        <v>0</v>
      </c>
      <c r="CR133" s="21" t="str">
        <f>[2]底表!EE133</f>
        <v>持平</v>
      </c>
      <c r="CS133" s="21">
        <f>[2]底表!EF133</f>
        <v>0</v>
      </c>
      <c r="CT133" s="21" t="str">
        <f>[2]底表!EG133</f>
        <v>持平</v>
      </c>
      <c r="CU133" s="21" t="str">
        <f>[2]底表!EH133</f>
        <v/>
      </c>
      <c r="CV133" s="21" t="str">
        <f>[2]底表!EI133</f>
        <v/>
      </c>
      <c r="CW133" s="21" t="str">
        <f>[2]底表!EJ133</f>
        <v/>
      </c>
      <c r="CX133" s="21" t="str">
        <f>[2]底表!EK133</f>
        <v/>
      </c>
      <c r="CY133" s="21" t="str">
        <f>[2]底表!EL133</f>
        <v/>
      </c>
      <c r="CZ133" s="21">
        <f>[2]底表!EM133</f>
        <v>0</v>
      </c>
      <c r="DA133" s="21">
        <f>[2]底表!EN133</f>
        <v>0</v>
      </c>
      <c r="DB133" s="21" t="str">
        <f>[2]底表!EO133</f>
        <v>持平</v>
      </c>
      <c r="DC133" s="21">
        <f>[2]底表!EP133</f>
        <v>0</v>
      </c>
      <c r="DD133" s="21" t="str">
        <f>[2]底表!EQ133</f>
        <v>持平</v>
      </c>
      <c r="DE133" s="21">
        <f>[2]底表!ER133</f>
        <v>0</v>
      </c>
      <c r="DF133" s="21">
        <f>[2]底表!ES133</f>
        <v>0</v>
      </c>
      <c r="DG133" s="23" t="str">
        <f>[2]底表!ET133</f>
        <v>持平</v>
      </c>
      <c r="DH133" s="21">
        <f>[2]底表!EU133</f>
        <v>1</v>
      </c>
      <c r="DI133" s="21" t="str">
        <f>[2]底表!EV133</f>
        <v>少1人</v>
      </c>
      <c r="DJ133" s="21" t="str">
        <f>[2]底表!EW133</f>
        <v/>
      </c>
      <c r="DK133" s="21" t="str">
        <f>[2]底表!EX133</f>
        <v/>
      </c>
      <c r="DL133" s="21" t="str">
        <f>[2]底表!EY133</f>
        <v/>
      </c>
      <c r="DM133" s="21" t="str">
        <f>[2]底表!EZ133</f>
        <v/>
      </c>
      <c r="DN133" s="21" t="str">
        <f>[2]底表!FA133</f>
        <v/>
      </c>
      <c r="DO133" s="21">
        <f>[2]底表!BQ133</f>
        <v>0</v>
      </c>
      <c r="DP133" s="21">
        <f>[2]底表!BR133</f>
        <v>0</v>
      </c>
      <c r="DQ133" s="24" t="str">
        <f>[2]底表!BS133</f>
        <v>持平</v>
      </c>
    </row>
    <row r="134" s="2" customFormat="1" ht="32" hidden="1" customHeight="1" spans="1:121">
      <c r="A134" s="27" t="str">
        <f>[2]底表!A134</f>
        <v>帮助信息网络犯罪活动</v>
      </c>
      <c r="B134" s="28" t="str">
        <f>[2]底表!B134</f>
        <v>新兴县</v>
      </c>
      <c r="C134" s="21">
        <f>[2]底表!AM134</f>
        <v>0</v>
      </c>
      <c r="D134" s="21">
        <f>[2]底表!AN134</f>
        <v>0</v>
      </c>
      <c r="E134" s="23" t="str">
        <f>[2]底表!AO134</f>
        <v>持平</v>
      </c>
      <c r="F134" s="21">
        <f>[2]底表!AP134</f>
        <v>0</v>
      </c>
      <c r="G134" s="21" t="str">
        <f>[2]底表!AQ134</f>
        <v>持平</v>
      </c>
      <c r="H134" s="21" t="str">
        <f>[2]底表!AR134</f>
        <v/>
      </c>
      <c r="I134" s="21" t="str">
        <f>[2]底表!AS134</f>
        <v/>
      </c>
      <c r="J134" s="21">
        <f>[2]底表!AT134</f>
        <v>0</v>
      </c>
      <c r="K134" s="21">
        <f>[2]底表!AU134</f>
        <v>0</v>
      </c>
      <c r="L134" s="21" t="str">
        <f>[2]底表!AV134</f>
        <v>持平</v>
      </c>
      <c r="M134" s="21">
        <f>[2]底表!AW134</f>
        <v>0</v>
      </c>
      <c r="N134" s="21" t="str">
        <f>[2]底表!AX134</f>
        <v>持平</v>
      </c>
      <c r="O134" s="21">
        <f>[2]底表!AY134</f>
        <v>0</v>
      </c>
      <c r="P134" s="21">
        <f>[2]底表!AZ134</f>
        <v>0</v>
      </c>
      <c r="Q134" s="21" t="str">
        <f>[2]底表!BA134</f>
        <v>持平</v>
      </c>
      <c r="R134" s="21">
        <f>[2]底表!BB134</f>
        <v>0</v>
      </c>
      <c r="S134" s="21" t="str">
        <f>[2]底表!BC134</f>
        <v>持平</v>
      </c>
      <c r="T134" s="21" t="str">
        <f>[2]底表!BD134</f>
        <v/>
      </c>
      <c r="U134" s="21" t="str">
        <f>[2]底表!BE134</f>
        <v/>
      </c>
      <c r="V134" s="21">
        <f>[2]底表!BF134</f>
        <v>0</v>
      </c>
      <c r="W134" s="21">
        <f>[2]底表!BG134</f>
        <v>0</v>
      </c>
      <c r="X134" s="21" t="str">
        <f>[2]底表!BH134</f>
        <v>持平</v>
      </c>
      <c r="Y134" s="21">
        <f>[2]底表!BI134</f>
        <v>0</v>
      </c>
      <c r="Z134" s="21" t="str">
        <f>[2]底表!BJ134</f>
        <v>持平</v>
      </c>
      <c r="AA134" s="21" t="str">
        <f>[2]底表!BK134</f>
        <v/>
      </c>
      <c r="AB134" s="21">
        <f>[2]底表!BL134</f>
        <v>0</v>
      </c>
      <c r="AC134" s="21">
        <f>[2]底表!BM134</f>
        <v>0</v>
      </c>
      <c r="AD134" s="21" t="str">
        <f>[2]底表!BN134</f>
        <v>持平</v>
      </c>
      <c r="AE134" s="21">
        <f>[2]底表!BO134</f>
        <v>0</v>
      </c>
      <c r="AF134" s="21" t="str">
        <f>[2]底表!BP134</f>
        <v>持平</v>
      </c>
      <c r="AG134" s="21">
        <f>[2]底表!BT134</f>
        <v>0</v>
      </c>
      <c r="AH134" s="21" t="str">
        <f>[2]底表!BU134</f>
        <v>持平</v>
      </c>
      <c r="AI134" s="21" t="str">
        <f>[2]底表!BV134</f>
        <v/>
      </c>
      <c r="AJ134" s="21" t="str">
        <f>[2]底表!BW134</f>
        <v/>
      </c>
      <c r="AK134" s="21" t="str">
        <f>[2]底表!BX134</f>
        <v/>
      </c>
      <c r="AL134" s="21" t="str">
        <f>[2]底表!BY134</f>
        <v/>
      </c>
      <c r="AM134" s="21">
        <f>[2]底表!BZ134</f>
        <v>0</v>
      </c>
      <c r="AN134" s="21">
        <f>[2]底表!CA134</f>
        <v>0</v>
      </c>
      <c r="AO134" s="21" t="str">
        <f>[2]底表!CB134</f>
        <v>持平</v>
      </c>
      <c r="AP134" s="21">
        <f>[2]底表!CC134</f>
        <v>0</v>
      </c>
      <c r="AQ134" s="21" t="str">
        <f>[2]底表!CD134</f>
        <v>持平</v>
      </c>
      <c r="AR134" s="21" t="str">
        <f>[2]底表!CE134</f>
        <v/>
      </c>
      <c r="AS134" s="21" t="str">
        <f>[2]底表!CF134</f>
        <v/>
      </c>
      <c r="AT134" s="21">
        <f>[2]底表!CG134</f>
        <v>0</v>
      </c>
      <c r="AU134" s="21">
        <f>[2]底表!CH134</f>
        <v>1</v>
      </c>
      <c r="AV134" s="21" t="str">
        <f>[2]底表!CI134</f>
        <v>少1人</v>
      </c>
      <c r="AW134" s="21">
        <f>[2]底表!CJ134</f>
        <v>0</v>
      </c>
      <c r="AX134" s="21" t="str">
        <f>[2]底表!CK134</f>
        <v>持平</v>
      </c>
      <c r="AY134" s="21" t="str">
        <f>[2]底表!CL134</f>
        <v/>
      </c>
      <c r="AZ134" s="21" t="str">
        <f>[2]底表!CM134</f>
        <v/>
      </c>
      <c r="BA134" s="21" t="str">
        <f>[2]底表!CN134</f>
        <v/>
      </c>
      <c r="BB134" s="21">
        <f>[2]底表!CO134</f>
        <v>0</v>
      </c>
      <c r="BC134" s="21">
        <f>[2]底表!CP134</f>
        <v>1</v>
      </c>
      <c r="BD134" s="21" t="str">
        <f>[2]底表!CQ134</f>
        <v>少1人</v>
      </c>
      <c r="BE134" s="21">
        <f>[2]底表!CR134</f>
        <v>0</v>
      </c>
      <c r="BF134" s="21" t="str">
        <f>[2]底表!CS134</f>
        <v>持平</v>
      </c>
      <c r="BG134" s="21" t="str">
        <f>[2]底表!CT134</f>
        <v/>
      </c>
      <c r="BH134" s="21" t="str">
        <f>[2]底表!CU134</f>
        <v/>
      </c>
      <c r="BI134" s="21" t="str">
        <f>[2]底表!CV134</f>
        <v/>
      </c>
      <c r="BJ134" s="21" t="str">
        <f>[2]底表!CW134</f>
        <v/>
      </c>
      <c r="BK134" s="21" t="str">
        <f>[2]底表!CX134</f>
        <v/>
      </c>
      <c r="BL134" s="21">
        <f>[2]底表!CY134</f>
        <v>0</v>
      </c>
      <c r="BM134" s="21">
        <f>[2]底表!CZ134</f>
        <v>1</v>
      </c>
      <c r="BN134" s="23" t="str">
        <f>[2]底表!DA134</f>
        <v>少1人</v>
      </c>
      <c r="BO134" s="21">
        <f>[2]底表!DB134</f>
        <v>0</v>
      </c>
      <c r="BP134" s="21" t="str">
        <f>[2]底表!DC134</f>
        <v>持平</v>
      </c>
      <c r="BQ134" s="21" t="str">
        <f>[2]底表!DD134</f>
        <v/>
      </c>
      <c r="BR134" s="21" t="str">
        <f>[2]底表!DE134</f>
        <v/>
      </c>
      <c r="BS134" s="21" t="str">
        <f>[2]底表!DF134</f>
        <v/>
      </c>
      <c r="BT134" s="21" t="str">
        <f>[2]底表!DG134</f>
        <v/>
      </c>
      <c r="BU134" s="21" t="str">
        <f>[2]底表!DH134</f>
        <v/>
      </c>
      <c r="BV134" s="21">
        <f>[2]底表!DI134</f>
        <v>8</v>
      </c>
      <c r="BW134" s="21">
        <f>[2]底表!DJ134</f>
        <v>1</v>
      </c>
      <c r="BX134" s="23">
        <f>[2]底表!DK134</f>
        <v>7</v>
      </c>
      <c r="BY134" s="21">
        <f>[2]底表!DL134</f>
        <v>1</v>
      </c>
      <c r="BZ134" s="21">
        <f>[2]底表!DM134</f>
        <v>7</v>
      </c>
      <c r="CA134" s="21">
        <f>[2]底表!DN134</f>
        <v>0</v>
      </c>
      <c r="CB134" s="21">
        <f>[2]底表!DO134</f>
        <v>2</v>
      </c>
      <c r="CC134" s="21" t="str">
        <f>[2]底表!DP134</f>
        <v>少2人</v>
      </c>
      <c r="CD134" s="21">
        <f>[2]底表!DQ134</f>
        <v>0</v>
      </c>
      <c r="CE134" s="21" t="str">
        <f>[2]底表!DR134</f>
        <v>持平</v>
      </c>
      <c r="CF134" s="21">
        <f>[2]底表!DS134</f>
        <v>0</v>
      </c>
      <c r="CG134" s="21">
        <f>[2]底表!DT134</f>
        <v>2</v>
      </c>
      <c r="CH134" s="21" t="str">
        <f>[2]底表!DU134</f>
        <v>少2人</v>
      </c>
      <c r="CI134" s="21">
        <f>[2]底表!DV134</f>
        <v>0</v>
      </c>
      <c r="CJ134" s="21" t="str">
        <f>[2]底表!DW134</f>
        <v>持平</v>
      </c>
      <c r="CK134" s="21">
        <f>[2]底表!DX134</f>
        <v>0</v>
      </c>
      <c r="CL134" s="21">
        <f>[2]底表!DY134</f>
        <v>1</v>
      </c>
      <c r="CM134" s="21" t="str">
        <f>[2]底表!DZ134</f>
        <v>少1人</v>
      </c>
      <c r="CN134" s="21">
        <f>[2]底表!EA134</f>
        <v>0</v>
      </c>
      <c r="CO134" s="21" t="str">
        <f>[2]底表!EB134</f>
        <v>持平</v>
      </c>
      <c r="CP134" s="21">
        <f>[2]底表!EC134</f>
        <v>0</v>
      </c>
      <c r="CQ134" s="21">
        <f>[2]底表!ED134</f>
        <v>0</v>
      </c>
      <c r="CR134" s="21" t="str">
        <f>[2]底表!EE134</f>
        <v>持平</v>
      </c>
      <c r="CS134" s="21">
        <f>[2]底表!EF134</f>
        <v>0</v>
      </c>
      <c r="CT134" s="21" t="str">
        <f>[2]底表!EG134</f>
        <v>持平</v>
      </c>
      <c r="CU134" s="21" t="str">
        <f>[2]底表!EH134</f>
        <v/>
      </c>
      <c r="CV134" s="21" t="str">
        <f>[2]底表!EI134</f>
        <v/>
      </c>
      <c r="CW134" s="21" t="str">
        <f>[2]底表!EJ134</f>
        <v/>
      </c>
      <c r="CX134" s="21" t="str">
        <f>[2]底表!EK134</f>
        <v/>
      </c>
      <c r="CY134" s="21" t="str">
        <f>[2]底表!EL134</f>
        <v/>
      </c>
      <c r="CZ134" s="21">
        <f>[2]底表!EM134</f>
        <v>0</v>
      </c>
      <c r="DA134" s="21">
        <f>[2]底表!EN134</f>
        <v>0</v>
      </c>
      <c r="DB134" s="21" t="str">
        <f>[2]底表!EO134</f>
        <v>持平</v>
      </c>
      <c r="DC134" s="21">
        <f>[2]底表!EP134</f>
        <v>0</v>
      </c>
      <c r="DD134" s="21" t="str">
        <f>[2]底表!EQ134</f>
        <v>持平</v>
      </c>
      <c r="DE134" s="21">
        <f>[2]底表!ER134</f>
        <v>0</v>
      </c>
      <c r="DF134" s="21">
        <f>[2]底表!ES134</f>
        <v>0</v>
      </c>
      <c r="DG134" s="23" t="str">
        <f>[2]底表!ET134</f>
        <v>持平</v>
      </c>
      <c r="DH134" s="21">
        <f>[2]底表!EU134</f>
        <v>1</v>
      </c>
      <c r="DI134" s="21" t="str">
        <f>[2]底表!EV134</f>
        <v>少1人</v>
      </c>
      <c r="DJ134" s="21" t="str">
        <f>[2]底表!EW134</f>
        <v/>
      </c>
      <c r="DK134" s="21" t="str">
        <f>[2]底表!EX134</f>
        <v/>
      </c>
      <c r="DL134" s="21" t="str">
        <f>[2]底表!EY134</f>
        <v/>
      </c>
      <c r="DM134" s="21" t="str">
        <f>[2]底表!EZ134</f>
        <v/>
      </c>
      <c r="DN134" s="21" t="str">
        <f>[2]底表!FA134</f>
        <v/>
      </c>
      <c r="DO134" s="21">
        <f>[2]底表!BQ134</f>
        <v>0</v>
      </c>
      <c r="DP134" s="21">
        <f>[2]底表!BR134</f>
        <v>0</v>
      </c>
      <c r="DQ134" s="24" t="str">
        <f>[2]底表!BS134</f>
        <v>持平</v>
      </c>
    </row>
    <row r="135" s="2" customFormat="1" ht="32" hidden="1" customHeight="1" spans="1:121">
      <c r="A135" s="27" t="str">
        <f>[2]底表!A135</f>
        <v>帮助信息网络犯罪活动</v>
      </c>
      <c r="B135" s="28" t="str">
        <f>[2]底表!B135</f>
        <v>郁南县</v>
      </c>
      <c r="C135" s="21">
        <f>[2]底表!AM135</f>
        <v>1</v>
      </c>
      <c r="D135" s="21">
        <f>[2]底表!AN135</f>
        <v>0</v>
      </c>
      <c r="E135" s="23" t="str">
        <f>[2]底表!AO135</f>
        <v>多1起</v>
      </c>
      <c r="F135" s="21">
        <f>[2]底表!AP135</f>
        <v>0</v>
      </c>
      <c r="G135" s="21" t="str">
        <f>[2]底表!AQ135</f>
        <v>多1起</v>
      </c>
      <c r="H135" s="21">
        <f>[2]底表!AR135</f>
        <v>1</v>
      </c>
      <c r="I135" s="21" t="str">
        <f>[2]底表!AS135</f>
        <v/>
      </c>
      <c r="J135" s="21">
        <f>[2]底表!AT135</f>
        <v>1</v>
      </c>
      <c r="K135" s="21">
        <f>[2]底表!AU135</f>
        <v>0</v>
      </c>
      <c r="L135" s="21" t="str">
        <f>[2]底表!AV135</f>
        <v>多1起</v>
      </c>
      <c r="M135" s="21">
        <f>[2]底表!AW135</f>
        <v>0</v>
      </c>
      <c r="N135" s="21" t="str">
        <f>[2]底表!AX135</f>
        <v>多1起</v>
      </c>
      <c r="O135" s="21">
        <f>[2]底表!AY135</f>
        <v>1</v>
      </c>
      <c r="P135" s="21">
        <f>[2]底表!AZ135</f>
        <v>0</v>
      </c>
      <c r="Q135" s="21" t="str">
        <f>[2]底表!BA135</f>
        <v>多1起</v>
      </c>
      <c r="R135" s="21">
        <f>[2]底表!BB135</f>
        <v>0</v>
      </c>
      <c r="S135" s="21" t="str">
        <f>[2]底表!BC135</f>
        <v>多1起</v>
      </c>
      <c r="T135" s="21">
        <f>[2]底表!BD135</f>
        <v>1</v>
      </c>
      <c r="U135" s="21" t="str">
        <f>[2]底表!BE135</f>
        <v/>
      </c>
      <c r="V135" s="21">
        <f>[2]底表!BF135</f>
        <v>0</v>
      </c>
      <c r="W135" s="21">
        <f>[2]底表!BG135</f>
        <v>0</v>
      </c>
      <c r="X135" s="21" t="str">
        <f>[2]底表!BH135</f>
        <v>持平</v>
      </c>
      <c r="Y135" s="21">
        <f>[2]底表!BI135</f>
        <v>0</v>
      </c>
      <c r="Z135" s="21" t="str">
        <f>[2]底表!BJ135</f>
        <v>持平</v>
      </c>
      <c r="AA135" s="21">
        <f>[2]底表!BK135</f>
        <v>0</v>
      </c>
      <c r="AB135" s="21">
        <f>[2]底表!BL135</f>
        <v>0</v>
      </c>
      <c r="AC135" s="21">
        <f>[2]底表!BM135</f>
        <v>0</v>
      </c>
      <c r="AD135" s="21" t="str">
        <f>[2]底表!BN135</f>
        <v>持平</v>
      </c>
      <c r="AE135" s="21">
        <f>[2]底表!BO135</f>
        <v>0</v>
      </c>
      <c r="AF135" s="21" t="str">
        <f>[2]底表!BP135</f>
        <v>持平</v>
      </c>
      <c r="AG135" s="21">
        <f>[2]底表!BT135</f>
        <v>0</v>
      </c>
      <c r="AH135" s="21" t="str">
        <f>[2]底表!BU135</f>
        <v>持平</v>
      </c>
      <c r="AI135" s="21">
        <f>[2]底表!BV135</f>
        <v>0</v>
      </c>
      <c r="AJ135" s="21" t="str">
        <f>[2]底表!BW135</f>
        <v/>
      </c>
      <c r="AK135" s="21">
        <f>[2]底表!BX135</f>
        <v>0</v>
      </c>
      <c r="AL135" s="21" t="str">
        <f>[2]底表!BY135</f>
        <v/>
      </c>
      <c r="AM135" s="21">
        <f>[2]底表!BZ135</f>
        <v>0</v>
      </c>
      <c r="AN135" s="21">
        <f>[2]底表!CA135</f>
        <v>0</v>
      </c>
      <c r="AO135" s="21" t="str">
        <f>[2]底表!CB135</f>
        <v>持平</v>
      </c>
      <c r="AP135" s="21">
        <f>[2]底表!CC135</f>
        <v>0</v>
      </c>
      <c r="AQ135" s="21" t="str">
        <f>[2]底表!CD135</f>
        <v>持平</v>
      </c>
      <c r="AR135" s="21" t="str">
        <f>[2]底表!CE135</f>
        <v/>
      </c>
      <c r="AS135" s="21" t="str">
        <f>[2]底表!CF135</f>
        <v/>
      </c>
      <c r="AT135" s="21">
        <f>[2]底表!CG135</f>
        <v>9</v>
      </c>
      <c r="AU135" s="21">
        <f>[2]底表!CH135</f>
        <v>0</v>
      </c>
      <c r="AV135" s="21" t="str">
        <f>[2]底表!CI135</f>
        <v>多9人</v>
      </c>
      <c r="AW135" s="21">
        <f>[2]底表!CJ135</f>
        <v>0</v>
      </c>
      <c r="AX135" s="21" t="str">
        <f>[2]底表!CK135</f>
        <v>多9人</v>
      </c>
      <c r="AY135" s="21">
        <f>[2]底表!CL135</f>
        <v>900</v>
      </c>
      <c r="AZ135" s="21" t="str">
        <f>[2]底表!CM135</f>
        <v/>
      </c>
      <c r="BA135" s="21" t="str">
        <f>[2]底表!CN135</f>
        <v/>
      </c>
      <c r="BB135" s="21">
        <f>[2]底表!CO135</f>
        <v>11</v>
      </c>
      <c r="BC135" s="21">
        <f>[2]底表!CP135</f>
        <v>0</v>
      </c>
      <c r="BD135" s="21" t="str">
        <f>[2]底表!CQ135</f>
        <v>多11人</v>
      </c>
      <c r="BE135" s="21">
        <f>[2]底表!CR135</f>
        <v>0</v>
      </c>
      <c r="BF135" s="21" t="str">
        <f>[2]底表!CS135</f>
        <v>多11人</v>
      </c>
      <c r="BG135" s="21">
        <f>[2]底表!CT135</f>
        <v>1.2222</v>
      </c>
      <c r="BH135" s="21" t="str">
        <f>[2]底表!CU135</f>
        <v/>
      </c>
      <c r="BI135" s="21">
        <f>[2]底表!CV135</f>
        <v>1100</v>
      </c>
      <c r="BJ135" s="21" t="str">
        <f>[2]底表!CW135</f>
        <v/>
      </c>
      <c r="BK135" s="21" t="str">
        <f>[2]底表!CX135</f>
        <v/>
      </c>
      <c r="BL135" s="21">
        <f>[2]底表!CY135</f>
        <v>11</v>
      </c>
      <c r="BM135" s="21">
        <f>[2]底表!CZ135</f>
        <v>0</v>
      </c>
      <c r="BN135" s="23" t="str">
        <f>[2]底表!DA135</f>
        <v>多11人</v>
      </c>
      <c r="BO135" s="21">
        <f>[2]底表!DB135</f>
        <v>0</v>
      </c>
      <c r="BP135" s="21" t="str">
        <f>[2]底表!DC135</f>
        <v>多11人</v>
      </c>
      <c r="BQ135" s="21">
        <f>[2]底表!DD135</f>
        <v>1.2222</v>
      </c>
      <c r="BR135" s="21" t="str">
        <f>[2]底表!DE135</f>
        <v/>
      </c>
      <c r="BS135" s="21">
        <f>[2]底表!DF135</f>
        <v>1100</v>
      </c>
      <c r="BT135" s="21" t="str">
        <f>[2]底表!DG135</f>
        <v/>
      </c>
      <c r="BU135" s="21" t="str">
        <f>[2]底表!DH135</f>
        <v/>
      </c>
      <c r="BV135" s="21">
        <f>[2]底表!DI135</f>
        <v>0</v>
      </c>
      <c r="BW135" s="21">
        <f>[2]底表!DJ135</f>
        <v>0</v>
      </c>
      <c r="BX135" s="23" t="str">
        <f>[2]底表!DK135</f>
        <v>持平</v>
      </c>
      <c r="BY135" s="21">
        <f>[2]底表!DL135</f>
        <v>0</v>
      </c>
      <c r="BZ135" s="21" t="str">
        <f>[2]底表!DM135</f>
        <v>持平</v>
      </c>
      <c r="CA135" s="21">
        <f>[2]底表!DN135</f>
        <v>0</v>
      </c>
      <c r="CB135" s="21">
        <f>[2]底表!DO135</f>
        <v>0</v>
      </c>
      <c r="CC135" s="21" t="str">
        <f>[2]底表!DP135</f>
        <v>持平</v>
      </c>
      <c r="CD135" s="21">
        <f>[2]底表!DQ135</f>
        <v>0</v>
      </c>
      <c r="CE135" s="21" t="str">
        <f>[2]底表!DR135</f>
        <v>持平</v>
      </c>
      <c r="CF135" s="21">
        <f>[2]底表!DS135</f>
        <v>0</v>
      </c>
      <c r="CG135" s="21">
        <f>[2]底表!DT135</f>
        <v>0</v>
      </c>
      <c r="CH135" s="21" t="str">
        <f>[2]底表!DU135</f>
        <v>持平</v>
      </c>
      <c r="CI135" s="21">
        <f>[2]底表!DV135</f>
        <v>0</v>
      </c>
      <c r="CJ135" s="21" t="str">
        <f>[2]底表!DW135</f>
        <v>持平</v>
      </c>
      <c r="CK135" s="21">
        <f>[2]底表!DX135</f>
        <v>0</v>
      </c>
      <c r="CL135" s="21">
        <f>[2]底表!DY135</f>
        <v>0</v>
      </c>
      <c r="CM135" s="21" t="str">
        <f>[2]底表!DZ135</f>
        <v>持平</v>
      </c>
      <c r="CN135" s="21">
        <f>[2]底表!EA135</f>
        <v>0</v>
      </c>
      <c r="CO135" s="21" t="str">
        <f>[2]底表!EB135</f>
        <v>持平</v>
      </c>
      <c r="CP135" s="21">
        <f>[2]底表!EC135</f>
        <v>0</v>
      </c>
      <c r="CQ135" s="21">
        <f>[2]底表!ED135</f>
        <v>0</v>
      </c>
      <c r="CR135" s="21" t="str">
        <f>[2]底表!EE135</f>
        <v>持平</v>
      </c>
      <c r="CS135" s="21">
        <f>[2]底表!EF135</f>
        <v>0</v>
      </c>
      <c r="CT135" s="21" t="str">
        <f>[2]底表!EG135</f>
        <v>持平</v>
      </c>
      <c r="CU135" s="21">
        <f>[2]底表!EH135</f>
        <v>0</v>
      </c>
      <c r="CV135" s="21" t="str">
        <f>[2]底表!EI135</f>
        <v/>
      </c>
      <c r="CW135" s="21">
        <f>[2]底表!EJ135</f>
        <v>0</v>
      </c>
      <c r="CX135" s="21" t="str">
        <f>[2]底表!EK135</f>
        <v/>
      </c>
      <c r="CY135" s="21" t="str">
        <f>[2]底表!EL135</f>
        <v/>
      </c>
      <c r="CZ135" s="21">
        <f>[2]底表!EM135</f>
        <v>0</v>
      </c>
      <c r="DA135" s="21">
        <f>[2]底表!EN135</f>
        <v>0</v>
      </c>
      <c r="DB135" s="21" t="str">
        <f>[2]底表!EO135</f>
        <v>持平</v>
      </c>
      <c r="DC135" s="21">
        <f>[2]底表!EP135</f>
        <v>0</v>
      </c>
      <c r="DD135" s="21" t="str">
        <f>[2]底表!EQ135</f>
        <v>持平</v>
      </c>
      <c r="DE135" s="21">
        <f>[2]底表!ER135</f>
        <v>0</v>
      </c>
      <c r="DF135" s="21">
        <f>[2]底表!ES135</f>
        <v>0</v>
      </c>
      <c r="DG135" s="23" t="str">
        <f>[2]底表!ET135</f>
        <v>持平</v>
      </c>
      <c r="DH135" s="21">
        <f>[2]底表!EU135</f>
        <v>0</v>
      </c>
      <c r="DI135" s="21" t="str">
        <f>[2]底表!EV135</f>
        <v>持平</v>
      </c>
      <c r="DJ135" s="21">
        <f>[2]底表!EW135</f>
        <v>0</v>
      </c>
      <c r="DK135" s="21" t="str">
        <f>[2]底表!EX135</f>
        <v/>
      </c>
      <c r="DL135" s="21">
        <f>[2]底表!EY135</f>
        <v>0</v>
      </c>
      <c r="DM135" s="21" t="str">
        <f>[2]底表!EZ135</f>
        <v/>
      </c>
      <c r="DN135" s="21" t="str">
        <f>[2]底表!FA135</f>
        <v/>
      </c>
      <c r="DO135" s="21">
        <f>[2]底表!BQ135</f>
        <v>0</v>
      </c>
      <c r="DP135" s="21">
        <f>[2]底表!BR135</f>
        <v>0</v>
      </c>
      <c r="DQ135" s="24" t="str">
        <f>[2]底表!BS135</f>
        <v>持平</v>
      </c>
    </row>
    <row r="136" s="2" customFormat="1" ht="32" hidden="1" customHeight="1" spans="1:121">
      <c r="A136" s="27" t="str">
        <f>[2]底表!A136</f>
        <v>帮助信息网络犯罪活动</v>
      </c>
      <c r="B136" s="28" t="str">
        <f>[2]底表!B136</f>
        <v>罗定市</v>
      </c>
      <c r="C136" s="21">
        <f>[2]底表!AM136</f>
        <v>0</v>
      </c>
      <c r="D136" s="21">
        <f>[2]底表!AN136</f>
        <v>0</v>
      </c>
      <c r="E136" s="23" t="str">
        <f>[2]底表!AO136</f>
        <v>持平</v>
      </c>
      <c r="F136" s="21">
        <f>[2]底表!AP136</f>
        <v>2</v>
      </c>
      <c r="G136" s="21" t="str">
        <f>[2]底表!AQ136</f>
        <v>少2起</v>
      </c>
      <c r="H136" s="21" t="str">
        <f>[2]底表!AR136</f>
        <v/>
      </c>
      <c r="I136" s="21" t="str">
        <f>[2]底表!AS136</f>
        <v/>
      </c>
      <c r="J136" s="21">
        <f>[2]底表!AT136</f>
        <v>0</v>
      </c>
      <c r="K136" s="21">
        <f>[2]底表!AU136</f>
        <v>0</v>
      </c>
      <c r="L136" s="21" t="str">
        <f>[2]底表!AV136</f>
        <v>持平</v>
      </c>
      <c r="M136" s="21">
        <f>[2]底表!AW136</f>
        <v>0</v>
      </c>
      <c r="N136" s="21" t="str">
        <f>[2]底表!AX136</f>
        <v>持平</v>
      </c>
      <c r="O136" s="21">
        <f>[2]底表!AY136</f>
        <v>0</v>
      </c>
      <c r="P136" s="21">
        <f>[2]底表!AZ136</f>
        <v>0</v>
      </c>
      <c r="Q136" s="21" t="str">
        <f>[2]底表!BA136</f>
        <v>持平</v>
      </c>
      <c r="R136" s="21">
        <f>[2]底表!BB136</f>
        <v>1</v>
      </c>
      <c r="S136" s="21" t="str">
        <f>[2]底表!BC136</f>
        <v>少1起</v>
      </c>
      <c r="T136" s="21" t="str">
        <f>[2]底表!BD136</f>
        <v/>
      </c>
      <c r="U136" s="21" t="str">
        <f>[2]底表!BE136</f>
        <v/>
      </c>
      <c r="V136" s="21">
        <f>[2]底表!BF136</f>
        <v>0</v>
      </c>
      <c r="W136" s="21">
        <f>[2]底表!BG136</f>
        <v>0</v>
      </c>
      <c r="X136" s="21" t="str">
        <f>[2]底表!BH136</f>
        <v>持平</v>
      </c>
      <c r="Y136" s="21">
        <f>[2]底表!BI136</f>
        <v>0</v>
      </c>
      <c r="Z136" s="21" t="str">
        <f>[2]底表!BJ136</f>
        <v>持平</v>
      </c>
      <c r="AA136" s="21" t="str">
        <f>[2]底表!BK136</f>
        <v/>
      </c>
      <c r="AB136" s="21">
        <f>[2]底表!BL136</f>
        <v>0</v>
      </c>
      <c r="AC136" s="21">
        <f>[2]底表!BM136</f>
        <v>0</v>
      </c>
      <c r="AD136" s="21" t="str">
        <f>[2]底表!BN136</f>
        <v>持平</v>
      </c>
      <c r="AE136" s="21">
        <f>[2]底表!BO136</f>
        <v>1</v>
      </c>
      <c r="AF136" s="21" t="str">
        <f>[2]底表!BP136</f>
        <v>少1起</v>
      </c>
      <c r="AG136" s="21">
        <f>[2]底表!BT136</f>
        <v>0</v>
      </c>
      <c r="AH136" s="21" t="str">
        <f>[2]底表!BU136</f>
        <v>持平</v>
      </c>
      <c r="AI136" s="21" t="str">
        <f>[2]底表!BV136</f>
        <v/>
      </c>
      <c r="AJ136" s="21" t="str">
        <f>[2]底表!BW136</f>
        <v/>
      </c>
      <c r="AK136" s="21" t="str">
        <f>[2]底表!BX136</f>
        <v/>
      </c>
      <c r="AL136" s="21" t="str">
        <f>[2]底表!BY136</f>
        <v/>
      </c>
      <c r="AM136" s="21">
        <f>[2]底表!BZ136</f>
        <v>0</v>
      </c>
      <c r="AN136" s="21">
        <f>[2]底表!CA136</f>
        <v>0</v>
      </c>
      <c r="AO136" s="21" t="str">
        <f>[2]底表!CB136</f>
        <v>持平</v>
      </c>
      <c r="AP136" s="21">
        <f>[2]底表!CC136</f>
        <v>0</v>
      </c>
      <c r="AQ136" s="21" t="str">
        <f>[2]底表!CD136</f>
        <v>持平</v>
      </c>
      <c r="AR136" s="21" t="str">
        <f>[2]底表!CE136</f>
        <v/>
      </c>
      <c r="AS136" s="21" t="str">
        <f>[2]底表!CF136</f>
        <v/>
      </c>
      <c r="AT136" s="21">
        <f>[2]底表!CG136</f>
        <v>0</v>
      </c>
      <c r="AU136" s="21">
        <f>[2]底表!CH136</f>
        <v>0</v>
      </c>
      <c r="AV136" s="21" t="str">
        <f>[2]底表!CI136</f>
        <v>持平</v>
      </c>
      <c r="AW136" s="21">
        <f>[2]底表!CJ136</f>
        <v>1</v>
      </c>
      <c r="AX136" s="21" t="str">
        <f>[2]底表!CK136</f>
        <v>少1人</v>
      </c>
      <c r="AY136" s="21" t="str">
        <f>[2]底表!CL136</f>
        <v/>
      </c>
      <c r="AZ136" s="21" t="str">
        <f>[2]底表!CM136</f>
        <v/>
      </c>
      <c r="BA136" s="21" t="str">
        <f>[2]底表!CN136</f>
        <v/>
      </c>
      <c r="BB136" s="21">
        <f>[2]底表!CO136</f>
        <v>0</v>
      </c>
      <c r="BC136" s="21">
        <f>[2]底表!CP136</f>
        <v>0</v>
      </c>
      <c r="BD136" s="21" t="str">
        <f>[2]底表!CQ136</f>
        <v>持平</v>
      </c>
      <c r="BE136" s="21">
        <f>[2]底表!CR136</f>
        <v>0</v>
      </c>
      <c r="BF136" s="21" t="str">
        <f>[2]底表!CS136</f>
        <v>持平</v>
      </c>
      <c r="BG136" s="21" t="str">
        <f>[2]底表!CT136</f>
        <v/>
      </c>
      <c r="BH136" s="21" t="str">
        <f>[2]底表!CU136</f>
        <v/>
      </c>
      <c r="BI136" s="21" t="str">
        <f>[2]底表!CV136</f>
        <v/>
      </c>
      <c r="BJ136" s="21" t="str">
        <f>[2]底表!CW136</f>
        <v/>
      </c>
      <c r="BK136" s="21" t="str">
        <f>[2]底表!CX136</f>
        <v/>
      </c>
      <c r="BL136" s="21">
        <f>[2]底表!CY136</f>
        <v>0</v>
      </c>
      <c r="BM136" s="21">
        <f>[2]底表!CZ136</f>
        <v>0</v>
      </c>
      <c r="BN136" s="23" t="str">
        <f>[2]底表!DA136</f>
        <v>持平</v>
      </c>
      <c r="BO136" s="21">
        <f>[2]底表!DB136</f>
        <v>0</v>
      </c>
      <c r="BP136" s="21" t="str">
        <f>[2]底表!DC136</f>
        <v>持平</v>
      </c>
      <c r="BQ136" s="21" t="str">
        <f>[2]底表!DD136</f>
        <v/>
      </c>
      <c r="BR136" s="21" t="str">
        <f>[2]底表!DE136</f>
        <v/>
      </c>
      <c r="BS136" s="21" t="str">
        <f>[2]底表!DF136</f>
        <v/>
      </c>
      <c r="BT136" s="21" t="str">
        <f>[2]底表!DG136</f>
        <v/>
      </c>
      <c r="BU136" s="21" t="str">
        <f>[2]底表!DH136</f>
        <v/>
      </c>
      <c r="BV136" s="21">
        <f>[2]底表!DI136</f>
        <v>0</v>
      </c>
      <c r="BW136" s="21">
        <f>[2]底表!DJ136</f>
        <v>0</v>
      </c>
      <c r="BX136" s="23" t="str">
        <f>[2]底表!DK136</f>
        <v>持平</v>
      </c>
      <c r="BY136" s="21">
        <f>[2]底表!DL136</f>
        <v>2</v>
      </c>
      <c r="BZ136" s="21" t="str">
        <f>[2]底表!DM136</f>
        <v>少2人</v>
      </c>
      <c r="CA136" s="21">
        <f>[2]底表!DN136</f>
        <v>0</v>
      </c>
      <c r="CB136" s="21">
        <f>[2]底表!DO136</f>
        <v>0</v>
      </c>
      <c r="CC136" s="21" t="str">
        <f>[2]底表!DP136</f>
        <v>持平</v>
      </c>
      <c r="CD136" s="21">
        <f>[2]底表!DQ136</f>
        <v>0</v>
      </c>
      <c r="CE136" s="21" t="str">
        <f>[2]底表!DR136</f>
        <v>持平</v>
      </c>
      <c r="CF136" s="21">
        <f>[2]底表!DS136</f>
        <v>0</v>
      </c>
      <c r="CG136" s="21">
        <f>[2]底表!DT136</f>
        <v>0</v>
      </c>
      <c r="CH136" s="21" t="str">
        <f>[2]底表!DU136</f>
        <v>持平</v>
      </c>
      <c r="CI136" s="21">
        <f>[2]底表!DV136</f>
        <v>0</v>
      </c>
      <c r="CJ136" s="21" t="str">
        <f>[2]底表!DW136</f>
        <v>持平</v>
      </c>
      <c r="CK136" s="21">
        <f>[2]底表!DX136</f>
        <v>0</v>
      </c>
      <c r="CL136" s="21">
        <f>[2]底表!DY136</f>
        <v>0</v>
      </c>
      <c r="CM136" s="21" t="str">
        <f>[2]底表!DZ136</f>
        <v>持平</v>
      </c>
      <c r="CN136" s="21">
        <f>[2]底表!EA136</f>
        <v>0</v>
      </c>
      <c r="CO136" s="21" t="str">
        <f>[2]底表!EB136</f>
        <v>持平</v>
      </c>
      <c r="CP136" s="21">
        <f>[2]底表!EC136</f>
        <v>0</v>
      </c>
      <c r="CQ136" s="21">
        <f>[2]底表!ED136</f>
        <v>0</v>
      </c>
      <c r="CR136" s="21" t="str">
        <f>[2]底表!EE136</f>
        <v>持平</v>
      </c>
      <c r="CS136" s="21">
        <f>[2]底表!EF136</f>
        <v>0</v>
      </c>
      <c r="CT136" s="21" t="str">
        <f>[2]底表!EG136</f>
        <v>持平</v>
      </c>
      <c r="CU136" s="21" t="str">
        <f>[2]底表!EH136</f>
        <v/>
      </c>
      <c r="CV136" s="21" t="str">
        <f>[2]底表!EI136</f>
        <v/>
      </c>
      <c r="CW136" s="21" t="str">
        <f>[2]底表!EJ136</f>
        <v/>
      </c>
      <c r="CX136" s="21" t="str">
        <f>[2]底表!EK136</f>
        <v/>
      </c>
      <c r="CY136" s="21" t="str">
        <f>[2]底表!EL136</f>
        <v/>
      </c>
      <c r="CZ136" s="21">
        <f>[2]底表!EM136</f>
        <v>0</v>
      </c>
      <c r="DA136" s="21">
        <f>[2]底表!EN136</f>
        <v>0</v>
      </c>
      <c r="DB136" s="21" t="str">
        <f>[2]底表!EO136</f>
        <v>持平</v>
      </c>
      <c r="DC136" s="21">
        <f>[2]底表!EP136</f>
        <v>0</v>
      </c>
      <c r="DD136" s="21" t="str">
        <f>[2]底表!EQ136</f>
        <v>持平</v>
      </c>
      <c r="DE136" s="21">
        <f>[2]底表!ER136</f>
        <v>0</v>
      </c>
      <c r="DF136" s="21">
        <f>[2]底表!ES136</f>
        <v>0</v>
      </c>
      <c r="DG136" s="23" t="str">
        <f>[2]底表!ET136</f>
        <v>持平</v>
      </c>
      <c r="DH136" s="21">
        <f>[2]底表!EU136</f>
        <v>0</v>
      </c>
      <c r="DI136" s="21" t="str">
        <f>[2]底表!EV136</f>
        <v>持平</v>
      </c>
      <c r="DJ136" s="21" t="str">
        <f>[2]底表!EW136</f>
        <v/>
      </c>
      <c r="DK136" s="21" t="str">
        <f>[2]底表!EX136</f>
        <v/>
      </c>
      <c r="DL136" s="21" t="str">
        <f>[2]底表!EY136</f>
        <v/>
      </c>
      <c r="DM136" s="21" t="str">
        <f>[2]底表!EZ136</f>
        <v/>
      </c>
      <c r="DN136" s="21" t="str">
        <f>[2]底表!FA136</f>
        <v/>
      </c>
      <c r="DO136" s="21">
        <f>[2]底表!BQ136</f>
        <v>0</v>
      </c>
      <c r="DP136" s="21">
        <f>[2]底表!BR136</f>
        <v>0</v>
      </c>
      <c r="DQ136" s="24" t="str">
        <f>[2]底表!BS136</f>
        <v>持平</v>
      </c>
    </row>
    <row r="137" s="2" customFormat="1" ht="32" hidden="1" customHeight="1" spans="1:121">
      <c r="A137" s="27" t="str">
        <f>[2]底表!A137</f>
        <v>掩饰隐瞒犯罪所得及所得收益</v>
      </c>
      <c r="B137" s="28" t="str">
        <f>[2]底表!B137</f>
        <v>全省</v>
      </c>
      <c r="C137" s="21">
        <f>[2]底表!AM137</f>
        <v>377</v>
      </c>
      <c r="D137" s="21">
        <f>[2]底表!AN137</f>
        <v>423</v>
      </c>
      <c r="E137" s="23">
        <f>[2]底表!AO137</f>
        <v>-0.1087</v>
      </c>
      <c r="F137" s="21">
        <f>[2]底表!AP137</f>
        <v>566</v>
      </c>
      <c r="G137" s="21">
        <f>[2]底表!AQ137</f>
        <v>-0.3339</v>
      </c>
      <c r="H137" s="21">
        <f>[2]底表!AR137</f>
        <v>0.8913</v>
      </c>
      <c r="I137" s="21">
        <f>[2]底表!AS137</f>
        <v>0.2209</v>
      </c>
      <c r="J137" s="21">
        <f>[2]底表!AT137</f>
        <v>259</v>
      </c>
      <c r="K137" s="21">
        <f>[2]底表!AU137</f>
        <v>354</v>
      </c>
      <c r="L137" s="21">
        <f>[2]底表!AV137</f>
        <v>-0.2684</v>
      </c>
      <c r="M137" s="21">
        <f>[2]底表!AW137</f>
        <v>660</v>
      </c>
      <c r="N137" s="21">
        <f>[2]底表!AX137</f>
        <v>-0.6076</v>
      </c>
      <c r="O137" s="21">
        <f>[2]底表!AY137</f>
        <v>167</v>
      </c>
      <c r="P137" s="21">
        <f>[2]底表!AZ137</f>
        <v>199</v>
      </c>
      <c r="Q137" s="21">
        <f>[2]底表!BA137</f>
        <v>-0.1608</v>
      </c>
      <c r="R137" s="21">
        <f>[2]底表!BB137</f>
        <v>391</v>
      </c>
      <c r="S137" s="21">
        <f>[2]底表!BC137</f>
        <v>-0.5729</v>
      </c>
      <c r="T137" s="21">
        <f>[2]底表!BD137</f>
        <v>0.6448</v>
      </c>
      <c r="U137" s="21">
        <f>[2]底表!BE137</f>
        <v>0.0826</v>
      </c>
      <c r="V137" s="21">
        <f>[2]底表!BF137</f>
        <v>164</v>
      </c>
      <c r="W137" s="21">
        <f>[2]底表!BG137</f>
        <v>277</v>
      </c>
      <c r="X137" s="21">
        <f>[2]底表!BH137</f>
        <v>-0.4079</v>
      </c>
      <c r="Y137" s="21">
        <f>[2]底表!BI137</f>
        <v>31</v>
      </c>
      <c r="Z137" s="21">
        <f>[2]底表!BJ137</f>
        <v>4.2903</v>
      </c>
      <c r="AA137" s="21">
        <f>[2]底表!BK137</f>
        <v>0.3877</v>
      </c>
      <c r="AB137" s="21">
        <f>[2]底表!BL137</f>
        <v>210</v>
      </c>
      <c r="AC137" s="21">
        <f>[2]底表!BM137</f>
        <v>224</v>
      </c>
      <c r="AD137" s="21">
        <f>[2]底表!BN137</f>
        <v>-0.0625</v>
      </c>
      <c r="AE137" s="21">
        <f>[2]底表!BO137</f>
        <v>175</v>
      </c>
      <c r="AF137" s="21">
        <f>[2]底表!BP137</f>
        <v>0.2</v>
      </c>
      <c r="AG137" s="21">
        <f>[2]底表!BT137</f>
        <v>288</v>
      </c>
      <c r="AH137" s="21">
        <f>[2]底表!BU137</f>
        <v>-0.4757</v>
      </c>
      <c r="AI137" s="21">
        <f>[2]底表!BV137</f>
        <v>0.357</v>
      </c>
      <c r="AJ137" s="21">
        <f>[2]底表!BW137</f>
        <v>0.0004</v>
      </c>
      <c r="AK137" s="21">
        <f>[2]底表!BX137</f>
        <v>0.583</v>
      </c>
      <c r="AL137" s="21">
        <f>[2]底表!BY137</f>
        <v>-0.0526</v>
      </c>
      <c r="AM137" s="21">
        <f>[2]底表!BZ137</f>
        <v>0</v>
      </c>
      <c r="AN137" s="21">
        <f>[2]底表!CA137</f>
        <v>1</v>
      </c>
      <c r="AO137" s="21" t="str">
        <f>[2]底表!CB137</f>
        <v>少1起</v>
      </c>
      <c r="AP137" s="21">
        <f>[2]底表!CC137</f>
        <v>19</v>
      </c>
      <c r="AQ137" s="21" t="str">
        <f>[2]底表!CD137</f>
        <v>少19起</v>
      </c>
      <c r="AR137" s="21" t="str">
        <f>[2]底表!CE137</f>
        <v/>
      </c>
      <c r="AS137" s="21" t="str">
        <f>[2]底表!CF137</f>
        <v/>
      </c>
      <c r="AT137" s="21">
        <f>[2]底表!CG137</f>
        <v>741</v>
      </c>
      <c r="AU137" s="21">
        <f>[2]底表!CH137</f>
        <v>758</v>
      </c>
      <c r="AV137" s="21">
        <f>[2]底表!CI137</f>
        <v>-0.0224</v>
      </c>
      <c r="AW137" s="21">
        <f>[2]底表!CJ137</f>
        <v>628</v>
      </c>
      <c r="AX137" s="21">
        <f>[2]底表!CK137</f>
        <v>0.1799</v>
      </c>
      <c r="AY137" s="21">
        <f>[2]底表!CL137</f>
        <v>175</v>
      </c>
      <c r="AZ137" s="21">
        <f>[2]底表!CM137</f>
        <v>55</v>
      </c>
      <c r="BA137" s="21">
        <f>[2]底表!CN137</f>
        <v>0.4583</v>
      </c>
      <c r="BB137" s="21">
        <f>[2]底表!CO137</f>
        <v>798</v>
      </c>
      <c r="BC137" s="21">
        <f>[2]底表!CP137</f>
        <v>616</v>
      </c>
      <c r="BD137" s="21">
        <f>[2]底表!CQ137</f>
        <v>0.2955</v>
      </c>
      <c r="BE137" s="21">
        <f>[2]底表!CR137</f>
        <v>571</v>
      </c>
      <c r="BF137" s="21">
        <f>[2]底表!CS137</f>
        <v>0.3975</v>
      </c>
      <c r="BG137" s="21">
        <f>[2]底表!CT137</f>
        <v>1.0769</v>
      </c>
      <c r="BH137" s="21">
        <f>[2]底表!CU137</f>
        <v>0.2643</v>
      </c>
      <c r="BI137" s="21">
        <f>[2]底表!CV137</f>
        <v>189</v>
      </c>
      <c r="BJ137" s="21">
        <f>[2]底表!CW137</f>
        <v>91</v>
      </c>
      <c r="BK137" s="21">
        <f>[2]底表!CX137</f>
        <v>0.9325</v>
      </c>
      <c r="BL137" s="21">
        <f>[2]底表!CY137</f>
        <v>851</v>
      </c>
      <c r="BM137" s="21">
        <f>[2]底表!CZ137</f>
        <v>716</v>
      </c>
      <c r="BN137" s="23">
        <f>[2]底表!DA137</f>
        <v>0.1885</v>
      </c>
      <c r="BO137" s="21">
        <f>[2]底表!DB137</f>
        <v>639</v>
      </c>
      <c r="BP137" s="21">
        <f>[2]底表!DC137</f>
        <v>0.3318</v>
      </c>
      <c r="BQ137" s="21">
        <f>[2]底表!DD137</f>
        <v>1.1484</v>
      </c>
      <c r="BR137" s="21">
        <f>[2]底表!DE137</f>
        <v>0.2039</v>
      </c>
      <c r="BS137" s="21">
        <f>[2]底表!DF137</f>
        <v>201</v>
      </c>
      <c r="BT137" s="21">
        <f>[2]底表!DG137</f>
        <v>88</v>
      </c>
      <c r="BU137" s="21">
        <f>[2]底表!DH137</f>
        <v>0.773</v>
      </c>
      <c r="BV137" s="21">
        <f>[2]底表!DI137</f>
        <v>2153</v>
      </c>
      <c r="BW137" s="21">
        <f>[2]底表!DJ137</f>
        <v>1285</v>
      </c>
      <c r="BX137" s="23">
        <f>[2]底表!DK137</f>
        <v>0.6755</v>
      </c>
      <c r="BY137" s="21">
        <f>[2]底表!DL137</f>
        <v>1675</v>
      </c>
      <c r="BZ137" s="21">
        <f>[2]底表!DM137</f>
        <v>0.2854</v>
      </c>
      <c r="CA137" s="21">
        <f>[2]底表!DN137</f>
        <v>471</v>
      </c>
      <c r="CB137" s="21">
        <f>[2]底表!DO137</f>
        <v>673</v>
      </c>
      <c r="CC137" s="21">
        <f>[2]底表!DP137</f>
        <v>-0.3001</v>
      </c>
      <c r="CD137" s="21">
        <f>[2]底表!DQ137</f>
        <v>493</v>
      </c>
      <c r="CE137" s="21">
        <f>[2]底表!DR137</f>
        <v>-0.0446</v>
      </c>
      <c r="CF137" s="21">
        <f>[2]底表!DS137</f>
        <v>472</v>
      </c>
      <c r="CG137" s="21">
        <f>[2]底表!DT137</f>
        <v>674</v>
      </c>
      <c r="CH137" s="21">
        <f>[2]底表!DU137</f>
        <v>-0.2997</v>
      </c>
      <c r="CI137" s="21">
        <f>[2]底表!DV137</f>
        <v>493</v>
      </c>
      <c r="CJ137" s="21">
        <f>[2]底表!DW137</f>
        <v>-0.0426</v>
      </c>
      <c r="CK137" s="21">
        <f>[2]底表!DX137</f>
        <v>340</v>
      </c>
      <c r="CL137" s="21">
        <f>[2]底表!DY137</f>
        <v>681</v>
      </c>
      <c r="CM137" s="21">
        <f>[2]底表!DZ137</f>
        <v>-0.5007</v>
      </c>
      <c r="CN137" s="21">
        <f>[2]底表!EA137</f>
        <v>334</v>
      </c>
      <c r="CO137" s="21">
        <f>[2]底表!EB137</f>
        <v>0.018</v>
      </c>
      <c r="CP137" s="21">
        <f>[2]底表!EC137</f>
        <v>151</v>
      </c>
      <c r="CQ137" s="21">
        <f>[2]底表!ED137</f>
        <v>424</v>
      </c>
      <c r="CR137" s="21">
        <f>[2]底表!EE137</f>
        <v>-0.6439</v>
      </c>
      <c r="CS137" s="21">
        <f>[2]底表!EF137</f>
        <v>156</v>
      </c>
      <c r="CT137" s="21">
        <f>[2]底表!EG137</f>
        <v>-0.0321</v>
      </c>
      <c r="CU137" s="21">
        <f>[2]底表!EH137</f>
        <v>0.1892</v>
      </c>
      <c r="CV137" s="21">
        <f>[2]底表!EI137</f>
        <v>-0.4991</v>
      </c>
      <c r="CW137" s="21">
        <f>[2]底表!EJ137</f>
        <v>36</v>
      </c>
      <c r="CX137" s="21">
        <f>[2]底表!EK137</f>
        <v>-31</v>
      </c>
      <c r="CY137" s="21">
        <f>[2]底表!EL137</f>
        <v>-0.4687</v>
      </c>
      <c r="CZ137" s="21">
        <f>[2]底表!EM137</f>
        <v>155</v>
      </c>
      <c r="DA137" s="21">
        <f>[2]底表!EN137</f>
        <v>426</v>
      </c>
      <c r="DB137" s="21">
        <f>[2]底表!EO137</f>
        <v>-0.6362</v>
      </c>
      <c r="DC137" s="21">
        <f>[2]底表!EP137</f>
        <v>156</v>
      </c>
      <c r="DD137" s="21">
        <f>[2]底表!EQ137</f>
        <v>-0.0064</v>
      </c>
      <c r="DE137" s="21">
        <f>[2]底表!ER137</f>
        <v>312</v>
      </c>
      <c r="DF137" s="21">
        <f>[2]底表!ES137</f>
        <v>374</v>
      </c>
      <c r="DG137" s="23">
        <f>[2]底表!ET137</f>
        <v>-0.1658</v>
      </c>
      <c r="DH137" s="21">
        <f>[2]底表!EU137</f>
        <v>515</v>
      </c>
      <c r="DI137" s="21">
        <f>[2]底表!EV137</f>
        <v>-0.3942</v>
      </c>
      <c r="DJ137" s="21">
        <f>[2]底表!EW137</f>
        <v>0.391</v>
      </c>
      <c r="DK137" s="21">
        <f>[2]底表!EX137</f>
        <v>-0.2162</v>
      </c>
      <c r="DL137" s="21">
        <f>[2]底表!EY137</f>
        <v>74</v>
      </c>
      <c r="DM137" s="21">
        <f>[2]底表!EZ137</f>
        <v>14</v>
      </c>
      <c r="DN137" s="21">
        <f>[2]底表!FA137</f>
        <v>0.2444</v>
      </c>
      <c r="DO137" s="21">
        <f>[2]底表!BQ137</f>
        <v>151</v>
      </c>
      <c r="DP137" s="21">
        <f>[2]底表!BR137</f>
        <v>225</v>
      </c>
      <c r="DQ137" s="24">
        <f>[2]底表!BS137</f>
        <v>-0.3289</v>
      </c>
    </row>
    <row r="138" s="2" customFormat="1" ht="32" hidden="1" customHeight="1" spans="1:121">
      <c r="A138" s="27" t="str">
        <f>[2]底表!A138</f>
        <v>掩饰隐瞒犯罪所得及所得收益</v>
      </c>
      <c r="B138" s="28" t="str">
        <f>[2]底表!B138</f>
        <v>云浮</v>
      </c>
      <c r="C138" s="21">
        <f>[2]底表!AM138</f>
        <v>4</v>
      </c>
      <c r="D138" s="21">
        <f>[2]底表!AN138</f>
        <v>9</v>
      </c>
      <c r="E138" s="23">
        <f>[2]底表!AO138</f>
        <v>-0.5556</v>
      </c>
      <c r="F138" s="21">
        <f>[2]底表!AP138</f>
        <v>2</v>
      </c>
      <c r="G138" s="21">
        <f>[2]底表!AQ138</f>
        <v>1</v>
      </c>
      <c r="H138" s="21">
        <f>[2]底表!AR138</f>
        <v>1</v>
      </c>
      <c r="I138" s="21">
        <f>[2]底表!AS138</f>
        <v>0.1</v>
      </c>
      <c r="J138" s="21">
        <f>[2]底表!AT138</f>
        <v>2</v>
      </c>
      <c r="K138" s="21">
        <f>[2]底表!AU138</f>
        <v>6</v>
      </c>
      <c r="L138" s="21">
        <f>[2]底表!AV138</f>
        <v>-0.6667</v>
      </c>
      <c r="M138" s="21">
        <f>[2]底表!AW138</f>
        <v>1</v>
      </c>
      <c r="N138" s="21">
        <f>[2]底表!AX138</f>
        <v>1</v>
      </c>
      <c r="O138" s="21">
        <f>[2]底表!AY138</f>
        <v>2</v>
      </c>
      <c r="P138" s="21">
        <f>[2]底表!AZ138</f>
        <v>5</v>
      </c>
      <c r="Q138" s="21">
        <f>[2]底表!BA138</f>
        <v>-0.6</v>
      </c>
      <c r="R138" s="21">
        <f>[2]底表!BB138</f>
        <v>2</v>
      </c>
      <c r="S138" s="21">
        <f>[2]底表!BC138</f>
        <v>0</v>
      </c>
      <c r="T138" s="21">
        <f>[2]底表!BD138</f>
        <v>1</v>
      </c>
      <c r="U138" s="21">
        <f>[2]底表!BE138</f>
        <v>0.1667</v>
      </c>
      <c r="V138" s="21">
        <f>[2]底表!BF138</f>
        <v>2</v>
      </c>
      <c r="W138" s="21">
        <f>[2]底表!BG138</f>
        <v>4</v>
      </c>
      <c r="X138" s="21">
        <f>[2]底表!BH138</f>
        <v>-0.5</v>
      </c>
      <c r="Y138" s="21">
        <f>[2]底表!BI138</f>
        <v>0</v>
      </c>
      <c r="Z138" s="21" t="str">
        <f>[2]底表!BJ138</f>
        <v>多2起</v>
      </c>
      <c r="AA138" s="21">
        <f>[2]底表!BK138</f>
        <v>0.5</v>
      </c>
      <c r="AB138" s="21">
        <f>[2]底表!BL138</f>
        <v>2</v>
      </c>
      <c r="AC138" s="21">
        <f>[2]底表!BM138</f>
        <v>4</v>
      </c>
      <c r="AD138" s="21">
        <f>[2]底表!BN138</f>
        <v>-0.5</v>
      </c>
      <c r="AE138" s="21">
        <f>[2]底表!BO138</f>
        <v>0</v>
      </c>
      <c r="AF138" s="21" t="str">
        <f>[2]底表!BP138</f>
        <v>多2起</v>
      </c>
      <c r="AG138" s="21">
        <f>[2]底表!BT138</f>
        <v>1</v>
      </c>
      <c r="AH138" s="21" t="str">
        <f>[2]底表!BU138</f>
        <v>少1起</v>
      </c>
      <c r="AI138" s="21">
        <f>[2]底表!BV138</f>
        <v>0</v>
      </c>
      <c r="AJ138" s="21">
        <f>[2]底表!BW138</f>
        <v>0</v>
      </c>
      <c r="AK138" s="21">
        <f>[2]底表!BX138</f>
        <v>0</v>
      </c>
      <c r="AL138" s="21">
        <f>[2]底表!BY138</f>
        <v>0</v>
      </c>
      <c r="AM138" s="21">
        <f>[2]底表!BZ138</f>
        <v>0</v>
      </c>
      <c r="AN138" s="21">
        <f>[2]底表!CA138</f>
        <v>0</v>
      </c>
      <c r="AO138" s="21" t="str">
        <f>[2]底表!CB138</f>
        <v>持平</v>
      </c>
      <c r="AP138" s="21">
        <f>[2]底表!CC138</f>
        <v>0</v>
      </c>
      <c r="AQ138" s="21" t="str">
        <f>[2]底表!CD138</f>
        <v>持平</v>
      </c>
      <c r="AR138" s="21" t="str">
        <f>[2]底表!CE138</f>
        <v/>
      </c>
      <c r="AS138" s="21" t="str">
        <f>[2]底表!CF138</f>
        <v/>
      </c>
      <c r="AT138" s="21">
        <f>[2]底表!CG138</f>
        <v>34</v>
      </c>
      <c r="AU138" s="21">
        <f>[2]底表!CH138</f>
        <v>47</v>
      </c>
      <c r="AV138" s="21">
        <f>[2]底表!CI138</f>
        <v>-0.2766</v>
      </c>
      <c r="AW138" s="21">
        <f>[2]底表!CJ138</f>
        <v>3</v>
      </c>
      <c r="AX138" s="21">
        <f>[2]底表!CK138</f>
        <v>10.3333</v>
      </c>
      <c r="AY138" s="21">
        <f>[2]底表!CL138</f>
        <v>850</v>
      </c>
      <c r="AZ138" s="21">
        <f>[2]底表!CM138</f>
        <v>380</v>
      </c>
      <c r="BA138" s="21">
        <f>[2]底表!CN138</f>
        <v>0.8085</v>
      </c>
      <c r="BB138" s="21">
        <f>[2]底表!CO138</f>
        <v>43</v>
      </c>
      <c r="BC138" s="21">
        <f>[2]底表!CP138</f>
        <v>68</v>
      </c>
      <c r="BD138" s="21">
        <f>[2]底表!CQ138</f>
        <v>-0.3676</v>
      </c>
      <c r="BE138" s="21">
        <f>[2]底表!CR138</f>
        <v>8</v>
      </c>
      <c r="BF138" s="21">
        <f>[2]底表!CS138</f>
        <v>4.375</v>
      </c>
      <c r="BG138" s="21">
        <f>[2]底表!CT138</f>
        <v>1.2647</v>
      </c>
      <c r="BH138" s="21">
        <f>[2]底表!CU138</f>
        <v>-0.1821</v>
      </c>
      <c r="BI138" s="21">
        <f>[2]底表!CV138</f>
        <v>1075</v>
      </c>
      <c r="BJ138" s="21">
        <f>[2]底表!CW138</f>
        <v>395</v>
      </c>
      <c r="BK138" s="21">
        <f>[2]底表!CX138</f>
        <v>0.5809</v>
      </c>
      <c r="BL138" s="21">
        <f>[2]底表!CY138</f>
        <v>44</v>
      </c>
      <c r="BM138" s="21">
        <f>[2]底表!CZ138</f>
        <v>72</v>
      </c>
      <c r="BN138" s="23">
        <f>[2]底表!DA138</f>
        <v>-0.3889</v>
      </c>
      <c r="BO138" s="21">
        <f>[2]底表!DB138</f>
        <v>8</v>
      </c>
      <c r="BP138" s="21">
        <f>[2]底表!DC138</f>
        <v>4.5</v>
      </c>
      <c r="BQ138" s="21">
        <f>[2]底表!DD138</f>
        <v>1.2941</v>
      </c>
      <c r="BR138" s="21">
        <f>[2]底表!DE138</f>
        <v>-0.2378</v>
      </c>
      <c r="BS138" s="21">
        <f>[2]底表!DF138</f>
        <v>1100</v>
      </c>
      <c r="BT138" s="21">
        <f>[2]底表!DG138</f>
        <v>380</v>
      </c>
      <c r="BU138" s="21">
        <f>[2]底表!DH138</f>
        <v>0.5278</v>
      </c>
      <c r="BV138" s="21">
        <f>[2]底表!DI138</f>
        <v>52</v>
      </c>
      <c r="BW138" s="21">
        <f>[2]底表!DJ138</f>
        <v>78</v>
      </c>
      <c r="BX138" s="23">
        <f>[2]底表!DK138</f>
        <v>-0.3333</v>
      </c>
      <c r="BY138" s="21">
        <f>[2]底表!DL138</f>
        <v>13</v>
      </c>
      <c r="BZ138" s="21">
        <f>[2]底表!DM138</f>
        <v>3</v>
      </c>
      <c r="CA138" s="21">
        <f>[2]底表!DN138</f>
        <v>5</v>
      </c>
      <c r="CB138" s="21">
        <f>[2]底表!DO138</f>
        <v>9</v>
      </c>
      <c r="CC138" s="21">
        <f>[2]底表!DP138</f>
        <v>-0.4444</v>
      </c>
      <c r="CD138" s="21">
        <f>[2]底表!DQ138</f>
        <v>2</v>
      </c>
      <c r="CE138" s="21">
        <f>[2]底表!DR138</f>
        <v>1.5</v>
      </c>
      <c r="CF138" s="21">
        <f>[2]底表!DS138</f>
        <v>5</v>
      </c>
      <c r="CG138" s="21">
        <f>[2]底表!DT138</f>
        <v>9</v>
      </c>
      <c r="CH138" s="21">
        <f>[2]底表!DU138</f>
        <v>-0.4444</v>
      </c>
      <c r="CI138" s="21">
        <f>[2]底表!DV138</f>
        <v>2</v>
      </c>
      <c r="CJ138" s="21">
        <f>[2]底表!DW138</f>
        <v>1.5</v>
      </c>
      <c r="CK138" s="21">
        <f>[2]底表!DX138</f>
        <v>8</v>
      </c>
      <c r="CL138" s="21">
        <f>[2]底表!DY138</f>
        <v>13</v>
      </c>
      <c r="CM138" s="21">
        <f>[2]底表!DZ138</f>
        <v>-0.3846</v>
      </c>
      <c r="CN138" s="21">
        <f>[2]底表!EA138</f>
        <v>7</v>
      </c>
      <c r="CO138" s="21">
        <f>[2]底表!EB138</f>
        <v>0.1429</v>
      </c>
      <c r="CP138" s="21">
        <f>[2]底表!EC138</f>
        <v>9</v>
      </c>
      <c r="CQ138" s="21">
        <f>[2]底表!ED138</f>
        <v>8</v>
      </c>
      <c r="CR138" s="21">
        <f>[2]底表!EE138</f>
        <v>0.125</v>
      </c>
      <c r="CS138" s="21">
        <f>[2]底表!EF138</f>
        <v>2</v>
      </c>
      <c r="CT138" s="21">
        <f>[2]底表!EG138</f>
        <v>3.5</v>
      </c>
      <c r="CU138" s="21">
        <f>[2]底表!EH138</f>
        <v>0.2093</v>
      </c>
      <c r="CV138" s="21">
        <f>[2]底表!EI138</f>
        <v>0.0917</v>
      </c>
      <c r="CW138" s="21">
        <f>[2]底表!EJ138</f>
        <v>225</v>
      </c>
      <c r="CX138" s="21">
        <f>[2]底表!EK138</f>
        <v>145</v>
      </c>
      <c r="CY138" s="21">
        <f>[2]底表!EL138</f>
        <v>1.8125</v>
      </c>
      <c r="CZ138" s="21">
        <f>[2]底表!EM138</f>
        <v>9</v>
      </c>
      <c r="DA138" s="21">
        <f>[2]底表!EN138</f>
        <v>8</v>
      </c>
      <c r="DB138" s="21">
        <f>[2]底表!EO138</f>
        <v>0.125</v>
      </c>
      <c r="DC138" s="21">
        <f>[2]底表!EP138</f>
        <v>2</v>
      </c>
      <c r="DD138" s="21">
        <f>[2]底表!EQ138</f>
        <v>3.5</v>
      </c>
      <c r="DE138" s="21">
        <f>[2]底表!ER138</f>
        <v>12</v>
      </c>
      <c r="DF138" s="21">
        <f>[2]底表!ES138</f>
        <v>0</v>
      </c>
      <c r="DG138" s="23" t="str">
        <f>[2]底表!ET138</f>
        <v>多12人</v>
      </c>
      <c r="DH138" s="21">
        <f>[2]底表!EU138</f>
        <v>9</v>
      </c>
      <c r="DI138" s="21">
        <f>[2]底表!EV138</f>
        <v>0.3333</v>
      </c>
      <c r="DJ138" s="21">
        <f>[2]底表!EW138</f>
        <v>0.2791</v>
      </c>
      <c r="DK138" s="21">
        <f>[2]底表!EX138</f>
        <v>0.2791</v>
      </c>
      <c r="DL138" s="21">
        <f>[2]底表!EY138</f>
        <v>300</v>
      </c>
      <c r="DM138" s="21">
        <f>[2]底表!EZ138</f>
        <v>300</v>
      </c>
      <c r="DN138" s="21" t="str">
        <f>[2]底表!FA138</f>
        <v/>
      </c>
      <c r="DO138" s="21">
        <f>[2]底表!BQ138</f>
        <v>0</v>
      </c>
      <c r="DP138" s="21">
        <f>[2]底表!BR138</f>
        <v>0</v>
      </c>
      <c r="DQ138" s="24" t="str">
        <f>[2]底表!BS138</f>
        <v>持平</v>
      </c>
    </row>
    <row r="139" s="2" customFormat="1" ht="32" hidden="1" customHeight="1" spans="1:121">
      <c r="A139" s="27" t="str">
        <f>[2]底表!A139</f>
        <v>掩饰隐瞒犯罪所得及所得收益</v>
      </c>
      <c r="B139" s="28" t="str">
        <f>[2]底表!B139</f>
        <v>云城区</v>
      </c>
      <c r="C139" s="21">
        <f>[2]底表!AM139</f>
        <v>0</v>
      </c>
      <c r="D139" s="21">
        <f>[2]底表!AN139</f>
        <v>5</v>
      </c>
      <c r="E139" s="23" t="str">
        <f>[2]底表!AO139</f>
        <v>少5起</v>
      </c>
      <c r="F139" s="21">
        <f>[2]底表!AP139</f>
        <v>1</v>
      </c>
      <c r="G139" s="21" t="str">
        <f>[2]底表!AQ139</f>
        <v>少1起</v>
      </c>
      <c r="H139" s="21" t="str">
        <f>[2]底表!AR139</f>
        <v/>
      </c>
      <c r="I139" s="21" t="str">
        <f>[2]底表!AS139</f>
        <v/>
      </c>
      <c r="J139" s="21">
        <f>[2]底表!AT139</f>
        <v>0</v>
      </c>
      <c r="K139" s="21">
        <f>[2]底表!AU139</f>
        <v>3</v>
      </c>
      <c r="L139" s="21" t="str">
        <f>[2]底表!AV139</f>
        <v>少3起</v>
      </c>
      <c r="M139" s="21">
        <f>[2]底表!AW139</f>
        <v>0</v>
      </c>
      <c r="N139" s="21" t="str">
        <f>[2]底表!AX139</f>
        <v>持平</v>
      </c>
      <c r="O139" s="21">
        <f>[2]底表!AY139</f>
        <v>0</v>
      </c>
      <c r="P139" s="21">
        <f>[2]底表!AZ139</f>
        <v>2</v>
      </c>
      <c r="Q139" s="21" t="str">
        <f>[2]底表!BA139</f>
        <v>少2起</v>
      </c>
      <c r="R139" s="21">
        <f>[2]底表!BB139</f>
        <v>1</v>
      </c>
      <c r="S139" s="21" t="str">
        <f>[2]底表!BC139</f>
        <v>少1起</v>
      </c>
      <c r="T139" s="21" t="str">
        <f>[2]底表!BD139</f>
        <v/>
      </c>
      <c r="U139" s="21" t="str">
        <f>[2]底表!BE139</f>
        <v/>
      </c>
      <c r="V139" s="21">
        <f>[2]底表!BF139</f>
        <v>0</v>
      </c>
      <c r="W139" s="21">
        <f>[2]底表!BG139</f>
        <v>3</v>
      </c>
      <c r="X139" s="21" t="str">
        <f>[2]底表!BH139</f>
        <v>少3起</v>
      </c>
      <c r="Y139" s="21">
        <f>[2]底表!BI139</f>
        <v>0</v>
      </c>
      <c r="Z139" s="21" t="str">
        <f>[2]底表!BJ139</f>
        <v>持平</v>
      </c>
      <c r="AA139" s="21" t="str">
        <f>[2]底表!BK139</f>
        <v/>
      </c>
      <c r="AB139" s="21">
        <f>[2]底表!BL139</f>
        <v>0</v>
      </c>
      <c r="AC139" s="21">
        <f>[2]底表!BM139</f>
        <v>3</v>
      </c>
      <c r="AD139" s="21" t="str">
        <f>[2]底表!BN139</f>
        <v>少3起</v>
      </c>
      <c r="AE139" s="21">
        <f>[2]底表!BO139</f>
        <v>0</v>
      </c>
      <c r="AF139" s="21" t="str">
        <f>[2]底表!BP139</f>
        <v>持平</v>
      </c>
      <c r="AG139" s="21">
        <f>[2]底表!BT139</f>
        <v>0</v>
      </c>
      <c r="AH139" s="21" t="str">
        <f>[2]底表!BU139</f>
        <v>持平</v>
      </c>
      <c r="AI139" s="21" t="str">
        <f>[2]底表!BV139</f>
        <v/>
      </c>
      <c r="AJ139" s="21" t="str">
        <f>[2]底表!BW139</f>
        <v/>
      </c>
      <c r="AK139" s="21" t="str">
        <f>[2]底表!BX139</f>
        <v/>
      </c>
      <c r="AL139" s="21" t="str">
        <f>[2]底表!BY139</f>
        <v/>
      </c>
      <c r="AM139" s="21">
        <f>[2]底表!BZ139</f>
        <v>0</v>
      </c>
      <c r="AN139" s="21">
        <f>[2]底表!CA139</f>
        <v>0</v>
      </c>
      <c r="AO139" s="21" t="str">
        <f>[2]底表!CB139</f>
        <v>持平</v>
      </c>
      <c r="AP139" s="21">
        <f>[2]底表!CC139</f>
        <v>0</v>
      </c>
      <c r="AQ139" s="21" t="str">
        <f>[2]底表!CD139</f>
        <v>持平</v>
      </c>
      <c r="AR139" s="21" t="str">
        <f>[2]底表!CE139</f>
        <v/>
      </c>
      <c r="AS139" s="21" t="str">
        <f>[2]底表!CF139</f>
        <v/>
      </c>
      <c r="AT139" s="21">
        <f>[2]底表!CG139</f>
        <v>0</v>
      </c>
      <c r="AU139" s="21">
        <f>[2]底表!CH139</f>
        <v>21</v>
      </c>
      <c r="AV139" s="21" t="str">
        <f>[2]底表!CI139</f>
        <v>少21人</v>
      </c>
      <c r="AW139" s="21">
        <f>[2]底表!CJ139</f>
        <v>0</v>
      </c>
      <c r="AX139" s="21" t="str">
        <f>[2]底表!CK139</f>
        <v>持平</v>
      </c>
      <c r="AY139" s="21" t="str">
        <f>[2]底表!CL139</f>
        <v/>
      </c>
      <c r="AZ139" s="21" t="str">
        <f>[2]底表!CM139</f>
        <v/>
      </c>
      <c r="BA139" s="21" t="str">
        <f>[2]底表!CN139</f>
        <v/>
      </c>
      <c r="BB139" s="21">
        <f>[2]底表!CO139</f>
        <v>0</v>
      </c>
      <c r="BC139" s="21">
        <f>[2]底表!CP139</f>
        <v>26</v>
      </c>
      <c r="BD139" s="21" t="str">
        <f>[2]底表!CQ139</f>
        <v>少26人</v>
      </c>
      <c r="BE139" s="21">
        <f>[2]底表!CR139</f>
        <v>0</v>
      </c>
      <c r="BF139" s="21" t="str">
        <f>[2]底表!CS139</f>
        <v>持平</v>
      </c>
      <c r="BG139" s="21" t="str">
        <f>[2]底表!CT139</f>
        <v/>
      </c>
      <c r="BH139" s="21" t="str">
        <f>[2]底表!CU139</f>
        <v/>
      </c>
      <c r="BI139" s="21" t="str">
        <f>[2]底表!CV139</f>
        <v/>
      </c>
      <c r="BJ139" s="21" t="str">
        <f>[2]底表!CW139</f>
        <v/>
      </c>
      <c r="BK139" s="21" t="str">
        <f>[2]底表!CX139</f>
        <v/>
      </c>
      <c r="BL139" s="21">
        <f>[2]底表!CY139</f>
        <v>0</v>
      </c>
      <c r="BM139" s="21">
        <f>[2]底表!CZ139</f>
        <v>26</v>
      </c>
      <c r="BN139" s="23" t="str">
        <f>[2]底表!DA139</f>
        <v>少26人</v>
      </c>
      <c r="BO139" s="21">
        <f>[2]底表!DB139</f>
        <v>0</v>
      </c>
      <c r="BP139" s="21" t="str">
        <f>[2]底表!DC139</f>
        <v>持平</v>
      </c>
      <c r="BQ139" s="21" t="str">
        <f>[2]底表!DD139</f>
        <v/>
      </c>
      <c r="BR139" s="21" t="str">
        <f>[2]底表!DE139</f>
        <v/>
      </c>
      <c r="BS139" s="21" t="str">
        <f>[2]底表!DF139</f>
        <v/>
      </c>
      <c r="BT139" s="21" t="str">
        <f>[2]底表!DG139</f>
        <v/>
      </c>
      <c r="BU139" s="21" t="str">
        <f>[2]底表!DH139</f>
        <v/>
      </c>
      <c r="BV139" s="21">
        <f>[2]底表!DI139</f>
        <v>0</v>
      </c>
      <c r="BW139" s="21">
        <f>[2]底表!DJ139</f>
        <v>0</v>
      </c>
      <c r="BX139" s="23" t="str">
        <f>[2]底表!DK139</f>
        <v>持平</v>
      </c>
      <c r="BY139" s="21">
        <f>[2]底表!DL139</f>
        <v>0</v>
      </c>
      <c r="BZ139" s="21" t="str">
        <f>[2]底表!DM139</f>
        <v>持平</v>
      </c>
      <c r="CA139" s="21">
        <f>[2]底表!DN139</f>
        <v>0</v>
      </c>
      <c r="CB139" s="21">
        <f>[2]底表!DO139</f>
        <v>0</v>
      </c>
      <c r="CC139" s="21" t="str">
        <f>[2]底表!DP139</f>
        <v>持平</v>
      </c>
      <c r="CD139" s="21">
        <f>[2]底表!DQ139</f>
        <v>1</v>
      </c>
      <c r="CE139" s="21" t="str">
        <f>[2]底表!DR139</f>
        <v>少1人</v>
      </c>
      <c r="CF139" s="21">
        <f>[2]底表!DS139</f>
        <v>0</v>
      </c>
      <c r="CG139" s="21">
        <f>[2]底表!DT139</f>
        <v>0</v>
      </c>
      <c r="CH139" s="21" t="str">
        <f>[2]底表!DU139</f>
        <v>持平</v>
      </c>
      <c r="CI139" s="21">
        <f>[2]底表!DV139</f>
        <v>1</v>
      </c>
      <c r="CJ139" s="21" t="str">
        <f>[2]底表!DW139</f>
        <v>少1人</v>
      </c>
      <c r="CK139" s="21">
        <f>[2]底表!DX139</f>
        <v>0</v>
      </c>
      <c r="CL139" s="21">
        <f>[2]底表!DY139</f>
        <v>0</v>
      </c>
      <c r="CM139" s="21" t="str">
        <f>[2]底表!DZ139</f>
        <v>持平</v>
      </c>
      <c r="CN139" s="21">
        <f>[2]底表!EA139</f>
        <v>0</v>
      </c>
      <c r="CO139" s="21" t="str">
        <f>[2]底表!EB139</f>
        <v>持平</v>
      </c>
      <c r="CP139" s="21">
        <f>[2]底表!EC139</f>
        <v>0</v>
      </c>
      <c r="CQ139" s="21">
        <f>[2]底表!ED139</f>
        <v>0</v>
      </c>
      <c r="CR139" s="21" t="str">
        <f>[2]底表!EE139</f>
        <v>持平</v>
      </c>
      <c r="CS139" s="21">
        <f>[2]底表!EF139</f>
        <v>0</v>
      </c>
      <c r="CT139" s="21" t="str">
        <f>[2]底表!EG139</f>
        <v>持平</v>
      </c>
      <c r="CU139" s="21" t="str">
        <f>[2]底表!EH139</f>
        <v/>
      </c>
      <c r="CV139" s="21" t="str">
        <f>[2]底表!EI139</f>
        <v/>
      </c>
      <c r="CW139" s="21" t="str">
        <f>[2]底表!EJ139</f>
        <v/>
      </c>
      <c r="CX139" s="21" t="str">
        <f>[2]底表!EK139</f>
        <v/>
      </c>
      <c r="CY139" s="21" t="str">
        <f>[2]底表!EL139</f>
        <v/>
      </c>
      <c r="CZ139" s="21">
        <f>[2]底表!EM139</f>
        <v>0</v>
      </c>
      <c r="DA139" s="21">
        <f>[2]底表!EN139</f>
        <v>0</v>
      </c>
      <c r="DB139" s="21" t="str">
        <f>[2]底表!EO139</f>
        <v>持平</v>
      </c>
      <c r="DC139" s="21">
        <f>[2]底表!EP139</f>
        <v>0</v>
      </c>
      <c r="DD139" s="21" t="str">
        <f>[2]底表!EQ139</f>
        <v>持平</v>
      </c>
      <c r="DE139" s="21">
        <f>[2]底表!ER139</f>
        <v>0</v>
      </c>
      <c r="DF139" s="21">
        <f>[2]底表!ES139</f>
        <v>0</v>
      </c>
      <c r="DG139" s="23" t="str">
        <f>[2]底表!ET139</f>
        <v>持平</v>
      </c>
      <c r="DH139" s="21">
        <f>[2]底表!EU139</f>
        <v>0</v>
      </c>
      <c r="DI139" s="21" t="str">
        <f>[2]底表!EV139</f>
        <v>持平</v>
      </c>
      <c r="DJ139" s="21" t="str">
        <f>[2]底表!EW139</f>
        <v/>
      </c>
      <c r="DK139" s="21" t="str">
        <f>[2]底表!EX139</f>
        <v/>
      </c>
      <c r="DL139" s="21" t="str">
        <f>[2]底表!EY139</f>
        <v/>
      </c>
      <c r="DM139" s="21" t="str">
        <f>[2]底表!EZ139</f>
        <v/>
      </c>
      <c r="DN139" s="21" t="str">
        <f>[2]底表!FA139</f>
        <v/>
      </c>
      <c r="DO139" s="21">
        <f>[2]底表!BQ139</f>
        <v>0</v>
      </c>
      <c r="DP139" s="21">
        <f>[2]底表!BR139</f>
        <v>0</v>
      </c>
      <c r="DQ139" s="24" t="str">
        <f>[2]底表!BS139</f>
        <v>持平</v>
      </c>
    </row>
    <row r="140" s="2" customFormat="1" ht="32" hidden="1" customHeight="1" spans="1:121">
      <c r="A140" s="27" t="str">
        <f>[2]底表!A140</f>
        <v>掩饰隐瞒犯罪所得及所得收益</v>
      </c>
      <c r="B140" s="28" t="str">
        <f>[2]底表!B140</f>
        <v>云安区</v>
      </c>
      <c r="C140" s="21">
        <f>[2]底表!AM140</f>
        <v>1</v>
      </c>
      <c r="D140" s="21">
        <f>[2]底表!AN140</f>
        <v>1</v>
      </c>
      <c r="E140" s="23">
        <f>[2]底表!AO140</f>
        <v>0</v>
      </c>
      <c r="F140" s="21">
        <f>[2]底表!AP140</f>
        <v>0</v>
      </c>
      <c r="G140" s="21" t="str">
        <f>[2]底表!AQ140</f>
        <v>多1起</v>
      </c>
      <c r="H140" s="21">
        <f>[2]底表!AR140</f>
        <v>1</v>
      </c>
      <c r="I140" s="21">
        <f>[2]底表!AS140</f>
        <v>0</v>
      </c>
      <c r="J140" s="21">
        <f>[2]底表!AT140</f>
        <v>0</v>
      </c>
      <c r="K140" s="21">
        <f>[2]底表!AU140</f>
        <v>1</v>
      </c>
      <c r="L140" s="21" t="str">
        <f>[2]底表!AV140</f>
        <v>少1起</v>
      </c>
      <c r="M140" s="21">
        <f>[2]底表!AW140</f>
        <v>0</v>
      </c>
      <c r="N140" s="21" t="str">
        <f>[2]底表!AX140</f>
        <v>持平</v>
      </c>
      <c r="O140" s="21">
        <f>[2]底表!AY140</f>
        <v>0</v>
      </c>
      <c r="P140" s="21">
        <f>[2]底表!AZ140</f>
        <v>1</v>
      </c>
      <c r="Q140" s="21" t="str">
        <f>[2]底表!BA140</f>
        <v>少1起</v>
      </c>
      <c r="R140" s="21">
        <f>[2]底表!BB140</f>
        <v>0</v>
      </c>
      <c r="S140" s="21" t="str">
        <f>[2]底表!BC140</f>
        <v>持平</v>
      </c>
      <c r="T140" s="21" t="str">
        <f>[2]底表!BD140</f>
        <v/>
      </c>
      <c r="U140" s="21" t="str">
        <f>[2]底表!BE140</f>
        <v/>
      </c>
      <c r="V140" s="21">
        <f>[2]底表!BF140</f>
        <v>1</v>
      </c>
      <c r="W140" s="21">
        <f>[2]底表!BG140</f>
        <v>0</v>
      </c>
      <c r="X140" s="21" t="str">
        <f>[2]底表!BH140</f>
        <v>多1起</v>
      </c>
      <c r="Y140" s="21">
        <f>[2]底表!BI140</f>
        <v>0</v>
      </c>
      <c r="Z140" s="21" t="str">
        <f>[2]底表!BJ140</f>
        <v>多1起</v>
      </c>
      <c r="AA140" s="21">
        <f>[2]底表!BK140</f>
        <v>1</v>
      </c>
      <c r="AB140" s="21">
        <f>[2]底表!BL140</f>
        <v>1</v>
      </c>
      <c r="AC140" s="21">
        <f>[2]底表!BM140</f>
        <v>0</v>
      </c>
      <c r="AD140" s="21" t="str">
        <f>[2]底表!BN140</f>
        <v>多1起</v>
      </c>
      <c r="AE140" s="21">
        <f>[2]底表!BO140</f>
        <v>0</v>
      </c>
      <c r="AF140" s="21" t="str">
        <f>[2]底表!BP140</f>
        <v>多1起</v>
      </c>
      <c r="AG140" s="21">
        <f>[2]底表!BT140</f>
        <v>0</v>
      </c>
      <c r="AH140" s="21" t="str">
        <f>[2]底表!BU140</f>
        <v>持平</v>
      </c>
      <c r="AI140" s="21">
        <f>[2]底表!BV140</f>
        <v>0</v>
      </c>
      <c r="AJ140" s="21">
        <f>[2]底表!BW140</f>
        <v>0</v>
      </c>
      <c r="AK140" s="21" t="str">
        <f>[2]底表!BX140</f>
        <v/>
      </c>
      <c r="AL140" s="21" t="str">
        <f>[2]底表!BY140</f>
        <v/>
      </c>
      <c r="AM140" s="21">
        <f>[2]底表!BZ140</f>
        <v>0</v>
      </c>
      <c r="AN140" s="21">
        <f>[2]底表!CA140</f>
        <v>0</v>
      </c>
      <c r="AO140" s="21" t="str">
        <f>[2]底表!CB140</f>
        <v>持平</v>
      </c>
      <c r="AP140" s="21">
        <f>[2]底表!CC140</f>
        <v>0</v>
      </c>
      <c r="AQ140" s="21" t="str">
        <f>[2]底表!CD140</f>
        <v>持平</v>
      </c>
      <c r="AR140" s="21" t="str">
        <f>[2]底表!CE140</f>
        <v/>
      </c>
      <c r="AS140" s="21" t="str">
        <f>[2]底表!CF140</f>
        <v/>
      </c>
      <c r="AT140" s="21">
        <f>[2]底表!CG140</f>
        <v>10</v>
      </c>
      <c r="AU140" s="21">
        <f>[2]底表!CH140</f>
        <v>17</v>
      </c>
      <c r="AV140" s="21">
        <f>[2]底表!CI140</f>
        <v>-0.4118</v>
      </c>
      <c r="AW140" s="21">
        <f>[2]底表!CJ140</f>
        <v>0</v>
      </c>
      <c r="AX140" s="21" t="str">
        <f>[2]底表!CK140</f>
        <v>多10人</v>
      </c>
      <c r="AY140" s="21">
        <f>[2]底表!CL140</f>
        <v>1000</v>
      </c>
      <c r="AZ140" s="21">
        <f>[2]底表!CM140</f>
        <v>-700</v>
      </c>
      <c r="BA140" s="21">
        <f>[2]底表!CN140</f>
        <v>-0.4118</v>
      </c>
      <c r="BB140" s="21">
        <f>[2]底表!CO140</f>
        <v>12</v>
      </c>
      <c r="BC140" s="21">
        <f>[2]底表!CP140</f>
        <v>26</v>
      </c>
      <c r="BD140" s="21">
        <f>[2]底表!CQ140</f>
        <v>-0.5385</v>
      </c>
      <c r="BE140" s="21">
        <f>[2]底表!CR140</f>
        <v>0</v>
      </c>
      <c r="BF140" s="21" t="str">
        <f>[2]底表!CS140</f>
        <v>多12人</v>
      </c>
      <c r="BG140" s="21">
        <f>[2]底表!CT140</f>
        <v>1.2</v>
      </c>
      <c r="BH140" s="21">
        <f>[2]底表!CU140</f>
        <v>-0.3294</v>
      </c>
      <c r="BI140" s="21">
        <f>[2]底表!CV140</f>
        <v>1200</v>
      </c>
      <c r="BJ140" s="21">
        <f>[2]底表!CW140</f>
        <v>-1400</v>
      </c>
      <c r="BK140" s="21">
        <f>[2]底表!CX140</f>
        <v>-0.5385</v>
      </c>
      <c r="BL140" s="21">
        <f>[2]底表!CY140</f>
        <v>12</v>
      </c>
      <c r="BM140" s="21">
        <f>[2]底表!CZ140</f>
        <v>26</v>
      </c>
      <c r="BN140" s="23">
        <f>[2]底表!DA140</f>
        <v>-0.5385</v>
      </c>
      <c r="BO140" s="21">
        <f>[2]底表!DB140</f>
        <v>0</v>
      </c>
      <c r="BP140" s="21" t="str">
        <f>[2]底表!DC140</f>
        <v>多12人</v>
      </c>
      <c r="BQ140" s="21">
        <f>[2]底表!DD140</f>
        <v>1.2</v>
      </c>
      <c r="BR140" s="21">
        <f>[2]底表!DE140</f>
        <v>-0.3294</v>
      </c>
      <c r="BS140" s="21">
        <f>[2]底表!DF140</f>
        <v>1200</v>
      </c>
      <c r="BT140" s="21">
        <f>[2]底表!DG140</f>
        <v>-1400</v>
      </c>
      <c r="BU140" s="21">
        <f>[2]底表!DH140</f>
        <v>-0.5385</v>
      </c>
      <c r="BV140" s="21">
        <f>[2]底表!DI140</f>
        <v>0</v>
      </c>
      <c r="BW140" s="21">
        <f>[2]底表!DJ140</f>
        <v>0</v>
      </c>
      <c r="BX140" s="23" t="str">
        <f>[2]底表!DK140</f>
        <v>持平</v>
      </c>
      <c r="BY140" s="21">
        <f>[2]底表!DL140</f>
        <v>0</v>
      </c>
      <c r="BZ140" s="21" t="str">
        <f>[2]底表!DM140</f>
        <v>持平</v>
      </c>
      <c r="CA140" s="21">
        <f>[2]底表!DN140</f>
        <v>0</v>
      </c>
      <c r="CB140" s="21">
        <f>[2]底表!DO140</f>
        <v>2</v>
      </c>
      <c r="CC140" s="21" t="str">
        <f>[2]底表!DP140</f>
        <v>少2人</v>
      </c>
      <c r="CD140" s="21">
        <f>[2]底表!DQ140</f>
        <v>0</v>
      </c>
      <c r="CE140" s="21" t="str">
        <f>[2]底表!DR140</f>
        <v>持平</v>
      </c>
      <c r="CF140" s="21">
        <f>[2]底表!DS140</f>
        <v>0</v>
      </c>
      <c r="CG140" s="21">
        <f>[2]底表!DT140</f>
        <v>2</v>
      </c>
      <c r="CH140" s="21" t="str">
        <f>[2]底表!DU140</f>
        <v>少2人</v>
      </c>
      <c r="CI140" s="21">
        <f>[2]底表!DV140</f>
        <v>0</v>
      </c>
      <c r="CJ140" s="21" t="str">
        <f>[2]底表!DW140</f>
        <v>持平</v>
      </c>
      <c r="CK140" s="21">
        <f>[2]底表!DX140</f>
        <v>0</v>
      </c>
      <c r="CL140" s="21">
        <f>[2]底表!DY140</f>
        <v>6</v>
      </c>
      <c r="CM140" s="21" t="str">
        <f>[2]底表!DZ140</f>
        <v>少6人</v>
      </c>
      <c r="CN140" s="21">
        <f>[2]底表!EA140</f>
        <v>0</v>
      </c>
      <c r="CO140" s="21" t="str">
        <f>[2]底表!EB140</f>
        <v>持平</v>
      </c>
      <c r="CP140" s="21">
        <f>[2]底表!EC140</f>
        <v>0</v>
      </c>
      <c r="CQ140" s="21">
        <f>[2]底表!ED140</f>
        <v>6</v>
      </c>
      <c r="CR140" s="21" t="str">
        <f>[2]底表!EE140</f>
        <v>少6人</v>
      </c>
      <c r="CS140" s="21">
        <f>[2]底表!EF140</f>
        <v>0</v>
      </c>
      <c r="CT140" s="21" t="str">
        <f>[2]底表!EG140</f>
        <v>持平</v>
      </c>
      <c r="CU140" s="21">
        <f>[2]底表!EH140</f>
        <v>0</v>
      </c>
      <c r="CV140" s="21">
        <f>[2]底表!EI140</f>
        <v>-0.2308</v>
      </c>
      <c r="CW140" s="21">
        <f>[2]底表!EJ140</f>
        <v>0</v>
      </c>
      <c r="CX140" s="21">
        <f>[2]底表!EK140</f>
        <v>-600</v>
      </c>
      <c r="CY140" s="21">
        <f>[2]底表!EL140</f>
        <v>-1</v>
      </c>
      <c r="CZ140" s="21">
        <f>[2]底表!EM140</f>
        <v>0</v>
      </c>
      <c r="DA140" s="21">
        <f>[2]底表!EN140</f>
        <v>6</v>
      </c>
      <c r="DB140" s="21" t="str">
        <f>[2]底表!EO140</f>
        <v>少6人</v>
      </c>
      <c r="DC140" s="21">
        <f>[2]底表!EP140</f>
        <v>0</v>
      </c>
      <c r="DD140" s="21" t="str">
        <f>[2]底表!EQ140</f>
        <v>持平</v>
      </c>
      <c r="DE140" s="21">
        <f>[2]底表!ER140</f>
        <v>1</v>
      </c>
      <c r="DF140" s="21">
        <f>[2]底表!ES140</f>
        <v>0</v>
      </c>
      <c r="DG140" s="23" t="str">
        <f>[2]底表!ET140</f>
        <v>多1人</v>
      </c>
      <c r="DH140" s="21">
        <f>[2]底表!EU140</f>
        <v>2</v>
      </c>
      <c r="DI140" s="21">
        <f>[2]底表!EV140</f>
        <v>-0.5</v>
      </c>
      <c r="DJ140" s="21">
        <f>[2]底表!EW140</f>
        <v>0.0833</v>
      </c>
      <c r="DK140" s="21">
        <f>[2]底表!EX140</f>
        <v>0.0833</v>
      </c>
      <c r="DL140" s="21">
        <f>[2]底表!EY140</f>
        <v>100</v>
      </c>
      <c r="DM140" s="21">
        <f>[2]底表!EZ140</f>
        <v>100</v>
      </c>
      <c r="DN140" s="21" t="str">
        <f>[2]底表!FA140</f>
        <v/>
      </c>
      <c r="DO140" s="21">
        <f>[2]底表!BQ140</f>
        <v>0</v>
      </c>
      <c r="DP140" s="21">
        <f>[2]底表!BR140</f>
        <v>0</v>
      </c>
      <c r="DQ140" s="24" t="str">
        <f>[2]底表!BS140</f>
        <v>持平</v>
      </c>
    </row>
    <row r="141" s="2" customFormat="1" ht="32" hidden="1" customHeight="1" spans="1:121">
      <c r="A141" s="27" t="str">
        <f>[2]底表!A141</f>
        <v>掩饰隐瞒犯罪所得及所得收益</v>
      </c>
      <c r="B141" s="28" t="str">
        <f>[2]底表!B141</f>
        <v>新兴县</v>
      </c>
      <c r="C141" s="21">
        <f>[2]底表!AM141</f>
        <v>1</v>
      </c>
      <c r="D141" s="21">
        <f>[2]底表!AN141</f>
        <v>0</v>
      </c>
      <c r="E141" s="23" t="str">
        <f>[2]底表!AO141</f>
        <v>多1起</v>
      </c>
      <c r="F141" s="21">
        <f>[2]底表!AP141</f>
        <v>0</v>
      </c>
      <c r="G141" s="21" t="str">
        <f>[2]底表!AQ141</f>
        <v>多1起</v>
      </c>
      <c r="H141" s="21">
        <f>[2]底表!AR141</f>
        <v>1</v>
      </c>
      <c r="I141" s="21" t="str">
        <f>[2]底表!AS141</f>
        <v/>
      </c>
      <c r="J141" s="21">
        <f>[2]底表!AT141</f>
        <v>0</v>
      </c>
      <c r="K141" s="21">
        <f>[2]底表!AU141</f>
        <v>0</v>
      </c>
      <c r="L141" s="21" t="str">
        <f>[2]底表!AV141</f>
        <v>持平</v>
      </c>
      <c r="M141" s="21">
        <f>[2]底表!AW141</f>
        <v>0</v>
      </c>
      <c r="N141" s="21" t="str">
        <f>[2]底表!AX141</f>
        <v>持平</v>
      </c>
      <c r="O141" s="21">
        <f>[2]底表!AY141</f>
        <v>0</v>
      </c>
      <c r="P141" s="21">
        <f>[2]底表!AZ141</f>
        <v>0</v>
      </c>
      <c r="Q141" s="21" t="str">
        <f>[2]底表!BA141</f>
        <v>持平</v>
      </c>
      <c r="R141" s="21">
        <f>[2]底表!BB141</f>
        <v>0</v>
      </c>
      <c r="S141" s="21" t="str">
        <f>[2]底表!BC141</f>
        <v>持平</v>
      </c>
      <c r="T141" s="21" t="str">
        <f>[2]底表!BD141</f>
        <v/>
      </c>
      <c r="U141" s="21" t="str">
        <f>[2]底表!BE141</f>
        <v/>
      </c>
      <c r="V141" s="21">
        <f>[2]底表!BF141</f>
        <v>1</v>
      </c>
      <c r="W141" s="21">
        <f>[2]底表!BG141</f>
        <v>0</v>
      </c>
      <c r="X141" s="21" t="str">
        <f>[2]底表!BH141</f>
        <v>多1起</v>
      </c>
      <c r="Y141" s="21">
        <f>[2]底表!BI141</f>
        <v>0</v>
      </c>
      <c r="Z141" s="21" t="str">
        <f>[2]底表!BJ141</f>
        <v>多1起</v>
      </c>
      <c r="AA141" s="21">
        <f>[2]底表!BK141</f>
        <v>1</v>
      </c>
      <c r="AB141" s="21">
        <f>[2]底表!BL141</f>
        <v>1</v>
      </c>
      <c r="AC141" s="21">
        <f>[2]底表!BM141</f>
        <v>0</v>
      </c>
      <c r="AD141" s="21" t="str">
        <f>[2]底表!BN141</f>
        <v>多1起</v>
      </c>
      <c r="AE141" s="21">
        <f>[2]底表!BO141</f>
        <v>0</v>
      </c>
      <c r="AF141" s="21" t="str">
        <f>[2]底表!BP141</f>
        <v>多1起</v>
      </c>
      <c r="AG141" s="21">
        <f>[2]底表!BT141</f>
        <v>0</v>
      </c>
      <c r="AH141" s="21" t="str">
        <f>[2]底表!BU141</f>
        <v>持平</v>
      </c>
      <c r="AI141" s="21">
        <f>[2]底表!BV141</f>
        <v>0</v>
      </c>
      <c r="AJ141" s="21" t="str">
        <f>[2]底表!BW141</f>
        <v/>
      </c>
      <c r="AK141" s="21" t="str">
        <f>[2]底表!BX141</f>
        <v/>
      </c>
      <c r="AL141" s="21" t="str">
        <f>[2]底表!BY141</f>
        <v/>
      </c>
      <c r="AM141" s="21">
        <f>[2]底表!BZ141</f>
        <v>0</v>
      </c>
      <c r="AN141" s="21">
        <f>[2]底表!CA141</f>
        <v>0</v>
      </c>
      <c r="AO141" s="21" t="str">
        <f>[2]底表!CB141</f>
        <v>持平</v>
      </c>
      <c r="AP141" s="21">
        <f>[2]底表!CC141</f>
        <v>0</v>
      </c>
      <c r="AQ141" s="21" t="str">
        <f>[2]底表!CD141</f>
        <v>持平</v>
      </c>
      <c r="AR141" s="21" t="str">
        <f>[2]底表!CE141</f>
        <v/>
      </c>
      <c r="AS141" s="21" t="str">
        <f>[2]底表!CF141</f>
        <v/>
      </c>
      <c r="AT141" s="21">
        <f>[2]底表!CG141</f>
        <v>0</v>
      </c>
      <c r="AU141" s="21">
        <f>[2]底表!CH141</f>
        <v>0</v>
      </c>
      <c r="AV141" s="21" t="str">
        <f>[2]底表!CI141</f>
        <v>持平</v>
      </c>
      <c r="AW141" s="21">
        <f>[2]底表!CJ141</f>
        <v>0</v>
      </c>
      <c r="AX141" s="21" t="str">
        <f>[2]底表!CK141</f>
        <v>持平</v>
      </c>
      <c r="AY141" s="21">
        <f>[2]底表!CL141</f>
        <v>0</v>
      </c>
      <c r="AZ141" s="21" t="str">
        <f>[2]底表!CM141</f>
        <v/>
      </c>
      <c r="BA141" s="21" t="str">
        <f>[2]底表!CN141</f>
        <v/>
      </c>
      <c r="BB141" s="21">
        <f>[2]底表!CO141</f>
        <v>0</v>
      </c>
      <c r="BC141" s="21">
        <f>[2]底表!CP141</f>
        <v>0</v>
      </c>
      <c r="BD141" s="21" t="str">
        <f>[2]底表!CQ141</f>
        <v>持平</v>
      </c>
      <c r="BE141" s="21">
        <f>[2]底表!CR141</f>
        <v>0</v>
      </c>
      <c r="BF141" s="21" t="str">
        <f>[2]底表!CS141</f>
        <v>持平</v>
      </c>
      <c r="BG141" s="21" t="str">
        <f>[2]底表!CT141</f>
        <v/>
      </c>
      <c r="BH141" s="21" t="str">
        <f>[2]底表!CU141</f>
        <v/>
      </c>
      <c r="BI141" s="21">
        <f>[2]底表!CV141</f>
        <v>0</v>
      </c>
      <c r="BJ141" s="21" t="str">
        <f>[2]底表!CW141</f>
        <v/>
      </c>
      <c r="BK141" s="21" t="str">
        <f>[2]底表!CX141</f>
        <v/>
      </c>
      <c r="BL141" s="21">
        <f>[2]底表!CY141</f>
        <v>0</v>
      </c>
      <c r="BM141" s="21">
        <f>[2]底表!CZ141</f>
        <v>0</v>
      </c>
      <c r="BN141" s="23" t="str">
        <f>[2]底表!DA141</f>
        <v>持平</v>
      </c>
      <c r="BO141" s="21">
        <f>[2]底表!DB141</f>
        <v>0</v>
      </c>
      <c r="BP141" s="21" t="str">
        <f>[2]底表!DC141</f>
        <v>持平</v>
      </c>
      <c r="BQ141" s="21" t="str">
        <f>[2]底表!DD141</f>
        <v/>
      </c>
      <c r="BR141" s="21" t="str">
        <f>[2]底表!DE141</f>
        <v/>
      </c>
      <c r="BS141" s="21">
        <f>[2]底表!DF141</f>
        <v>0</v>
      </c>
      <c r="BT141" s="21" t="str">
        <f>[2]底表!DG141</f>
        <v/>
      </c>
      <c r="BU141" s="21" t="str">
        <f>[2]底表!DH141</f>
        <v/>
      </c>
      <c r="BV141" s="21">
        <f>[2]底表!DI141</f>
        <v>2</v>
      </c>
      <c r="BW141" s="21">
        <f>[2]底表!DJ141</f>
        <v>8</v>
      </c>
      <c r="BX141" s="23">
        <f>[2]底表!DK141</f>
        <v>-0.75</v>
      </c>
      <c r="BY141" s="21">
        <f>[2]底表!DL141</f>
        <v>0</v>
      </c>
      <c r="BZ141" s="21" t="str">
        <f>[2]底表!DM141</f>
        <v>多2人</v>
      </c>
      <c r="CA141" s="21">
        <f>[2]底表!DN141</f>
        <v>0</v>
      </c>
      <c r="CB141" s="21">
        <f>[2]底表!DO141</f>
        <v>0</v>
      </c>
      <c r="CC141" s="21" t="str">
        <f>[2]底表!DP141</f>
        <v>持平</v>
      </c>
      <c r="CD141" s="21">
        <f>[2]底表!DQ141</f>
        <v>0</v>
      </c>
      <c r="CE141" s="21" t="str">
        <f>[2]底表!DR141</f>
        <v>持平</v>
      </c>
      <c r="CF141" s="21">
        <f>[2]底表!DS141</f>
        <v>0</v>
      </c>
      <c r="CG141" s="21">
        <f>[2]底表!DT141</f>
        <v>0</v>
      </c>
      <c r="CH141" s="21" t="str">
        <f>[2]底表!DU141</f>
        <v>持平</v>
      </c>
      <c r="CI141" s="21">
        <f>[2]底表!DV141</f>
        <v>0</v>
      </c>
      <c r="CJ141" s="21" t="str">
        <f>[2]底表!DW141</f>
        <v>持平</v>
      </c>
      <c r="CK141" s="21">
        <f>[2]底表!DX141</f>
        <v>1</v>
      </c>
      <c r="CL141" s="21">
        <f>[2]底表!DY141</f>
        <v>0</v>
      </c>
      <c r="CM141" s="21" t="str">
        <f>[2]底表!DZ141</f>
        <v>多1人</v>
      </c>
      <c r="CN141" s="21">
        <f>[2]底表!EA141</f>
        <v>0</v>
      </c>
      <c r="CO141" s="21" t="str">
        <f>[2]底表!EB141</f>
        <v>多1人</v>
      </c>
      <c r="CP141" s="21">
        <f>[2]底表!EC141</f>
        <v>0</v>
      </c>
      <c r="CQ141" s="21">
        <f>[2]底表!ED141</f>
        <v>0</v>
      </c>
      <c r="CR141" s="21" t="str">
        <f>[2]底表!EE141</f>
        <v>持平</v>
      </c>
      <c r="CS141" s="21">
        <f>[2]底表!EF141</f>
        <v>0</v>
      </c>
      <c r="CT141" s="21" t="str">
        <f>[2]底表!EG141</f>
        <v>持平</v>
      </c>
      <c r="CU141" s="21" t="str">
        <f>[2]底表!EH141</f>
        <v/>
      </c>
      <c r="CV141" s="21" t="str">
        <f>[2]底表!EI141</f>
        <v/>
      </c>
      <c r="CW141" s="21">
        <f>[2]底表!EJ141</f>
        <v>0</v>
      </c>
      <c r="CX141" s="21" t="str">
        <f>[2]底表!EK141</f>
        <v/>
      </c>
      <c r="CY141" s="21" t="str">
        <f>[2]底表!EL141</f>
        <v/>
      </c>
      <c r="CZ141" s="21">
        <f>[2]底表!EM141</f>
        <v>0</v>
      </c>
      <c r="DA141" s="21">
        <f>[2]底表!EN141</f>
        <v>0</v>
      </c>
      <c r="DB141" s="21" t="str">
        <f>[2]底表!EO141</f>
        <v>持平</v>
      </c>
      <c r="DC141" s="21">
        <f>[2]底表!EP141</f>
        <v>0</v>
      </c>
      <c r="DD141" s="21" t="str">
        <f>[2]底表!EQ141</f>
        <v>持平</v>
      </c>
      <c r="DE141" s="21">
        <f>[2]底表!ER141</f>
        <v>1</v>
      </c>
      <c r="DF141" s="21">
        <f>[2]底表!ES141</f>
        <v>0</v>
      </c>
      <c r="DG141" s="23" t="str">
        <f>[2]底表!ET141</f>
        <v>多1人</v>
      </c>
      <c r="DH141" s="21">
        <f>[2]底表!EU141</f>
        <v>0</v>
      </c>
      <c r="DI141" s="21" t="str">
        <f>[2]底表!EV141</f>
        <v>多1人</v>
      </c>
      <c r="DJ141" s="21" t="str">
        <f>[2]底表!EW141</f>
        <v/>
      </c>
      <c r="DK141" s="21" t="str">
        <f>[2]底表!EX141</f>
        <v/>
      </c>
      <c r="DL141" s="21">
        <f>[2]底表!EY141</f>
        <v>100</v>
      </c>
      <c r="DM141" s="21" t="str">
        <f>[2]底表!EZ141</f>
        <v/>
      </c>
      <c r="DN141" s="21" t="str">
        <f>[2]底表!FA141</f>
        <v/>
      </c>
      <c r="DO141" s="21">
        <f>[2]底表!BQ141</f>
        <v>0</v>
      </c>
      <c r="DP141" s="21">
        <f>[2]底表!BR141</f>
        <v>0</v>
      </c>
      <c r="DQ141" s="24" t="str">
        <f>[2]底表!BS141</f>
        <v>持平</v>
      </c>
    </row>
    <row r="142" s="2" customFormat="1" ht="32" hidden="1" customHeight="1" spans="1:121">
      <c r="A142" s="27" t="str">
        <f>[2]底表!A142</f>
        <v>掩饰隐瞒犯罪所得及所得收益</v>
      </c>
      <c r="B142" s="28" t="str">
        <f>[2]底表!B142</f>
        <v>郁南县</v>
      </c>
      <c r="C142" s="21">
        <f>[2]底表!AM142</f>
        <v>0</v>
      </c>
      <c r="D142" s="21">
        <f>[2]底表!AN142</f>
        <v>1</v>
      </c>
      <c r="E142" s="23" t="str">
        <f>[2]底表!AO142</f>
        <v>少1起</v>
      </c>
      <c r="F142" s="21">
        <f>[2]底表!AP142</f>
        <v>1</v>
      </c>
      <c r="G142" s="21" t="str">
        <f>[2]底表!AQ142</f>
        <v>少1起</v>
      </c>
      <c r="H142" s="21" t="str">
        <f>[2]底表!AR142</f>
        <v/>
      </c>
      <c r="I142" s="21" t="str">
        <f>[2]底表!AS142</f>
        <v/>
      </c>
      <c r="J142" s="21">
        <f>[2]底表!AT142</f>
        <v>0</v>
      </c>
      <c r="K142" s="21">
        <f>[2]底表!AU142</f>
        <v>1</v>
      </c>
      <c r="L142" s="21" t="str">
        <f>[2]底表!AV142</f>
        <v>少1起</v>
      </c>
      <c r="M142" s="21">
        <f>[2]底表!AW142</f>
        <v>1</v>
      </c>
      <c r="N142" s="21" t="str">
        <f>[2]底表!AX142</f>
        <v>少1起</v>
      </c>
      <c r="O142" s="21">
        <f>[2]底表!AY142</f>
        <v>0</v>
      </c>
      <c r="P142" s="21">
        <f>[2]底表!AZ142</f>
        <v>1</v>
      </c>
      <c r="Q142" s="21" t="str">
        <f>[2]底表!BA142</f>
        <v>少1起</v>
      </c>
      <c r="R142" s="21">
        <f>[2]底表!BB142</f>
        <v>1</v>
      </c>
      <c r="S142" s="21" t="str">
        <f>[2]底表!BC142</f>
        <v>少1起</v>
      </c>
      <c r="T142" s="21" t="str">
        <f>[2]底表!BD142</f>
        <v/>
      </c>
      <c r="U142" s="21" t="str">
        <f>[2]底表!BE142</f>
        <v/>
      </c>
      <c r="V142" s="21">
        <f>[2]底表!BF142</f>
        <v>0</v>
      </c>
      <c r="W142" s="21">
        <f>[2]底表!BG142</f>
        <v>0</v>
      </c>
      <c r="X142" s="21" t="str">
        <f>[2]底表!BH142</f>
        <v>持平</v>
      </c>
      <c r="Y142" s="21">
        <f>[2]底表!BI142</f>
        <v>0</v>
      </c>
      <c r="Z142" s="21" t="str">
        <f>[2]底表!BJ142</f>
        <v>持平</v>
      </c>
      <c r="AA142" s="21" t="str">
        <f>[2]底表!BK142</f>
        <v/>
      </c>
      <c r="AB142" s="21">
        <f>[2]底表!BL142</f>
        <v>0</v>
      </c>
      <c r="AC142" s="21">
        <f>[2]底表!BM142</f>
        <v>0</v>
      </c>
      <c r="AD142" s="21" t="str">
        <f>[2]底表!BN142</f>
        <v>持平</v>
      </c>
      <c r="AE142" s="21">
        <f>[2]底表!BO142</f>
        <v>0</v>
      </c>
      <c r="AF142" s="21" t="str">
        <f>[2]底表!BP142</f>
        <v>持平</v>
      </c>
      <c r="AG142" s="21">
        <f>[2]底表!BT142</f>
        <v>1</v>
      </c>
      <c r="AH142" s="21" t="str">
        <f>[2]底表!BU142</f>
        <v>少1起</v>
      </c>
      <c r="AI142" s="21" t="str">
        <f>[2]底表!BV142</f>
        <v/>
      </c>
      <c r="AJ142" s="21" t="str">
        <f>[2]底表!BW142</f>
        <v/>
      </c>
      <c r="AK142" s="21" t="str">
        <f>[2]底表!BX142</f>
        <v/>
      </c>
      <c r="AL142" s="21" t="str">
        <f>[2]底表!BY142</f>
        <v/>
      </c>
      <c r="AM142" s="21">
        <f>[2]底表!BZ142</f>
        <v>0</v>
      </c>
      <c r="AN142" s="21">
        <f>[2]底表!CA142</f>
        <v>0</v>
      </c>
      <c r="AO142" s="21" t="str">
        <f>[2]底表!CB142</f>
        <v>持平</v>
      </c>
      <c r="AP142" s="21">
        <f>[2]底表!CC142</f>
        <v>0</v>
      </c>
      <c r="AQ142" s="21" t="str">
        <f>[2]底表!CD142</f>
        <v>持平</v>
      </c>
      <c r="AR142" s="21" t="str">
        <f>[2]底表!CE142</f>
        <v/>
      </c>
      <c r="AS142" s="21" t="str">
        <f>[2]底表!CF142</f>
        <v/>
      </c>
      <c r="AT142" s="21">
        <f>[2]底表!CG142</f>
        <v>0</v>
      </c>
      <c r="AU142" s="21">
        <f>[2]底表!CH142</f>
        <v>8</v>
      </c>
      <c r="AV142" s="21" t="str">
        <f>[2]底表!CI142</f>
        <v>少8人</v>
      </c>
      <c r="AW142" s="21">
        <f>[2]底表!CJ142</f>
        <v>2</v>
      </c>
      <c r="AX142" s="21" t="str">
        <f>[2]底表!CK142</f>
        <v>少2人</v>
      </c>
      <c r="AY142" s="21" t="str">
        <f>[2]底表!CL142</f>
        <v/>
      </c>
      <c r="AZ142" s="21" t="str">
        <f>[2]底表!CM142</f>
        <v/>
      </c>
      <c r="BA142" s="21" t="str">
        <f>[2]底表!CN142</f>
        <v/>
      </c>
      <c r="BB142" s="21">
        <f>[2]底表!CO142</f>
        <v>5</v>
      </c>
      <c r="BC142" s="21">
        <f>[2]底表!CP142</f>
        <v>16</v>
      </c>
      <c r="BD142" s="21">
        <f>[2]底表!CQ142</f>
        <v>-0.6875</v>
      </c>
      <c r="BE142" s="21">
        <f>[2]底表!CR142</f>
        <v>6</v>
      </c>
      <c r="BF142" s="21">
        <f>[2]底表!CS142</f>
        <v>-0.1667</v>
      </c>
      <c r="BG142" s="21" t="str">
        <f>[2]底表!CT142</f>
        <v/>
      </c>
      <c r="BH142" s="21" t="str">
        <f>[2]底表!CU142</f>
        <v/>
      </c>
      <c r="BI142" s="21" t="str">
        <f>[2]底表!CV142</f>
        <v/>
      </c>
      <c r="BJ142" s="21" t="str">
        <f>[2]底表!CW142</f>
        <v/>
      </c>
      <c r="BK142" s="21" t="str">
        <f>[2]底表!CX142</f>
        <v/>
      </c>
      <c r="BL142" s="21">
        <f>[2]底表!CY142</f>
        <v>5</v>
      </c>
      <c r="BM142" s="21">
        <f>[2]底表!CZ142</f>
        <v>17</v>
      </c>
      <c r="BN142" s="23">
        <f>[2]底表!DA142</f>
        <v>-0.7059</v>
      </c>
      <c r="BO142" s="21">
        <f>[2]底表!DB142</f>
        <v>6</v>
      </c>
      <c r="BP142" s="21">
        <f>[2]底表!DC142</f>
        <v>-0.1667</v>
      </c>
      <c r="BQ142" s="21" t="str">
        <f>[2]底表!DD142</f>
        <v/>
      </c>
      <c r="BR142" s="21" t="str">
        <f>[2]底表!DE142</f>
        <v/>
      </c>
      <c r="BS142" s="21" t="str">
        <f>[2]底表!DF142</f>
        <v/>
      </c>
      <c r="BT142" s="21" t="str">
        <f>[2]底表!DG142</f>
        <v/>
      </c>
      <c r="BU142" s="21" t="str">
        <f>[2]底表!DH142</f>
        <v/>
      </c>
      <c r="BV142" s="21">
        <f>[2]底表!DI142</f>
        <v>13</v>
      </c>
      <c r="BW142" s="21">
        <f>[2]底表!DJ142</f>
        <v>17</v>
      </c>
      <c r="BX142" s="23">
        <f>[2]底表!DK142</f>
        <v>-0.2353</v>
      </c>
      <c r="BY142" s="21">
        <f>[2]底表!DL142</f>
        <v>9</v>
      </c>
      <c r="BZ142" s="21">
        <f>[2]底表!DM142</f>
        <v>0.4444</v>
      </c>
      <c r="CA142" s="21">
        <f>[2]底表!DN142</f>
        <v>4</v>
      </c>
      <c r="CB142" s="21">
        <f>[2]底表!DO142</f>
        <v>4</v>
      </c>
      <c r="CC142" s="21">
        <f>[2]底表!DP142</f>
        <v>0</v>
      </c>
      <c r="CD142" s="21">
        <f>[2]底表!DQ142</f>
        <v>1</v>
      </c>
      <c r="CE142" s="21">
        <f>[2]底表!DR142</f>
        <v>3</v>
      </c>
      <c r="CF142" s="21">
        <f>[2]底表!DS142</f>
        <v>4</v>
      </c>
      <c r="CG142" s="21">
        <f>[2]底表!DT142</f>
        <v>4</v>
      </c>
      <c r="CH142" s="21">
        <f>[2]底表!DU142</f>
        <v>0</v>
      </c>
      <c r="CI142" s="21">
        <f>[2]底表!DV142</f>
        <v>1</v>
      </c>
      <c r="CJ142" s="21">
        <f>[2]底表!DW142</f>
        <v>3</v>
      </c>
      <c r="CK142" s="21">
        <f>[2]底表!DX142</f>
        <v>5</v>
      </c>
      <c r="CL142" s="21">
        <f>[2]底表!DY142</f>
        <v>4</v>
      </c>
      <c r="CM142" s="21">
        <f>[2]底表!DZ142</f>
        <v>0.25</v>
      </c>
      <c r="CN142" s="21">
        <f>[2]底表!EA142</f>
        <v>6</v>
      </c>
      <c r="CO142" s="21">
        <f>[2]底表!EB142</f>
        <v>-0.1667</v>
      </c>
      <c r="CP142" s="21">
        <f>[2]底表!EC142</f>
        <v>7</v>
      </c>
      <c r="CQ142" s="21">
        <f>[2]底表!ED142</f>
        <v>2</v>
      </c>
      <c r="CR142" s="21">
        <f>[2]底表!EE142</f>
        <v>2.5</v>
      </c>
      <c r="CS142" s="21">
        <f>[2]底表!EF142</f>
        <v>0</v>
      </c>
      <c r="CT142" s="21" t="str">
        <f>[2]底表!EG142</f>
        <v>多7人</v>
      </c>
      <c r="CU142" s="21">
        <f>[2]底表!EH142</f>
        <v>1.4</v>
      </c>
      <c r="CV142" s="21">
        <f>[2]底表!EI142</f>
        <v>1.275</v>
      </c>
      <c r="CW142" s="21" t="str">
        <f>[2]底表!EJ142</f>
        <v/>
      </c>
      <c r="CX142" s="21" t="str">
        <f>[2]底表!EK142</f>
        <v/>
      </c>
      <c r="CY142" s="21" t="str">
        <f>[2]底表!EL142</f>
        <v/>
      </c>
      <c r="CZ142" s="21">
        <f>[2]底表!EM142</f>
        <v>7</v>
      </c>
      <c r="DA142" s="21">
        <f>[2]底表!EN142</f>
        <v>2</v>
      </c>
      <c r="DB142" s="21">
        <f>[2]底表!EO142</f>
        <v>2.5</v>
      </c>
      <c r="DC142" s="21">
        <f>[2]底表!EP142</f>
        <v>0</v>
      </c>
      <c r="DD142" s="21" t="str">
        <f>[2]底表!EQ142</f>
        <v>多7人</v>
      </c>
      <c r="DE142" s="21">
        <f>[2]底表!ER142</f>
        <v>0</v>
      </c>
      <c r="DF142" s="21">
        <f>[2]底表!ES142</f>
        <v>0</v>
      </c>
      <c r="DG142" s="23" t="str">
        <f>[2]底表!ET142</f>
        <v>持平</v>
      </c>
      <c r="DH142" s="21">
        <f>[2]底表!EU142</f>
        <v>1</v>
      </c>
      <c r="DI142" s="21" t="str">
        <f>[2]底表!EV142</f>
        <v>少1人</v>
      </c>
      <c r="DJ142" s="21">
        <f>[2]底表!EW142</f>
        <v>0</v>
      </c>
      <c r="DK142" s="21">
        <f>[2]底表!EX142</f>
        <v>0</v>
      </c>
      <c r="DL142" s="21" t="str">
        <f>[2]底表!EY142</f>
        <v/>
      </c>
      <c r="DM142" s="21" t="str">
        <f>[2]底表!EZ142</f>
        <v/>
      </c>
      <c r="DN142" s="21" t="str">
        <f>[2]底表!FA142</f>
        <v/>
      </c>
      <c r="DO142" s="21">
        <f>[2]底表!BQ142</f>
        <v>0</v>
      </c>
      <c r="DP142" s="21">
        <f>[2]底表!BR142</f>
        <v>0</v>
      </c>
      <c r="DQ142" s="24" t="str">
        <f>[2]底表!BS142</f>
        <v>持平</v>
      </c>
    </row>
    <row r="143" s="2" customFormat="1" ht="32" hidden="1" customHeight="1" spans="1:121">
      <c r="A143" s="27" t="str">
        <f>[2]底表!A143</f>
        <v>掩饰隐瞒犯罪所得及所得收益</v>
      </c>
      <c r="B143" s="28" t="str">
        <f>[2]底表!B143</f>
        <v>罗定市</v>
      </c>
      <c r="C143" s="21">
        <f>[2]底表!AM143</f>
        <v>2</v>
      </c>
      <c r="D143" s="21">
        <f>[2]底表!AN143</f>
        <v>2</v>
      </c>
      <c r="E143" s="23">
        <f>[2]底表!AO143</f>
        <v>0</v>
      </c>
      <c r="F143" s="21">
        <f>[2]底表!AP143</f>
        <v>0</v>
      </c>
      <c r="G143" s="21" t="str">
        <f>[2]底表!AQ143</f>
        <v>多2起</v>
      </c>
      <c r="H143" s="21">
        <f>[2]底表!AR143</f>
        <v>1</v>
      </c>
      <c r="I143" s="21">
        <f>[2]底表!AS143</f>
        <v>0</v>
      </c>
      <c r="J143" s="21">
        <f>[2]底表!AT143</f>
        <v>2</v>
      </c>
      <c r="K143" s="21">
        <f>[2]底表!AU143</f>
        <v>1</v>
      </c>
      <c r="L143" s="21">
        <f>[2]底表!AV143</f>
        <v>1</v>
      </c>
      <c r="M143" s="21">
        <f>[2]底表!AW143</f>
        <v>0</v>
      </c>
      <c r="N143" s="21" t="str">
        <f>[2]底表!AX143</f>
        <v>多2起</v>
      </c>
      <c r="O143" s="21">
        <f>[2]底表!AY143</f>
        <v>2</v>
      </c>
      <c r="P143" s="21">
        <f>[2]底表!AZ143</f>
        <v>1</v>
      </c>
      <c r="Q143" s="21">
        <f>[2]底表!BA143</f>
        <v>1</v>
      </c>
      <c r="R143" s="21">
        <f>[2]底表!BB143</f>
        <v>0</v>
      </c>
      <c r="S143" s="21" t="str">
        <f>[2]底表!BC143</f>
        <v>多2起</v>
      </c>
      <c r="T143" s="21">
        <f>[2]底表!BD143</f>
        <v>1</v>
      </c>
      <c r="U143" s="21">
        <f>[2]底表!BE143</f>
        <v>0</v>
      </c>
      <c r="V143" s="21">
        <f>[2]底表!BF143</f>
        <v>0</v>
      </c>
      <c r="W143" s="21">
        <f>[2]底表!BG143</f>
        <v>1</v>
      </c>
      <c r="X143" s="21" t="str">
        <f>[2]底表!BH143</f>
        <v>少1起</v>
      </c>
      <c r="Y143" s="21">
        <f>[2]底表!BI143</f>
        <v>0</v>
      </c>
      <c r="Z143" s="21" t="str">
        <f>[2]底表!BJ143</f>
        <v>持平</v>
      </c>
      <c r="AA143" s="21">
        <f>[2]底表!BK143</f>
        <v>0</v>
      </c>
      <c r="AB143" s="21">
        <f>[2]底表!BL143</f>
        <v>0</v>
      </c>
      <c r="AC143" s="21">
        <f>[2]底表!BM143</f>
        <v>1</v>
      </c>
      <c r="AD143" s="21" t="str">
        <f>[2]底表!BN143</f>
        <v>少1起</v>
      </c>
      <c r="AE143" s="21">
        <f>[2]底表!BO143</f>
        <v>0</v>
      </c>
      <c r="AF143" s="21" t="str">
        <f>[2]底表!BP143</f>
        <v>持平</v>
      </c>
      <c r="AG143" s="21">
        <f>[2]底表!BT143</f>
        <v>0</v>
      </c>
      <c r="AH143" s="21" t="str">
        <f>[2]底表!BU143</f>
        <v>持平</v>
      </c>
      <c r="AI143" s="21">
        <f>[2]底表!BV143</f>
        <v>0</v>
      </c>
      <c r="AJ143" s="21">
        <f>[2]底表!BW143</f>
        <v>0</v>
      </c>
      <c r="AK143" s="21">
        <f>[2]底表!BX143</f>
        <v>0</v>
      </c>
      <c r="AL143" s="21">
        <f>[2]底表!BY143</f>
        <v>0</v>
      </c>
      <c r="AM143" s="21">
        <f>[2]底表!BZ143</f>
        <v>0</v>
      </c>
      <c r="AN143" s="21">
        <f>[2]底表!CA143</f>
        <v>0</v>
      </c>
      <c r="AO143" s="21" t="str">
        <f>[2]底表!CB143</f>
        <v>持平</v>
      </c>
      <c r="AP143" s="21">
        <f>[2]底表!CC143</f>
        <v>0</v>
      </c>
      <c r="AQ143" s="21" t="str">
        <f>[2]底表!CD143</f>
        <v>持平</v>
      </c>
      <c r="AR143" s="21" t="str">
        <f>[2]底表!CE143</f>
        <v/>
      </c>
      <c r="AS143" s="21" t="str">
        <f>[2]底表!CF143</f>
        <v/>
      </c>
      <c r="AT143" s="21">
        <f>[2]底表!CG143</f>
        <v>24</v>
      </c>
      <c r="AU143" s="21">
        <f>[2]底表!CH143</f>
        <v>1</v>
      </c>
      <c r="AV143" s="21">
        <f>[2]底表!CI143</f>
        <v>23</v>
      </c>
      <c r="AW143" s="21">
        <f>[2]底表!CJ143</f>
        <v>1</v>
      </c>
      <c r="AX143" s="21">
        <f>[2]底表!CK143</f>
        <v>23</v>
      </c>
      <c r="AY143" s="21">
        <f>[2]底表!CL143</f>
        <v>1200</v>
      </c>
      <c r="AZ143" s="21">
        <f>[2]底表!CM143</f>
        <v>1150</v>
      </c>
      <c r="BA143" s="21">
        <f>[2]底表!CN143</f>
        <v>23</v>
      </c>
      <c r="BB143" s="21">
        <f>[2]底表!CO143</f>
        <v>26</v>
      </c>
      <c r="BC143" s="21">
        <f>[2]底表!CP143</f>
        <v>0</v>
      </c>
      <c r="BD143" s="21" t="str">
        <f>[2]底表!CQ143</f>
        <v>多26人</v>
      </c>
      <c r="BE143" s="21">
        <f>[2]底表!CR143</f>
        <v>2</v>
      </c>
      <c r="BF143" s="21">
        <f>[2]底表!CS143</f>
        <v>12</v>
      </c>
      <c r="BG143" s="21">
        <f>[2]底表!CT143</f>
        <v>1.0833</v>
      </c>
      <c r="BH143" s="21">
        <f>[2]底表!CU143</f>
        <v>1.0833</v>
      </c>
      <c r="BI143" s="21">
        <f>[2]底表!CV143</f>
        <v>1300</v>
      </c>
      <c r="BJ143" s="21">
        <f>[2]底表!CW143</f>
        <v>1300</v>
      </c>
      <c r="BK143" s="21" t="str">
        <f>[2]底表!CX143</f>
        <v/>
      </c>
      <c r="BL143" s="21">
        <f>[2]底表!CY143</f>
        <v>27</v>
      </c>
      <c r="BM143" s="21">
        <f>[2]底表!CZ143</f>
        <v>3</v>
      </c>
      <c r="BN143" s="23">
        <f>[2]底表!DA143</f>
        <v>8</v>
      </c>
      <c r="BO143" s="21">
        <f>[2]底表!DB143</f>
        <v>2</v>
      </c>
      <c r="BP143" s="21">
        <f>[2]底表!DC143</f>
        <v>12.5</v>
      </c>
      <c r="BQ143" s="21">
        <f>[2]底表!DD143</f>
        <v>1.125</v>
      </c>
      <c r="BR143" s="21">
        <f>[2]底表!DE143</f>
        <v>-1.875</v>
      </c>
      <c r="BS143" s="21">
        <f>[2]底表!DF143</f>
        <v>1350</v>
      </c>
      <c r="BT143" s="21">
        <f>[2]底表!DG143</f>
        <v>1200</v>
      </c>
      <c r="BU143" s="21">
        <f>[2]底表!DH143</f>
        <v>8</v>
      </c>
      <c r="BV143" s="21">
        <f>[2]底表!DI143</f>
        <v>11</v>
      </c>
      <c r="BW143" s="21">
        <f>[2]底表!DJ143</f>
        <v>0</v>
      </c>
      <c r="BX143" s="23" t="str">
        <f>[2]底表!DK143</f>
        <v>多11人</v>
      </c>
      <c r="BY143" s="21">
        <f>[2]底表!DL143</f>
        <v>1</v>
      </c>
      <c r="BZ143" s="21">
        <f>[2]底表!DM143</f>
        <v>10</v>
      </c>
      <c r="CA143" s="21">
        <f>[2]底表!DN143</f>
        <v>1</v>
      </c>
      <c r="CB143" s="21">
        <f>[2]底表!DO143</f>
        <v>3</v>
      </c>
      <c r="CC143" s="21">
        <f>[2]底表!DP143</f>
        <v>-0.6667</v>
      </c>
      <c r="CD143" s="21">
        <f>[2]底表!DQ143</f>
        <v>0</v>
      </c>
      <c r="CE143" s="21" t="str">
        <f>[2]底表!DR143</f>
        <v>多1人</v>
      </c>
      <c r="CF143" s="21">
        <f>[2]底表!DS143</f>
        <v>1</v>
      </c>
      <c r="CG143" s="21">
        <f>[2]底表!DT143</f>
        <v>3</v>
      </c>
      <c r="CH143" s="21">
        <f>[2]底表!DU143</f>
        <v>-0.6667</v>
      </c>
      <c r="CI143" s="21">
        <f>[2]底表!DV143</f>
        <v>0</v>
      </c>
      <c r="CJ143" s="21" t="str">
        <f>[2]底表!DW143</f>
        <v>多1人</v>
      </c>
      <c r="CK143" s="21">
        <f>[2]底表!DX143</f>
        <v>2</v>
      </c>
      <c r="CL143" s="21">
        <f>[2]底表!DY143</f>
        <v>3</v>
      </c>
      <c r="CM143" s="21">
        <f>[2]底表!DZ143</f>
        <v>-0.3333</v>
      </c>
      <c r="CN143" s="21">
        <f>[2]底表!EA143</f>
        <v>1</v>
      </c>
      <c r="CO143" s="21">
        <f>[2]底表!EB143</f>
        <v>1</v>
      </c>
      <c r="CP143" s="21">
        <f>[2]底表!EC143</f>
        <v>2</v>
      </c>
      <c r="CQ143" s="21">
        <f>[2]底表!ED143</f>
        <v>0</v>
      </c>
      <c r="CR143" s="21" t="str">
        <f>[2]底表!EE143</f>
        <v>多2人</v>
      </c>
      <c r="CS143" s="21">
        <f>[2]底表!EF143</f>
        <v>2</v>
      </c>
      <c r="CT143" s="21">
        <f>[2]底表!EG143</f>
        <v>0</v>
      </c>
      <c r="CU143" s="21">
        <f>[2]底表!EH143</f>
        <v>0.0769</v>
      </c>
      <c r="CV143" s="21" t="str">
        <f>[2]底表!EI143</f>
        <v/>
      </c>
      <c r="CW143" s="21">
        <f>[2]底表!EJ143</f>
        <v>100</v>
      </c>
      <c r="CX143" s="21">
        <f>[2]底表!EK143</f>
        <v>100</v>
      </c>
      <c r="CY143" s="21" t="str">
        <f>[2]底表!EL143</f>
        <v/>
      </c>
      <c r="CZ143" s="21">
        <f>[2]底表!EM143</f>
        <v>2</v>
      </c>
      <c r="DA143" s="21">
        <f>[2]底表!EN143</f>
        <v>0</v>
      </c>
      <c r="DB143" s="21" t="str">
        <f>[2]底表!EO143</f>
        <v>多2人</v>
      </c>
      <c r="DC143" s="21">
        <f>[2]底表!EP143</f>
        <v>2</v>
      </c>
      <c r="DD143" s="21">
        <f>[2]底表!EQ143</f>
        <v>0</v>
      </c>
      <c r="DE143" s="21">
        <f>[2]底表!ER143</f>
        <v>10</v>
      </c>
      <c r="DF143" s="21">
        <f>[2]底表!ES143</f>
        <v>0</v>
      </c>
      <c r="DG143" s="23" t="str">
        <f>[2]底表!ET143</f>
        <v>多10人</v>
      </c>
      <c r="DH143" s="21">
        <f>[2]底表!EU143</f>
        <v>6</v>
      </c>
      <c r="DI143" s="21">
        <f>[2]底表!EV143</f>
        <v>0.6667</v>
      </c>
      <c r="DJ143" s="21">
        <f>[2]底表!EW143</f>
        <v>0.3846</v>
      </c>
      <c r="DK143" s="21" t="str">
        <f>[2]底表!EX143</f>
        <v/>
      </c>
      <c r="DL143" s="21">
        <f>[2]底表!EY143</f>
        <v>500</v>
      </c>
      <c r="DM143" s="21">
        <f>[2]底表!EZ143</f>
        <v>500</v>
      </c>
      <c r="DN143" s="21" t="str">
        <f>[2]底表!FA143</f>
        <v/>
      </c>
      <c r="DO143" s="21">
        <f>[2]底表!BQ143</f>
        <v>0</v>
      </c>
      <c r="DP143" s="21">
        <f>[2]底表!BR143</f>
        <v>0</v>
      </c>
      <c r="DQ143" s="24" t="str">
        <f>[2]底表!BS143</f>
        <v>持平</v>
      </c>
    </row>
    <row r="144" s="2" customFormat="1" ht="32" hidden="1" customHeight="1" spans="1:121">
      <c r="A144" s="27" t="str">
        <f>[2]底表!A144</f>
        <v>八类</v>
      </c>
      <c r="B144" s="28" t="str">
        <f>[2]底表!B144</f>
        <v>全省</v>
      </c>
      <c r="C144" s="21">
        <f>[2]底表!AM144</f>
        <v>1483</v>
      </c>
      <c r="D144" s="21">
        <f>[2]底表!AN144</f>
        <v>1070</v>
      </c>
      <c r="E144" s="23">
        <f>[2]底表!AO144</f>
        <v>0.386</v>
      </c>
      <c r="F144" s="21">
        <f>[2]底表!AP144</f>
        <v>1842</v>
      </c>
      <c r="G144" s="21">
        <f>[2]底表!AQ144</f>
        <v>-0.1949</v>
      </c>
      <c r="H144" s="21">
        <f>[2]底表!AR144</f>
        <v>0.9562</v>
      </c>
      <c r="I144" s="21">
        <f>[2]底表!AS144</f>
        <v>0.1002</v>
      </c>
      <c r="J144" s="21">
        <f>[2]底表!AT144</f>
        <v>1038</v>
      </c>
      <c r="K144" s="21">
        <f>[2]底表!AU144</f>
        <v>838</v>
      </c>
      <c r="L144" s="21">
        <f>[2]底表!AV144</f>
        <v>0.2387</v>
      </c>
      <c r="M144" s="21">
        <f>[2]底表!AW144</f>
        <v>1519</v>
      </c>
      <c r="N144" s="21">
        <f>[2]底表!AX144</f>
        <v>-0.3167</v>
      </c>
      <c r="O144" s="21">
        <f>[2]底表!AY144</f>
        <v>957</v>
      </c>
      <c r="P144" s="21">
        <f>[2]底表!AZ144</f>
        <v>711</v>
      </c>
      <c r="Q144" s="21">
        <f>[2]底表!BA144</f>
        <v>0.346</v>
      </c>
      <c r="R144" s="21">
        <f>[2]底表!BB144</f>
        <v>1652</v>
      </c>
      <c r="S144" s="21">
        <f>[2]底表!BC144</f>
        <v>-0.4207</v>
      </c>
      <c r="T144" s="21">
        <f>[2]底表!BD144</f>
        <v>0.922</v>
      </c>
      <c r="U144" s="21">
        <f>[2]底表!BE144</f>
        <v>0.0735</v>
      </c>
      <c r="V144" s="21">
        <f>[2]底表!BF144</f>
        <v>513</v>
      </c>
      <c r="W144" s="21">
        <f>[2]底表!BG144</f>
        <v>412</v>
      </c>
      <c r="X144" s="21">
        <f>[2]底表!BH144</f>
        <v>0.2451</v>
      </c>
      <c r="Y144" s="21">
        <f>[2]底表!BI144</f>
        <v>53</v>
      </c>
      <c r="Z144" s="21">
        <f>[2]底表!BJ144</f>
        <v>8.6792</v>
      </c>
      <c r="AA144" s="21">
        <f>[2]底表!BK144</f>
        <v>0.3308</v>
      </c>
      <c r="AB144" s="21">
        <f>[2]底表!BL144</f>
        <v>526</v>
      </c>
      <c r="AC144" s="21">
        <f>[2]底表!BM144</f>
        <v>359</v>
      </c>
      <c r="AD144" s="21">
        <f>[2]底表!BN144</f>
        <v>0.4652</v>
      </c>
      <c r="AE144" s="21">
        <f>[2]底表!BO144</f>
        <v>190</v>
      </c>
      <c r="AF144" s="21">
        <f>[2]底表!BP144</f>
        <v>1.7684</v>
      </c>
      <c r="AG144" s="21">
        <f>[2]底表!BT144</f>
        <v>1595</v>
      </c>
      <c r="AH144" s="21">
        <f>[2]底表!BU144</f>
        <v>-0.437</v>
      </c>
      <c r="AI144" s="21">
        <f>[2]底表!BV144</f>
        <v>0.579</v>
      </c>
      <c r="AJ144" s="21">
        <f>[2]底表!BW144</f>
        <v>0.0038</v>
      </c>
      <c r="AK144" s="21">
        <f>[2]底表!BX144</f>
        <v>0.8651</v>
      </c>
      <c r="AL144" s="21">
        <f>[2]底表!BY144</f>
        <v>0.0071</v>
      </c>
      <c r="AM144" s="21">
        <f>[2]底表!BZ144</f>
        <v>2</v>
      </c>
      <c r="AN144" s="21">
        <f>[2]底表!CA144</f>
        <v>3</v>
      </c>
      <c r="AO144" s="21">
        <f>[2]底表!CB144</f>
        <v>-0.3333</v>
      </c>
      <c r="AP144" s="21">
        <f>[2]底表!CC144</f>
        <v>23</v>
      </c>
      <c r="AQ144" s="21">
        <f>[2]底表!CD144</f>
        <v>-0.913</v>
      </c>
      <c r="AR144" s="21" t="str">
        <f>[2]底表!CE144</f>
        <v/>
      </c>
      <c r="AS144" s="21" t="str">
        <f>[2]底表!CF144</f>
        <v/>
      </c>
      <c r="AT144" s="21">
        <f>[2]底表!CG144</f>
        <v>1874</v>
      </c>
      <c r="AU144" s="21">
        <f>[2]底表!CH144</f>
        <v>1639</v>
      </c>
      <c r="AV144" s="21">
        <f>[2]底表!CI144</f>
        <v>0.1434</v>
      </c>
      <c r="AW144" s="21">
        <f>[2]底表!CJ144</f>
        <v>2160</v>
      </c>
      <c r="AX144" s="21">
        <f>[2]底表!CK144</f>
        <v>-0.1324</v>
      </c>
      <c r="AY144" s="21">
        <f>[2]底表!CL144</f>
        <v>121</v>
      </c>
      <c r="AZ144" s="21">
        <f>[2]底表!CM144</f>
        <v>-10</v>
      </c>
      <c r="BA144" s="21">
        <f>[2]底表!CN144</f>
        <v>-0.0785</v>
      </c>
      <c r="BB144" s="21">
        <f>[2]底表!CO144</f>
        <v>1350</v>
      </c>
      <c r="BC144" s="21">
        <f>[2]底表!CP144</f>
        <v>861</v>
      </c>
      <c r="BD144" s="21">
        <f>[2]底表!CQ144</f>
        <v>0.5679</v>
      </c>
      <c r="BE144" s="21">
        <f>[2]底表!CR144</f>
        <v>1505</v>
      </c>
      <c r="BF144" s="21">
        <f>[2]底表!CS144</f>
        <v>-0.103</v>
      </c>
      <c r="BG144" s="21">
        <f>[2]底表!CT144</f>
        <v>0.7204</v>
      </c>
      <c r="BH144" s="21">
        <f>[2]底表!CU144</f>
        <v>0.1951</v>
      </c>
      <c r="BI144" s="21">
        <f>[2]底表!CV144</f>
        <v>87</v>
      </c>
      <c r="BJ144" s="21">
        <f>[2]底表!CW144</f>
        <v>18</v>
      </c>
      <c r="BK144" s="21">
        <f>[2]底表!CX144</f>
        <v>0.2637</v>
      </c>
      <c r="BL144" s="21">
        <f>[2]底表!CY144</f>
        <v>1723</v>
      </c>
      <c r="BM144" s="21">
        <f>[2]底表!CZ144</f>
        <v>1263</v>
      </c>
      <c r="BN144" s="23">
        <f>[2]底表!DA144</f>
        <v>0.3642</v>
      </c>
      <c r="BO144" s="21">
        <f>[2]底表!DB144</f>
        <v>1968</v>
      </c>
      <c r="BP144" s="21">
        <f>[2]底表!DC144</f>
        <v>-0.1245</v>
      </c>
      <c r="BQ144" s="21">
        <f>[2]底表!DD144</f>
        <v>0.9194</v>
      </c>
      <c r="BR144" s="21">
        <f>[2]底表!DE144</f>
        <v>0.1488</v>
      </c>
      <c r="BS144" s="21">
        <f>[2]底表!DF144</f>
        <v>111</v>
      </c>
      <c r="BT144" s="21">
        <f>[2]底表!DG144</f>
        <v>10</v>
      </c>
      <c r="BU144" s="21">
        <f>[2]底表!DH144</f>
        <v>0.0995</v>
      </c>
      <c r="BV144" s="21">
        <f>[2]底表!DI144</f>
        <v>1704</v>
      </c>
      <c r="BW144" s="21">
        <f>[2]底表!DJ144</f>
        <v>1291</v>
      </c>
      <c r="BX144" s="23">
        <f>[2]底表!DK144</f>
        <v>0.3199</v>
      </c>
      <c r="BY144" s="21">
        <f>[2]底表!DL144</f>
        <v>1949</v>
      </c>
      <c r="BZ144" s="21">
        <f>[2]底表!DM144</f>
        <v>-0.1257</v>
      </c>
      <c r="CA144" s="21">
        <f>[2]底表!DN144</f>
        <v>1069</v>
      </c>
      <c r="CB144" s="21">
        <f>[2]底表!DO144</f>
        <v>856</v>
      </c>
      <c r="CC144" s="21">
        <f>[2]底表!DP144</f>
        <v>0.2488</v>
      </c>
      <c r="CD144" s="21">
        <f>[2]底表!DQ144</f>
        <v>1285</v>
      </c>
      <c r="CE144" s="21">
        <f>[2]底表!DR144</f>
        <v>-0.1681</v>
      </c>
      <c r="CF144" s="21">
        <f>[2]底表!DS144</f>
        <v>1071</v>
      </c>
      <c r="CG144" s="21">
        <f>[2]底表!DT144</f>
        <v>856</v>
      </c>
      <c r="CH144" s="21">
        <f>[2]底表!DU144</f>
        <v>0.2512</v>
      </c>
      <c r="CI144" s="21">
        <f>[2]底表!DV144</f>
        <v>1286</v>
      </c>
      <c r="CJ144" s="21">
        <f>[2]底表!DW144</f>
        <v>-0.1672</v>
      </c>
      <c r="CK144" s="21">
        <f>[2]底表!DX144</f>
        <v>1439</v>
      </c>
      <c r="CL144" s="21">
        <f>[2]底表!DY144</f>
        <v>1162</v>
      </c>
      <c r="CM144" s="21">
        <f>[2]底表!DZ144</f>
        <v>0.2384</v>
      </c>
      <c r="CN144" s="21">
        <f>[2]底表!EA144</f>
        <v>1659</v>
      </c>
      <c r="CO144" s="21">
        <f>[2]底表!EB144</f>
        <v>-0.1326</v>
      </c>
      <c r="CP144" s="21">
        <f>[2]底表!EC144</f>
        <v>758</v>
      </c>
      <c r="CQ144" s="21">
        <f>[2]底表!ED144</f>
        <v>754</v>
      </c>
      <c r="CR144" s="21">
        <f>[2]底表!EE144</f>
        <v>0.0053</v>
      </c>
      <c r="CS144" s="21">
        <f>[2]底表!EF144</f>
        <v>955</v>
      </c>
      <c r="CT144" s="21">
        <f>[2]底表!EG144</f>
        <v>-0.2063</v>
      </c>
      <c r="CU144" s="21">
        <f>[2]底表!EH144</f>
        <v>0.5615</v>
      </c>
      <c r="CV144" s="21">
        <f>[2]底表!EI144</f>
        <v>-0.3142</v>
      </c>
      <c r="CW144" s="21">
        <f>[2]底表!EJ144</f>
        <v>49</v>
      </c>
      <c r="CX144" s="21">
        <f>[2]底表!EK144</f>
        <v>-11</v>
      </c>
      <c r="CY144" s="21">
        <f>[2]底表!EL144</f>
        <v>-0.1898</v>
      </c>
      <c r="CZ144" s="21">
        <f>[2]底表!EM144</f>
        <v>783</v>
      </c>
      <c r="DA144" s="21">
        <f>[2]底表!EN144</f>
        <v>757</v>
      </c>
      <c r="DB144" s="21">
        <f>[2]底表!EO144</f>
        <v>0.0343</v>
      </c>
      <c r="DC144" s="21">
        <f>[2]底表!EP144</f>
        <v>964</v>
      </c>
      <c r="DD144" s="21">
        <f>[2]底表!EQ144</f>
        <v>-0.1878</v>
      </c>
      <c r="DE144" s="21">
        <f>[2]底表!ER144</f>
        <v>1148</v>
      </c>
      <c r="DF144" s="21">
        <f>[2]底表!ES144</f>
        <v>843</v>
      </c>
      <c r="DG144" s="23">
        <f>[2]底表!ET144</f>
        <v>0.3618</v>
      </c>
      <c r="DH144" s="21">
        <f>[2]底表!EU144</f>
        <v>1874</v>
      </c>
      <c r="DI144" s="21">
        <f>[2]底表!EV144</f>
        <v>-0.3874</v>
      </c>
      <c r="DJ144" s="21">
        <f>[2]底表!EW144</f>
        <v>0.8504</v>
      </c>
      <c r="DK144" s="21">
        <f>[2]底表!EX144</f>
        <v>-0.1287</v>
      </c>
      <c r="DL144" s="21">
        <f>[2]底表!EY144</f>
        <v>74</v>
      </c>
      <c r="DM144" s="21">
        <f>[2]底表!EZ144</f>
        <v>7</v>
      </c>
      <c r="DN144" s="21">
        <f>[2]底表!FA144</f>
        <v>0.0975</v>
      </c>
      <c r="DO144" s="21">
        <f>[2]底表!BQ144</f>
        <v>898</v>
      </c>
      <c r="DP144" s="21">
        <f>[2]底表!BR144</f>
        <v>719</v>
      </c>
      <c r="DQ144" s="24">
        <f>[2]底表!BS144</f>
        <v>0.249</v>
      </c>
    </row>
    <row r="145" s="2" customFormat="1" ht="32" hidden="1" customHeight="1" spans="1:121">
      <c r="A145" s="27" t="str">
        <f>[2]底表!A145</f>
        <v>八类</v>
      </c>
      <c r="B145" s="28" t="str">
        <f>[2]底表!B145</f>
        <v>云浮</v>
      </c>
      <c r="C145" s="21">
        <f>[2]底表!AM145</f>
        <v>20</v>
      </c>
      <c r="D145" s="21">
        <f>[2]底表!AN145</f>
        <v>12</v>
      </c>
      <c r="E145" s="23">
        <f>[2]底表!AO145</f>
        <v>0.6667</v>
      </c>
      <c r="F145" s="21">
        <f>[2]底表!AP145</f>
        <v>19</v>
      </c>
      <c r="G145" s="21">
        <f>[2]底表!AQ145</f>
        <v>0.0526</v>
      </c>
      <c r="H145" s="21">
        <f>[2]底表!AR145</f>
        <v>0.8333</v>
      </c>
      <c r="I145" s="21">
        <f>[2]底表!AS145</f>
        <v>0.0833</v>
      </c>
      <c r="J145" s="21">
        <f>[2]底表!AT145</f>
        <v>15</v>
      </c>
      <c r="K145" s="21">
        <f>[2]底表!AU145</f>
        <v>9</v>
      </c>
      <c r="L145" s="21">
        <f>[2]底表!AV145</f>
        <v>0.6667</v>
      </c>
      <c r="M145" s="21">
        <f>[2]底表!AW145</f>
        <v>13</v>
      </c>
      <c r="N145" s="21">
        <f>[2]底表!AX145</f>
        <v>0.1538</v>
      </c>
      <c r="O145" s="21">
        <f>[2]底表!AY145</f>
        <v>13</v>
      </c>
      <c r="P145" s="21">
        <f>[2]底表!AZ145</f>
        <v>8</v>
      </c>
      <c r="Q145" s="21">
        <f>[2]底表!BA145</f>
        <v>0.625</v>
      </c>
      <c r="R145" s="21">
        <f>[2]底表!BB145</f>
        <v>17</v>
      </c>
      <c r="S145" s="21">
        <f>[2]底表!BC145</f>
        <v>-0.2353</v>
      </c>
      <c r="T145" s="21">
        <f>[2]底表!BD145</f>
        <v>0.8667</v>
      </c>
      <c r="U145" s="21">
        <f>[2]底表!BE145</f>
        <v>-0.0222</v>
      </c>
      <c r="V145" s="21">
        <f>[2]底表!BF145</f>
        <v>9</v>
      </c>
      <c r="W145" s="21">
        <f>[2]底表!BG145</f>
        <v>7</v>
      </c>
      <c r="X145" s="21">
        <f>[2]底表!BH145</f>
        <v>0.2857</v>
      </c>
      <c r="Y145" s="21">
        <f>[2]底表!BI145</f>
        <v>0</v>
      </c>
      <c r="Z145" s="21" t="str">
        <f>[2]底表!BJ145</f>
        <v>多9起</v>
      </c>
      <c r="AA145" s="21">
        <f>[2]底表!BK145</f>
        <v>0.375</v>
      </c>
      <c r="AB145" s="21">
        <f>[2]底表!BL145</f>
        <v>7</v>
      </c>
      <c r="AC145" s="21">
        <f>[2]底表!BM145</f>
        <v>4</v>
      </c>
      <c r="AD145" s="21">
        <f>[2]底表!BN145</f>
        <v>0.75</v>
      </c>
      <c r="AE145" s="21">
        <f>[2]底表!BO145</f>
        <v>2</v>
      </c>
      <c r="AF145" s="21">
        <f>[2]底表!BP145</f>
        <v>2.5</v>
      </c>
      <c r="AG145" s="21">
        <f>[2]底表!BT145</f>
        <v>18</v>
      </c>
      <c r="AH145" s="21">
        <f>[2]底表!BU145</f>
        <v>-0.5556</v>
      </c>
      <c r="AI145" s="21">
        <f>[2]底表!BV145</f>
        <v>0.3333</v>
      </c>
      <c r="AJ145" s="21">
        <f>[2]底表!BW145</f>
        <v>0.0833</v>
      </c>
      <c r="AK145" s="21">
        <f>[2]底表!BX145</f>
        <v>0.5333</v>
      </c>
      <c r="AL145" s="21">
        <f>[2]底表!BY145</f>
        <v>0.0889</v>
      </c>
      <c r="AM145" s="21">
        <f>[2]底表!BZ145</f>
        <v>0</v>
      </c>
      <c r="AN145" s="21">
        <f>[2]底表!CA145</f>
        <v>0</v>
      </c>
      <c r="AO145" s="21" t="str">
        <f>[2]底表!CB145</f>
        <v>持平</v>
      </c>
      <c r="AP145" s="21">
        <f>[2]底表!CC145</f>
        <v>0</v>
      </c>
      <c r="AQ145" s="21" t="str">
        <f>[2]底表!CD145</f>
        <v>持平</v>
      </c>
      <c r="AR145" s="21" t="str">
        <f>[2]底表!CE145</f>
        <v/>
      </c>
      <c r="AS145" s="21" t="str">
        <f>[2]底表!CF145</f>
        <v/>
      </c>
      <c r="AT145" s="21">
        <f>[2]底表!CG145</f>
        <v>29</v>
      </c>
      <c r="AU145" s="21">
        <f>[2]底表!CH145</f>
        <v>25</v>
      </c>
      <c r="AV145" s="21">
        <f>[2]底表!CI145</f>
        <v>0.16</v>
      </c>
      <c r="AW145" s="21">
        <f>[2]底表!CJ145</f>
        <v>9</v>
      </c>
      <c r="AX145" s="21">
        <f>[2]底表!CK145</f>
        <v>2.2222</v>
      </c>
      <c r="AY145" s="21">
        <f>[2]底表!CL145</f>
        <v>121</v>
      </c>
      <c r="AZ145" s="21">
        <f>[2]底表!CM145</f>
        <v>-35</v>
      </c>
      <c r="BA145" s="21">
        <f>[2]底表!CN145</f>
        <v>-0.2267</v>
      </c>
      <c r="BB145" s="21">
        <f>[2]底表!CO145</f>
        <v>18</v>
      </c>
      <c r="BC145" s="21">
        <f>[2]底表!CP145</f>
        <v>12</v>
      </c>
      <c r="BD145" s="21">
        <f>[2]底表!CQ145</f>
        <v>0.5</v>
      </c>
      <c r="BE145" s="21">
        <f>[2]底表!CR145</f>
        <v>12</v>
      </c>
      <c r="BF145" s="21">
        <f>[2]底表!CS145</f>
        <v>0.5</v>
      </c>
      <c r="BG145" s="21">
        <f>[2]底表!CT145</f>
        <v>0.6207</v>
      </c>
      <c r="BH145" s="21">
        <f>[2]底表!CU145</f>
        <v>0.1407</v>
      </c>
      <c r="BI145" s="21">
        <f>[2]底表!CV145</f>
        <v>75</v>
      </c>
      <c r="BJ145" s="21">
        <f>[2]底表!CW145</f>
        <v>0</v>
      </c>
      <c r="BK145" s="21">
        <f>[2]底表!CX145</f>
        <v>0</v>
      </c>
      <c r="BL145" s="21">
        <f>[2]底表!CY145</f>
        <v>21</v>
      </c>
      <c r="BM145" s="21">
        <f>[2]底表!CZ145</f>
        <v>13</v>
      </c>
      <c r="BN145" s="23">
        <f>[2]底表!DA145</f>
        <v>0.6154</v>
      </c>
      <c r="BO145" s="21">
        <f>[2]底表!DB145</f>
        <v>15</v>
      </c>
      <c r="BP145" s="21">
        <f>[2]底表!DC145</f>
        <v>0.4</v>
      </c>
      <c r="BQ145" s="21">
        <f>[2]底表!DD145</f>
        <v>0.7241</v>
      </c>
      <c r="BR145" s="21">
        <f>[2]底表!DE145</f>
        <v>0.2041</v>
      </c>
      <c r="BS145" s="21">
        <f>[2]底表!DF145</f>
        <v>88</v>
      </c>
      <c r="BT145" s="21">
        <f>[2]底表!DG145</f>
        <v>6</v>
      </c>
      <c r="BU145" s="21">
        <f>[2]底表!DH145</f>
        <v>0.0769</v>
      </c>
      <c r="BV145" s="21">
        <f>[2]底表!DI145</f>
        <v>23</v>
      </c>
      <c r="BW145" s="21">
        <f>[2]底表!DJ145</f>
        <v>12</v>
      </c>
      <c r="BX145" s="23">
        <f>[2]底表!DK145</f>
        <v>0.9167</v>
      </c>
      <c r="BY145" s="21">
        <f>[2]底表!DL145</f>
        <v>12</v>
      </c>
      <c r="BZ145" s="21">
        <f>[2]底表!DM145</f>
        <v>0.9167</v>
      </c>
      <c r="CA145" s="21">
        <f>[2]底表!DN145</f>
        <v>5</v>
      </c>
      <c r="CB145" s="21">
        <f>[2]底表!DO145</f>
        <v>2</v>
      </c>
      <c r="CC145" s="21">
        <f>[2]底表!DP145</f>
        <v>1.5</v>
      </c>
      <c r="CD145" s="21">
        <f>[2]底表!DQ145</f>
        <v>6</v>
      </c>
      <c r="CE145" s="21">
        <f>[2]底表!DR145</f>
        <v>-0.1667</v>
      </c>
      <c r="CF145" s="21">
        <f>[2]底表!DS145</f>
        <v>5</v>
      </c>
      <c r="CG145" s="21">
        <f>[2]底表!DT145</f>
        <v>2</v>
      </c>
      <c r="CH145" s="21">
        <f>[2]底表!DU145</f>
        <v>1.5</v>
      </c>
      <c r="CI145" s="21">
        <f>[2]底表!DV145</f>
        <v>6</v>
      </c>
      <c r="CJ145" s="21">
        <f>[2]底表!DW145</f>
        <v>-0.1667</v>
      </c>
      <c r="CK145" s="21">
        <f>[2]底表!DX145</f>
        <v>17</v>
      </c>
      <c r="CL145" s="21">
        <f>[2]底表!DY145</f>
        <v>12</v>
      </c>
      <c r="CM145" s="21">
        <f>[2]底表!DZ145</f>
        <v>0.4167</v>
      </c>
      <c r="CN145" s="21">
        <f>[2]底表!EA145</f>
        <v>21</v>
      </c>
      <c r="CO145" s="21">
        <f>[2]底表!EB145</f>
        <v>-0.1905</v>
      </c>
      <c r="CP145" s="21">
        <f>[2]底表!EC145</f>
        <v>10</v>
      </c>
      <c r="CQ145" s="21">
        <f>[2]底表!ED145</f>
        <v>13</v>
      </c>
      <c r="CR145" s="21">
        <f>[2]底表!EE145</f>
        <v>-0.2308</v>
      </c>
      <c r="CS145" s="21">
        <f>[2]底表!EF145</f>
        <v>16</v>
      </c>
      <c r="CT145" s="21">
        <f>[2]底表!EG145</f>
        <v>-0.375</v>
      </c>
      <c r="CU145" s="21">
        <f>[2]底表!EH145</f>
        <v>0.5556</v>
      </c>
      <c r="CV145" s="21">
        <f>[2]底表!EI145</f>
        <v>-0.5278</v>
      </c>
      <c r="CW145" s="21">
        <f>[2]底表!EJ145</f>
        <v>42</v>
      </c>
      <c r="CX145" s="21">
        <f>[2]底表!EK145</f>
        <v>-40</v>
      </c>
      <c r="CY145" s="21">
        <f>[2]底表!EL145</f>
        <v>-0.4872</v>
      </c>
      <c r="CZ145" s="21">
        <f>[2]底表!EM145</f>
        <v>10</v>
      </c>
      <c r="DA145" s="21">
        <f>[2]底表!EN145</f>
        <v>13</v>
      </c>
      <c r="DB145" s="21">
        <f>[2]底表!EO145</f>
        <v>-0.2308</v>
      </c>
      <c r="DC145" s="21">
        <f>[2]底表!EP145</f>
        <v>16</v>
      </c>
      <c r="DD145" s="21">
        <f>[2]底表!EQ145</f>
        <v>-0.375</v>
      </c>
      <c r="DE145" s="21">
        <f>[2]底表!ER145</f>
        <v>8</v>
      </c>
      <c r="DF145" s="21">
        <f>[2]底表!ES145</f>
        <v>4</v>
      </c>
      <c r="DG145" s="23">
        <f>[2]底表!ET145</f>
        <v>1</v>
      </c>
      <c r="DH145" s="21">
        <f>[2]底表!EU145</f>
        <v>23</v>
      </c>
      <c r="DI145" s="21">
        <f>[2]底表!EV145</f>
        <v>-0.6522</v>
      </c>
      <c r="DJ145" s="21">
        <f>[2]底表!EW145</f>
        <v>0.4444</v>
      </c>
      <c r="DK145" s="21">
        <f>[2]底表!EX145</f>
        <v>0.1111</v>
      </c>
      <c r="DL145" s="21">
        <f>[2]底表!EY145</f>
        <v>33</v>
      </c>
      <c r="DM145" s="21">
        <f>[2]底表!EZ145</f>
        <v>8</v>
      </c>
      <c r="DN145" s="21">
        <f>[2]底表!FA145</f>
        <v>0.3333</v>
      </c>
      <c r="DO145" s="21">
        <f>[2]底表!BQ145</f>
        <v>8</v>
      </c>
      <c r="DP145" s="21">
        <f>[2]底表!BR145</f>
        <v>4</v>
      </c>
      <c r="DQ145" s="24">
        <f>[2]底表!BS145</f>
        <v>1</v>
      </c>
    </row>
    <row r="146" s="2" customFormat="1" ht="32" hidden="1" customHeight="1" spans="1:121">
      <c r="A146" s="27" t="str">
        <f>[2]底表!A146</f>
        <v>八类</v>
      </c>
      <c r="B146" s="28" t="str">
        <f>[2]底表!B146</f>
        <v>云城区</v>
      </c>
      <c r="C146" s="21">
        <f>[2]底表!AM146</f>
        <v>4</v>
      </c>
      <c r="D146" s="21">
        <f>[2]底表!AN146</f>
        <v>5</v>
      </c>
      <c r="E146" s="23">
        <f>[2]底表!AO146</f>
        <v>-0.2</v>
      </c>
      <c r="F146" s="21">
        <f>[2]底表!AP146</f>
        <v>2</v>
      </c>
      <c r="G146" s="21">
        <f>[2]底表!AQ146</f>
        <v>1</v>
      </c>
      <c r="H146" s="21">
        <f>[2]底表!AR146</f>
        <v>1</v>
      </c>
      <c r="I146" s="21">
        <f>[2]底表!AS146</f>
        <v>0.1667</v>
      </c>
      <c r="J146" s="21">
        <f>[2]底表!AT146</f>
        <v>3</v>
      </c>
      <c r="K146" s="21">
        <f>[2]底表!AU146</f>
        <v>5</v>
      </c>
      <c r="L146" s="21">
        <f>[2]底表!AV146</f>
        <v>-0.4</v>
      </c>
      <c r="M146" s="21">
        <f>[2]底表!AW146</f>
        <v>2</v>
      </c>
      <c r="N146" s="21">
        <f>[2]底表!AX146</f>
        <v>0.5</v>
      </c>
      <c r="O146" s="21">
        <f>[2]底表!AY146</f>
        <v>3</v>
      </c>
      <c r="P146" s="21">
        <f>[2]底表!AZ146</f>
        <v>4</v>
      </c>
      <c r="Q146" s="21">
        <f>[2]底表!BA146</f>
        <v>-0.25</v>
      </c>
      <c r="R146" s="21">
        <f>[2]底表!BB146</f>
        <v>2</v>
      </c>
      <c r="S146" s="21">
        <f>[2]底表!BC146</f>
        <v>0.5</v>
      </c>
      <c r="T146" s="21">
        <f>[2]底表!BD146</f>
        <v>1</v>
      </c>
      <c r="U146" s="21">
        <f>[2]底表!BE146</f>
        <v>0.2</v>
      </c>
      <c r="V146" s="21">
        <f>[2]底表!BF146</f>
        <v>1</v>
      </c>
      <c r="W146" s="21">
        <f>[2]底表!BG146</f>
        <v>1</v>
      </c>
      <c r="X146" s="21">
        <f>[2]底表!BH146</f>
        <v>0</v>
      </c>
      <c r="Y146" s="21">
        <f>[2]底表!BI146</f>
        <v>0</v>
      </c>
      <c r="Z146" s="21" t="str">
        <f>[2]底表!BJ146</f>
        <v>多1起</v>
      </c>
      <c r="AA146" s="21">
        <f>[2]底表!BK146</f>
        <v>0.25</v>
      </c>
      <c r="AB146" s="21">
        <f>[2]底表!BL146</f>
        <v>1</v>
      </c>
      <c r="AC146" s="21">
        <f>[2]底表!BM146</f>
        <v>1</v>
      </c>
      <c r="AD146" s="21">
        <f>[2]底表!BN146</f>
        <v>0</v>
      </c>
      <c r="AE146" s="21">
        <f>[2]底表!BO146</f>
        <v>0</v>
      </c>
      <c r="AF146" s="21" t="str">
        <f>[2]底表!BP146</f>
        <v>多1起</v>
      </c>
      <c r="AG146" s="21">
        <f>[2]底表!BT146</f>
        <v>4</v>
      </c>
      <c r="AH146" s="21">
        <f>[2]底表!BU146</f>
        <v>-0.75</v>
      </c>
      <c r="AI146" s="21">
        <f>[2]底表!BV146</f>
        <v>0.25</v>
      </c>
      <c r="AJ146" s="21">
        <f>[2]底表!BW146</f>
        <v>0.0833</v>
      </c>
      <c r="AK146" s="21">
        <f>[2]底表!BX146</f>
        <v>0.3333</v>
      </c>
      <c r="AL146" s="21">
        <f>[2]底表!BY146</f>
        <v>0.1333</v>
      </c>
      <c r="AM146" s="21">
        <f>[2]底表!BZ146</f>
        <v>0</v>
      </c>
      <c r="AN146" s="21">
        <f>[2]底表!CA146</f>
        <v>0</v>
      </c>
      <c r="AO146" s="21" t="str">
        <f>[2]底表!CB146</f>
        <v>持平</v>
      </c>
      <c r="AP146" s="21">
        <f>[2]底表!CC146</f>
        <v>0</v>
      </c>
      <c r="AQ146" s="21" t="str">
        <f>[2]底表!CD146</f>
        <v>持平</v>
      </c>
      <c r="AR146" s="21" t="str">
        <f>[2]底表!CE146</f>
        <v/>
      </c>
      <c r="AS146" s="21" t="str">
        <f>[2]底表!CF146</f>
        <v/>
      </c>
      <c r="AT146" s="21">
        <f>[2]底表!CG146</f>
        <v>3</v>
      </c>
      <c r="AU146" s="21">
        <f>[2]底表!CH146</f>
        <v>6</v>
      </c>
      <c r="AV146" s="21">
        <f>[2]底表!CI146</f>
        <v>-0.5</v>
      </c>
      <c r="AW146" s="21">
        <f>[2]底表!CJ146</f>
        <v>2</v>
      </c>
      <c r="AX146" s="21">
        <f>[2]底表!CK146</f>
        <v>0.5</v>
      </c>
      <c r="AY146" s="21">
        <f>[2]底表!CL146</f>
        <v>75</v>
      </c>
      <c r="AZ146" s="21">
        <f>[2]底表!CM146</f>
        <v>-25</v>
      </c>
      <c r="BA146" s="21">
        <f>[2]底表!CN146</f>
        <v>-0.25</v>
      </c>
      <c r="BB146" s="21">
        <f>[2]底表!CO146</f>
        <v>3</v>
      </c>
      <c r="BC146" s="21">
        <f>[2]底表!CP146</f>
        <v>6</v>
      </c>
      <c r="BD146" s="21">
        <f>[2]底表!CQ146</f>
        <v>-0.5</v>
      </c>
      <c r="BE146" s="21">
        <f>[2]底表!CR146</f>
        <v>1</v>
      </c>
      <c r="BF146" s="21">
        <f>[2]底表!CS146</f>
        <v>2</v>
      </c>
      <c r="BG146" s="21">
        <f>[2]底表!CT146</f>
        <v>1</v>
      </c>
      <c r="BH146" s="21">
        <f>[2]底表!CU146</f>
        <v>0</v>
      </c>
      <c r="BI146" s="21">
        <f>[2]底表!CV146</f>
        <v>75</v>
      </c>
      <c r="BJ146" s="21">
        <f>[2]底表!CW146</f>
        <v>-25</v>
      </c>
      <c r="BK146" s="21">
        <f>[2]底表!CX146</f>
        <v>-0.25</v>
      </c>
      <c r="BL146" s="21">
        <f>[2]底表!CY146</f>
        <v>3</v>
      </c>
      <c r="BM146" s="21">
        <f>[2]底表!CZ146</f>
        <v>6</v>
      </c>
      <c r="BN146" s="23">
        <f>[2]底表!DA146</f>
        <v>-0.5</v>
      </c>
      <c r="BO146" s="21">
        <f>[2]底表!DB146</f>
        <v>2</v>
      </c>
      <c r="BP146" s="21">
        <f>[2]底表!DC146</f>
        <v>0.5</v>
      </c>
      <c r="BQ146" s="21">
        <f>[2]底表!DD146</f>
        <v>1</v>
      </c>
      <c r="BR146" s="21">
        <f>[2]底表!DE146</f>
        <v>0</v>
      </c>
      <c r="BS146" s="21">
        <f>[2]底表!DF146</f>
        <v>75</v>
      </c>
      <c r="BT146" s="21">
        <f>[2]底表!DG146</f>
        <v>-25</v>
      </c>
      <c r="BU146" s="21">
        <f>[2]底表!DH146</f>
        <v>-0.25</v>
      </c>
      <c r="BV146" s="21">
        <f>[2]底表!DI146</f>
        <v>0</v>
      </c>
      <c r="BW146" s="21">
        <f>[2]底表!DJ146</f>
        <v>0</v>
      </c>
      <c r="BX146" s="23" t="str">
        <f>[2]底表!DK146</f>
        <v>持平</v>
      </c>
      <c r="BY146" s="21">
        <f>[2]底表!DL146</f>
        <v>0</v>
      </c>
      <c r="BZ146" s="21" t="str">
        <f>[2]底表!DM146</f>
        <v>持平</v>
      </c>
      <c r="CA146" s="21">
        <f>[2]底表!DN146</f>
        <v>0</v>
      </c>
      <c r="CB146" s="21">
        <f>[2]底表!DO146</f>
        <v>1</v>
      </c>
      <c r="CC146" s="21" t="str">
        <f>[2]底表!DP146</f>
        <v>少1人</v>
      </c>
      <c r="CD146" s="21">
        <f>[2]底表!DQ146</f>
        <v>1</v>
      </c>
      <c r="CE146" s="21" t="str">
        <f>[2]底表!DR146</f>
        <v>少1人</v>
      </c>
      <c r="CF146" s="21">
        <f>[2]底表!DS146</f>
        <v>0</v>
      </c>
      <c r="CG146" s="21">
        <f>[2]底表!DT146</f>
        <v>1</v>
      </c>
      <c r="CH146" s="21" t="str">
        <f>[2]底表!DU146</f>
        <v>少1人</v>
      </c>
      <c r="CI146" s="21">
        <f>[2]底表!DV146</f>
        <v>1</v>
      </c>
      <c r="CJ146" s="21" t="str">
        <f>[2]底表!DW146</f>
        <v>少1人</v>
      </c>
      <c r="CK146" s="21">
        <f>[2]底表!DX146</f>
        <v>1</v>
      </c>
      <c r="CL146" s="21">
        <f>[2]底表!DY146</f>
        <v>8</v>
      </c>
      <c r="CM146" s="21">
        <f>[2]底表!DZ146</f>
        <v>-0.875</v>
      </c>
      <c r="CN146" s="21">
        <f>[2]底表!EA146</f>
        <v>5</v>
      </c>
      <c r="CO146" s="21">
        <f>[2]底表!EB146</f>
        <v>-0.8</v>
      </c>
      <c r="CP146" s="21">
        <f>[2]底表!EC146</f>
        <v>0</v>
      </c>
      <c r="CQ146" s="21">
        <f>[2]底表!ED146</f>
        <v>8</v>
      </c>
      <c r="CR146" s="21" t="str">
        <f>[2]底表!EE146</f>
        <v>少8人</v>
      </c>
      <c r="CS146" s="21">
        <f>[2]底表!EF146</f>
        <v>4</v>
      </c>
      <c r="CT146" s="21" t="str">
        <f>[2]底表!EG146</f>
        <v>少4人</v>
      </c>
      <c r="CU146" s="21">
        <f>[2]底表!EH146</f>
        <v>0</v>
      </c>
      <c r="CV146" s="21">
        <f>[2]底表!EI146</f>
        <v>-1.3333</v>
      </c>
      <c r="CW146" s="21">
        <f>[2]底表!EJ146</f>
        <v>0</v>
      </c>
      <c r="CX146" s="21">
        <f>[2]底表!EK146</f>
        <v>-133</v>
      </c>
      <c r="CY146" s="21">
        <f>[2]底表!EL146</f>
        <v>-1</v>
      </c>
      <c r="CZ146" s="21">
        <f>[2]底表!EM146</f>
        <v>0</v>
      </c>
      <c r="DA146" s="21">
        <f>[2]底表!EN146</f>
        <v>8</v>
      </c>
      <c r="DB146" s="21" t="str">
        <f>[2]底表!EO146</f>
        <v>少8人</v>
      </c>
      <c r="DC146" s="21">
        <f>[2]底表!EP146</f>
        <v>4</v>
      </c>
      <c r="DD146" s="21" t="str">
        <f>[2]底表!EQ146</f>
        <v>少4人</v>
      </c>
      <c r="DE146" s="21">
        <f>[2]底表!ER146</f>
        <v>1</v>
      </c>
      <c r="DF146" s="21">
        <f>[2]底表!ES146</f>
        <v>1</v>
      </c>
      <c r="DG146" s="23">
        <f>[2]底表!ET146</f>
        <v>0</v>
      </c>
      <c r="DH146" s="21">
        <f>[2]底表!EU146</f>
        <v>7</v>
      </c>
      <c r="DI146" s="21">
        <f>[2]底表!EV146</f>
        <v>-0.8571</v>
      </c>
      <c r="DJ146" s="21">
        <f>[2]底表!EW146</f>
        <v>0.3333</v>
      </c>
      <c r="DK146" s="21">
        <f>[2]底表!EX146</f>
        <v>0.1667</v>
      </c>
      <c r="DL146" s="21">
        <f>[2]底表!EY146</f>
        <v>25</v>
      </c>
      <c r="DM146" s="21">
        <f>[2]底表!EZ146</f>
        <v>8</v>
      </c>
      <c r="DN146" s="21">
        <f>[2]底表!FA146</f>
        <v>0.5</v>
      </c>
      <c r="DO146" s="21">
        <f>[2]底表!BQ146</f>
        <v>1</v>
      </c>
      <c r="DP146" s="21">
        <f>[2]底表!BR146</f>
        <v>1</v>
      </c>
      <c r="DQ146" s="24">
        <f>[2]底表!BS146</f>
        <v>0</v>
      </c>
    </row>
    <row r="147" s="2" customFormat="1" ht="32" hidden="1" customHeight="1" spans="1:121">
      <c r="A147" s="27" t="str">
        <f>[2]底表!A147</f>
        <v>八类</v>
      </c>
      <c r="B147" s="28" t="str">
        <f>[2]底表!B147</f>
        <v>云安区</v>
      </c>
      <c r="C147" s="21">
        <f>[2]底表!AM147</f>
        <v>2</v>
      </c>
      <c r="D147" s="21">
        <f>[2]底表!AN147</f>
        <v>1</v>
      </c>
      <c r="E147" s="23">
        <f>[2]底表!AO147</f>
        <v>1</v>
      </c>
      <c r="F147" s="21">
        <f>[2]底表!AP147</f>
        <v>0</v>
      </c>
      <c r="G147" s="21" t="str">
        <f>[2]底表!AQ147</f>
        <v>多2起</v>
      </c>
      <c r="H147" s="21">
        <f>[2]底表!AR147</f>
        <v>1</v>
      </c>
      <c r="I147" s="21" t="str">
        <f>[2]底表!AS147</f>
        <v/>
      </c>
      <c r="J147" s="21">
        <f>[2]底表!AT147</f>
        <v>2</v>
      </c>
      <c r="K147" s="21">
        <f>[2]底表!AU147</f>
        <v>0</v>
      </c>
      <c r="L147" s="21" t="str">
        <f>[2]底表!AV147</f>
        <v>多2起</v>
      </c>
      <c r="M147" s="21">
        <f>[2]底表!AW147</f>
        <v>0</v>
      </c>
      <c r="N147" s="21" t="str">
        <f>[2]底表!AX147</f>
        <v>多2起</v>
      </c>
      <c r="O147" s="21">
        <f>[2]底表!AY147</f>
        <v>2</v>
      </c>
      <c r="P147" s="21">
        <f>[2]底表!AZ147</f>
        <v>0</v>
      </c>
      <c r="Q147" s="21" t="str">
        <f>[2]底表!BA147</f>
        <v>多2起</v>
      </c>
      <c r="R147" s="21">
        <f>[2]底表!BB147</f>
        <v>0</v>
      </c>
      <c r="S147" s="21" t="str">
        <f>[2]底表!BC147</f>
        <v>多2起</v>
      </c>
      <c r="T147" s="21">
        <f>[2]底表!BD147</f>
        <v>1</v>
      </c>
      <c r="U147" s="21" t="str">
        <f>[2]底表!BE147</f>
        <v/>
      </c>
      <c r="V147" s="21">
        <f>[2]底表!BF147</f>
        <v>0</v>
      </c>
      <c r="W147" s="21">
        <f>[2]底表!BG147</f>
        <v>0</v>
      </c>
      <c r="X147" s="21" t="str">
        <f>[2]底表!BH147</f>
        <v>持平</v>
      </c>
      <c r="Y147" s="21">
        <f>[2]底表!BI147</f>
        <v>0</v>
      </c>
      <c r="Z147" s="21" t="str">
        <f>[2]底表!BJ147</f>
        <v>持平</v>
      </c>
      <c r="AA147" s="21">
        <f>[2]底表!BK147</f>
        <v>0</v>
      </c>
      <c r="AB147" s="21">
        <f>[2]底表!BL147</f>
        <v>0</v>
      </c>
      <c r="AC147" s="21">
        <f>[2]底表!BM147</f>
        <v>1</v>
      </c>
      <c r="AD147" s="21" t="str">
        <f>[2]底表!BN147</f>
        <v>少1起</v>
      </c>
      <c r="AE147" s="21">
        <f>[2]底表!BO147</f>
        <v>0</v>
      </c>
      <c r="AF147" s="21" t="str">
        <f>[2]底表!BP147</f>
        <v>持平</v>
      </c>
      <c r="AG147" s="21">
        <f>[2]底表!BT147</f>
        <v>1</v>
      </c>
      <c r="AH147" s="21" t="str">
        <f>[2]底表!BU147</f>
        <v>少1起</v>
      </c>
      <c r="AI147" s="21">
        <f>[2]底表!BV147</f>
        <v>0</v>
      </c>
      <c r="AJ147" s="21" t="str">
        <f>[2]底表!BW147</f>
        <v/>
      </c>
      <c r="AK147" s="21">
        <f>[2]底表!BX147</f>
        <v>0</v>
      </c>
      <c r="AL147" s="21" t="str">
        <f>[2]底表!BY147</f>
        <v/>
      </c>
      <c r="AM147" s="21">
        <f>[2]底表!BZ147</f>
        <v>0</v>
      </c>
      <c r="AN147" s="21">
        <f>[2]底表!CA147</f>
        <v>0</v>
      </c>
      <c r="AO147" s="21" t="str">
        <f>[2]底表!CB147</f>
        <v>持平</v>
      </c>
      <c r="AP147" s="21">
        <f>[2]底表!CC147</f>
        <v>0</v>
      </c>
      <c r="AQ147" s="21" t="str">
        <f>[2]底表!CD147</f>
        <v>持平</v>
      </c>
      <c r="AR147" s="21" t="str">
        <f>[2]底表!CE147</f>
        <v/>
      </c>
      <c r="AS147" s="21" t="str">
        <f>[2]底表!CF147</f>
        <v/>
      </c>
      <c r="AT147" s="21">
        <f>[2]底表!CG147</f>
        <v>3</v>
      </c>
      <c r="AU147" s="21">
        <f>[2]底表!CH147</f>
        <v>0</v>
      </c>
      <c r="AV147" s="21" t="str">
        <f>[2]底表!CI147</f>
        <v>多3人</v>
      </c>
      <c r="AW147" s="21">
        <f>[2]底表!CJ147</f>
        <v>0</v>
      </c>
      <c r="AX147" s="21" t="str">
        <f>[2]底表!CK147</f>
        <v>多3人</v>
      </c>
      <c r="AY147" s="21">
        <f>[2]底表!CL147</f>
        <v>150</v>
      </c>
      <c r="AZ147" s="21" t="str">
        <f>[2]底表!CM147</f>
        <v/>
      </c>
      <c r="BA147" s="21" t="str">
        <f>[2]底表!CN147</f>
        <v/>
      </c>
      <c r="BB147" s="21">
        <f>[2]底表!CO147</f>
        <v>2</v>
      </c>
      <c r="BC147" s="21">
        <f>[2]底表!CP147</f>
        <v>0</v>
      </c>
      <c r="BD147" s="21" t="str">
        <f>[2]底表!CQ147</f>
        <v>多2人</v>
      </c>
      <c r="BE147" s="21">
        <f>[2]底表!CR147</f>
        <v>0</v>
      </c>
      <c r="BF147" s="21" t="str">
        <f>[2]底表!CS147</f>
        <v>多2人</v>
      </c>
      <c r="BG147" s="21">
        <f>[2]底表!CT147</f>
        <v>0.6667</v>
      </c>
      <c r="BH147" s="21" t="str">
        <f>[2]底表!CU147</f>
        <v/>
      </c>
      <c r="BI147" s="21">
        <f>[2]底表!CV147</f>
        <v>100</v>
      </c>
      <c r="BJ147" s="21" t="str">
        <f>[2]底表!CW147</f>
        <v/>
      </c>
      <c r="BK147" s="21" t="str">
        <f>[2]底表!CX147</f>
        <v/>
      </c>
      <c r="BL147" s="21">
        <f>[2]底表!CY147</f>
        <v>2</v>
      </c>
      <c r="BM147" s="21">
        <f>[2]底表!CZ147</f>
        <v>0</v>
      </c>
      <c r="BN147" s="23" t="str">
        <f>[2]底表!DA147</f>
        <v>多2人</v>
      </c>
      <c r="BO147" s="21">
        <f>[2]底表!DB147</f>
        <v>0</v>
      </c>
      <c r="BP147" s="21" t="str">
        <f>[2]底表!DC147</f>
        <v>多2人</v>
      </c>
      <c r="BQ147" s="21">
        <f>[2]底表!DD147</f>
        <v>0.6667</v>
      </c>
      <c r="BR147" s="21" t="str">
        <f>[2]底表!DE147</f>
        <v/>
      </c>
      <c r="BS147" s="21">
        <f>[2]底表!DF147</f>
        <v>100</v>
      </c>
      <c r="BT147" s="21" t="str">
        <f>[2]底表!DG147</f>
        <v/>
      </c>
      <c r="BU147" s="21" t="str">
        <f>[2]底表!DH147</f>
        <v/>
      </c>
      <c r="BV147" s="21">
        <f>[2]底表!DI147</f>
        <v>0</v>
      </c>
      <c r="BW147" s="21">
        <f>[2]底表!DJ147</f>
        <v>0</v>
      </c>
      <c r="BX147" s="23" t="str">
        <f>[2]底表!DK147</f>
        <v>持平</v>
      </c>
      <c r="BY147" s="21">
        <f>[2]底表!DL147</f>
        <v>0</v>
      </c>
      <c r="BZ147" s="21" t="str">
        <f>[2]底表!DM147</f>
        <v>持平</v>
      </c>
      <c r="CA147" s="21">
        <f>[2]底表!DN147</f>
        <v>1</v>
      </c>
      <c r="CB147" s="21">
        <f>[2]底表!DO147</f>
        <v>0</v>
      </c>
      <c r="CC147" s="21" t="str">
        <f>[2]底表!DP147</f>
        <v>多1人</v>
      </c>
      <c r="CD147" s="21">
        <f>[2]底表!DQ147</f>
        <v>0</v>
      </c>
      <c r="CE147" s="21" t="str">
        <f>[2]底表!DR147</f>
        <v>多1人</v>
      </c>
      <c r="CF147" s="21">
        <f>[2]底表!DS147</f>
        <v>1</v>
      </c>
      <c r="CG147" s="21">
        <f>[2]底表!DT147</f>
        <v>0</v>
      </c>
      <c r="CH147" s="21" t="str">
        <f>[2]底表!DU147</f>
        <v>多1人</v>
      </c>
      <c r="CI147" s="21">
        <f>[2]底表!DV147</f>
        <v>0</v>
      </c>
      <c r="CJ147" s="21" t="str">
        <f>[2]底表!DW147</f>
        <v>多1人</v>
      </c>
      <c r="CK147" s="21">
        <f>[2]底表!DX147</f>
        <v>2</v>
      </c>
      <c r="CL147" s="21">
        <f>[2]底表!DY147</f>
        <v>0</v>
      </c>
      <c r="CM147" s="21" t="str">
        <f>[2]底表!DZ147</f>
        <v>多2人</v>
      </c>
      <c r="CN147" s="21">
        <f>[2]底表!EA147</f>
        <v>0</v>
      </c>
      <c r="CO147" s="21" t="str">
        <f>[2]底表!EB147</f>
        <v>多2人</v>
      </c>
      <c r="CP147" s="21">
        <f>[2]底表!EC147</f>
        <v>1</v>
      </c>
      <c r="CQ147" s="21">
        <f>[2]底表!ED147</f>
        <v>1</v>
      </c>
      <c r="CR147" s="21">
        <f>[2]底表!EE147</f>
        <v>0</v>
      </c>
      <c r="CS147" s="21">
        <f>[2]底表!EF147</f>
        <v>0</v>
      </c>
      <c r="CT147" s="21" t="str">
        <f>[2]底表!EG147</f>
        <v>多1人</v>
      </c>
      <c r="CU147" s="21">
        <f>[2]底表!EH147</f>
        <v>0.5</v>
      </c>
      <c r="CV147" s="21" t="str">
        <f>[2]底表!EI147</f>
        <v/>
      </c>
      <c r="CW147" s="21">
        <f>[2]底表!EJ147</f>
        <v>50</v>
      </c>
      <c r="CX147" s="21" t="str">
        <f>[2]底表!EK147</f>
        <v/>
      </c>
      <c r="CY147" s="21" t="str">
        <f>[2]底表!EL147</f>
        <v/>
      </c>
      <c r="CZ147" s="21">
        <f>[2]底表!EM147</f>
        <v>1</v>
      </c>
      <c r="DA147" s="21">
        <f>[2]底表!EN147</f>
        <v>1</v>
      </c>
      <c r="DB147" s="21">
        <f>[2]底表!EO147</f>
        <v>0</v>
      </c>
      <c r="DC147" s="21">
        <f>[2]底表!EP147</f>
        <v>0</v>
      </c>
      <c r="DD147" s="21" t="str">
        <f>[2]底表!EQ147</f>
        <v>多1人</v>
      </c>
      <c r="DE147" s="21">
        <f>[2]底表!ER147</f>
        <v>0</v>
      </c>
      <c r="DF147" s="21">
        <f>[2]底表!ES147</f>
        <v>0</v>
      </c>
      <c r="DG147" s="23" t="str">
        <f>[2]底表!ET147</f>
        <v>持平</v>
      </c>
      <c r="DH147" s="21">
        <f>[2]底表!EU147</f>
        <v>1</v>
      </c>
      <c r="DI147" s="21" t="str">
        <f>[2]底表!EV147</f>
        <v>少1人</v>
      </c>
      <c r="DJ147" s="21">
        <f>[2]底表!EW147</f>
        <v>0</v>
      </c>
      <c r="DK147" s="21" t="str">
        <f>[2]底表!EX147</f>
        <v/>
      </c>
      <c r="DL147" s="21">
        <f>[2]底表!EY147</f>
        <v>0</v>
      </c>
      <c r="DM147" s="21" t="str">
        <f>[2]底表!EZ147</f>
        <v/>
      </c>
      <c r="DN147" s="21" t="str">
        <f>[2]底表!FA147</f>
        <v/>
      </c>
      <c r="DO147" s="21">
        <f>[2]底表!BQ147</f>
        <v>0</v>
      </c>
      <c r="DP147" s="21">
        <f>[2]底表!BR147</f>
        <v>0</v>
      </c>
      <c r="DQ147" s="24" t="str">
        <f>[2]底表!BS147</f>
        <v>持平</v>
      </c>
    </row>
    <row r="148" s="2" customFormat="1" ht="32" hidden="1" customHeight="1" spans="1:121">
      <c r="A148" s="27" t="str">
        <f>[2]底表!A148</f>
        <v>八类</v>
      </c>
      <c r="B148" s="28" t="str">
        <f>[2]底表!B148</f>
        <v>新兴县</v>
      </c>
      <c r="C148" s="21">
        <f>[2]底表!AM148</f>
        <v>3</v>
      </c>
      <c r="D148" s="21">
        <f>[2]底表!AN148</f>
        <v>2</v>
      </c>
      <c r="E148" s="23">
        <f>[2]底表!AO148</f>
        <v>0.5</v>
      </c>
      <c r="F148" s="21">
        <f>[2]底表!AP148</f>
        <v>6</v>
      </c>
      <c r="G148" s="21">
        <f>[2]底表!AQ148</f>
        <v>-0.5</v>
      </c>
      <c r="H148" s="21">
        <f>[2]底表!AR148</f>
        <v>0.6</v>
      </c>
      <c r="I148" s="21">
        <f>[2]底表!AS148</f>
        <v>0.2</v>
      </c>
      <c r="J148" s="21">
        <f>[2]底表!AT148</f>
        <v>3</v>
      </c>
      <c r="K148" s="21">
        <f>[2]底表!AU148</f>
        <v>1</v>
      </c>
      <c r="L148" s="21">
        <f>[2]底表!AV148</f>
        <v>2</v>
      </c>
      <c r="M148" s="21">
        <f>[2]底表!AW148</f>
        <v>3</v>
      </c>
      <c r="N148" s="21">
        <f>[2]底表!AX148</f>
        <v>0</v>
      </c>
      <c r="O148" s="21">
        <f>[2]底表!AY148</f>
        <v>3</v>
      </c>
      <c r="P148" s="21">
        <f>[2]底表!AZ148</f>
        <v>1</v>
      </c>
      <c r="Q148" s="21">
        <f>[2]底表!BA148</f>
        <v>2</v>
      </c>
      <c r="R148" s="21">
        <f>[2]底表!BB148</f>
        <v>6</v>
      </c>
      <c r="S148" s="21">
        <f>[2]底表!BC148</f>
        <v>-0.5</v>
      </c>
      <c r="T148" s="21">
        <f>[2]底表!BD148</f>
        <v>1</v>
      </c>
      <c r="U148" s="21">
        <f>[2]底表!BE148</f>
        <v>0</v>
      </c>
      <c r="V148" s="21">
        <f>[2]底表!BF148</f>
        <v>2</v>
      </c>
      <c r="W148" s="21">
        <f>[2]底表!BG148</f>
        <v>4</v>
      </c>
      <c r="X148" s="21">
        <f>[2]底表!BH148</f>
        <v>-0.5</v>
      </c>
      <c r="Y148" s="21">
        <f>[2]底表!BI148</f>
        <v>0</v>
      </c>
      <c r="Z148" s="21" t="str">
        <f>[2]底表!BJ148</f>
        <v>多2起</v>
      </c>
      <c r="AA148" s="21">
        <f>[2]底表!BK148</f>
        <v>0.4</v>
      </c>
      <c r="AB148" s="21">
        <f>[2]底表!BL148</f>
        <v>0</v>
      </c>
      <c r="AC148" s="21">
        <f>[2]底表!BM148</f>
        <v>1</v>
      </c>
      <c r="AD148" s="21" t="str">
        <f>[2]底表!BN148</f>
        <v>少1起</v>
      </c>
      <c r="AE148" s="21">
        <f>[2]底表!BO148</f>
        <v>0</v>
      </c>
      <c r="AF148" s="21" t="str">
        <f>[2]底表!BP148</f>
        <v>持平</v>
      </c>
      <c r="AG148" s="21">
        <f>[2]底表!BT148</f>
        <v>4</v>
      </c>
      <c r="AH148" s="21">
        <f>[2]底表!BU148</f>
        <v>-0.5</v>
      </c>
      <c r="AI148" s="21">
        <f>[2]底表!BV148</f>
        <v>0.4</v>
      </c>
      <c r="AJ148" s="21">
        <f>[2]底表!BW148</f>
        <v>0.2</v>
      </c>
      <c r="AK148" s="21">
        <f>[2]底表!BX148</f>
        <v>0.6667</v>
      </c>
      <c r="AL148" s="21">
        <f>[2]底表!BY148</f>
        <v>-0.3333</v>
      </c>
      <c r="AM148" s="21">
        <f>[2]底表!BZ148</f>
        <v>0</v>
      </c>
      <c r="AN148" s="21">
        <f>[2]底表!CA148</f>
        <v>0</v>
      </c>
      <c r="AO148" s="21" t="str">
        <f>[2]底表!CB148</f>
        <v>持平</v>
      </c>
      <c r="AP148" s="21">
        <f>[2]底表!CC148</f>
        <v>0</v>
      </c>
      <c r="AQ148" s="21" t="str">
        <f>[2]底表!CD148</f>
        <v>持平</v>
      </c>
      <c r="AR148" s="21" t="str">
        <f>[2]底表!CE148</f>
        <v/>
      </c>
      <c r="AS148" s="21" t="str">
        <f>[2]底表!CF148</f>
        <v/>
      </c>
      <c r="AT148" s="21">
        <f>[2]底表!CG148</f>
        <v>6</v>
      </c>
      <c r="AU148" s="21">
        <f>[2]底表!CH148</f>
        <v>3</v>
      </c>
      <c r="AV148" s="21">
        <f>[2]底表!CI148</f>
        <v>1</v>
      </c>
      <c r="AW148" s="21">
        <f>[2]底表!CJ148</f>
        <v>3</v>
      </c>
      <c r="AX148" s="21">
        <f>[2]底表!CK148</f>
        <v>1</v>
      </c>
      <c r="AY148" s="21">
        <f>[2]底表!CL148</f>
        <v>120</v>
      </c>
      <c r="AZ148" s="21">
        <f>[2]底表!CM148</f>
        <v>60</v>
      </c>
      <c r="BA148" s="21">
        <f>[2]底表!CN148</f>
        <v>1</v>
      </c>
      <c r="BB148" s="21">
        <f>[2]底表!CO148</f>
        <v>1</v>
      </c>
      <c r="BC148" s="21">
        <f>[2]底表!CP148</f>
        <v>2</v>
      </c>
      <c r="BD148" s="21">
        <f>[2]底表!CQ148</f>
        <v>-0.5</v>
      </c>
      <c r="BE148" s="21">
        <f>[2]底表!CR148</f>
        <v>1</v>
      </c>
      <c r="BF148" s="21">
        <f>[2]底表!CS148</f>
        <v>0</v>
      </c>
      <c r="BG148" s="21">
        <f>[2]底表!CT148</f>
        <v>0.1667</v>
      </c>
      <c r="BH148" s="21">
        <f>[2]底表!CU148</f>
        <v>-0.5</v>
      </c>
      <c r="BI148" s="21">
        <f>[2]底表!CV148</f>
        <v>20</v>
      </c>
      <c r="BJ148" s="21">
        <f>[2]底表!CW148</f>
        <v>-20</v>
      </c>
      <c r="BK148" s="21">
        <f>[2]底表!CX148</f>
        <v>-0.5</v>
      </c>
      <c r="BL148" s="21">
        <f>[2]底表!CY148</f>
        <v>3</v>
      </c>
      <c r="BM148" s="21">
        <f>[2]底表!CZ148</f>
        <v>2</v>
      </c>
      <c r="BN148" s="23">
        <f>[2]底表!DA148</f>
        <v>0.5</v>
      </c>
      <c r="BO148" s="21">
        <f>[2]底表!DB148</f>
        <v>3</v>
      </c>
      <c r="BP148" s="21">
        <f>[2]底表!DC148</f>
        <v>0</v>
      </c>
      <c r="BQ148" s="21">
        <f>[2]底表!DD148</f>
        <v>0.5</v>
      </c>
      <c r="BR148" s="21">
        <f>[2]底表!DE148</f>
        <v>-0.1667</v>
      </c>
      <c r="BS148" s="21">
        <f>[2]底表!DF148</f>
        <v>60</v>
      </c>
      <c r="BT148" s="21">
        <f>[2]底表!DG148</f>
        <v>20</v>
      </c>
      <c r="BU148" s="21">
        <f>[2]底表!DH148</f>
        <v>0.5</v>
      </c>
      <c r="BV148" s="21">
        <f>[2]底表!DI148</f>
        <v>3</v>
      </c>
      <c r="BW148" s="21">
        <f>[2]底表!DJ148</f>
        <v>3</v>
      </c>
      <c r="BX148" s="23">
        <f>[2]底表!DK148</f>
        <v>0</v>
      </c>
      <c r="BY148" s="21">
        <f>[2]底表!DL148</f>
        <v>2</v>
      </c>
      <c r="BZ148" s="21">
        <f>[2]底表!DM148</f>
        <v>0.5</v>
      </c>
      <c r="CA148" s="21">
        <f>[2]底表!DN148</f>
        <v>2</v>
      </c>
      <c r="CB148" s="21">
        <f>[2]底表!DO148</f>
        <v>0</v>
      </c>
      <c r="CC148" s="21" t="str">
        <f>[2]底表!DP148</f>
        <v>多2人</v>
      </c>
      <c r="CD148" s="21">
        <f>[2]底表!DQ148</f>
        <v>2</v>
      </c>
      <c r="CE148" s="21">
        <f>[2]底表!DR148</f>
        <v>0</v>
      </c>
      <c r="CF148" s="21">
        <f>[2]底表!DS148</f>
        <v>2</v>
      </c>
      <c r="CG148" s="21">
        <f>[2]底表!DT148</f>
        <v>0</v>
      </c>
      <c r="CH148" s="21" t="str">
        <f>[2]底表!DU148</f>
        <v>多2人</v>
      </c>
      <c r="CI148" s="21">
        <f>[2]底表!DV148</f>
        <v>2</v>
      </c>
      <c r="CJ148" s="21">
        <f>[2]底表!DW148</f>
        <v>0</v>
      </c>
      <c r="CK148" s="21">
        <f>[2]底表!DX148</f>
        <v>2</v>
      </c>
      <c r="CL148" s="21">
        <f>[2]底表!DY148</f>
        <v>1</v>
      </c>
      <c r="CM148" s="21">
        <f>[2]底表!DZ148</f>
        <v>1</v>
      </c>
      <c r="CN148" s="21">
        <f>[2]底表!EA148</f>
        <v>2</v>
      </c>
      <c r="CO148" s="21">
        <f>[2]底表!EB148</f>
        <v>0</v>
      </c>
      <c r="CP148" s="21">
        <f>[2]底表!EC148</f>
        <v>1</v>
      </c>
      <c r="CQ148" s="21">
        <f>[2]底表!ED148</f>
        <v>1</v>
      </c>
      <c r="CR148" s="21">
        <f>[2]底表!EE148</f>
        <v>0</v>
      </c>
      <c r="CS148" s="21">
        <f>[2]底表!EF148</f>
        <v>1</v>
      </c>
      <c r="CT148" s="21">
        <f>[2]底表!EG148</f>
        <v>0</v>
      </c>
      <c r="CU148" s="21">
        <f>[2]底表!EH148</f>
        <v>1</v>
      </c>
      <c r="CV148" s="21">
        <f>[2]底表!EI148</f>
        <v>0.5</v>
      </c>
      <c r="CW148" s="21">
        <f>[2]底表!EJ148</f>
        <v>20</v>
      </c>
      <c r="CX148" s="21">
        <f>[2]底表!EK148</f>
        <v>0</v>
      </c>
      <c r="CY148" s="21">
        <f>[2]底表!EL148</f>
        <v>0</v>
      </c>
      <c r="CZ148" s="21">
        <f>[2]底表!EM148</f>
        <v>1</v>
      </c>
      <c r="DA148" s="21">
        <f>[2]底表!EN148</f>
        <v>1</v>
      </c>
      <c r="DB148" s="21">
        <f>[2]底表!EO148</f>
        <v>0</v>
      </c>
      <c r="DC148" s="21">
        <f>[2]底表!EP148</f>
        <v>1</v>
      </c>
      <c r="DD148" s="21">
        <f>[2]底表!EQ148</f>
        <v>0</v>
      </c>
      <c r="DE148" s="21">
        <f>[2]底表!ER148</f>
        <v>2</v>
      </c>
      <c r="DF148" s="21">
        <f>[2]底表!ES148</f>
        <v>1</v>
      </c>
      <c r="DG148" s="23">
        <f>[2]底表!ET148</f>
        <v>1</v>
      </c>
      <c r="DH148" s="21">
        <f>[2]底表!EU148</f>
        <v>5</v>
      </c>
      <c r="DI148" s="21">
        <f>[2]底表!EV148</f>
        <v>-0.6</v>
      </c>
      <c r="DJ148" s="21">
        <f>[2]底表!EW148</f>
        <v>2</v>
      </c>
      <c r="DK148" s="21">
        <f>[2]底表!EX148</f>
        <v>1.5</v>
      </c>
      <c r="DL148" s="21">
        <f>[2]底表!EY148</f>
        <v>40</v>
      </c>
      <c r="DM148" s="21">
        <f>[2]底表!EZ148</f>
        <v>20</v>
      </c>
      <c r="DN148" s="21">
        <f>[2]底表!FA148</f>
        <v>1</v>
      </c>
      <c r="DO148" s="21">
        <f>[2]底表!BQ148</f>
        <v>2</v>
      </c>
      <c r="DP148" s="21">
        <f>[2]底表!BR148</f>
        <v>1</v>
      </c>
      <c r="DQ148" s="24">
        <f>[2]底表!BS148</f>
        <v>1</v>
      </c>
    </row>
    <row r="149" s="2" customFormat="1" ht="32" hidden="1" customHeight="1" spans="1:121">
      <c r="A149" s="27" t="str">
        <f>[2]底表!A149</f>
        <v>八类</v>
      </c>
      <c r="B149" s="28" t="str">
        <f>[2]底表!B149</f>
        <v>郁南县</v>
      </c>
      <c r="C149" s="21">
        <f>[2]底表!AM149</f>
        <v>5</v>
      </c>
      <c r="D149" s="21">
        <f>[2]底表!AN149</f>
        <v>0</v>
      </c>
      <c r="E149" s="23" t="str">
        <f>[2]底表!AO149</f>
        <v>多5起</v>
      </c>
      <c r="F149" s="21">
        <f>[2]底表!AP149</f>
        <v>1</v>
      </c>
      <c r="G149" s="21">
        <f>[2]底表!AQ149</f>
        <v>4</v>
      </c>
      <c r="H149" s="21">
        <f>[2]底表!AR149</f>
        <v>1</v>
      </c>
      <c r="I149" s="21" t="str">
        <f>[2]底表!AS149</f>
        <v/>
      </c>
      <c r="J149" s="21">
        <f>[2]底表!AT149</f>
        <v>3</v>
      </c>
      <c r="K149" s="21">
        <f>[2]底表!AU149</f>
        <v>0</v>
      </c>
      <c r="L149" s="21" t="str">
        <f>[2]底表!AV149</f>
        <v>多3起</v>
      </c>
      <c r="M149" s="21">
        <f>[2]底表!AW149</f>
        <v>1</v>
      </c>
      <c r="N149" s="21">
        <f>[2]底表!AX149</f>
        <v>2</v>
      </c>
      <c r="O149" s="21">
        <f>[2]底表!AY149</f>
        <v>3</v>
      </c>
      <c r="P149" s="21">
        <f>[2]底表!AZ149</f>
        <v>0</v>
      </c>
      <c r="Q149" s="21" t="str">
        <f>[2]底表!BA149</f>
        <v>多3起</v>
      </c>
      <c r="R149" s="21">
        <f>[2]底表!BB149</f>
        <v>1</v>
      </c>
      <c r="S149" s="21">
        <f>[2]底表!BC149</f>
        <v>2</v>
      </c>
      <c r="T149" s="21">
        <f>[2]底表!BD149</f>
        <v>1</v>
      </c>
      <c r="U149" s="21" t="str">
        <f>[2]底表!BE149</f>
        <v/>
      </c>
      <c r="V149" s="21">
        <f>[2]底表!BF149</f>
        <v>2</v>
      </c>
      <c r="W149" s="21">
        <f>[2]底表!BG149</f>
        <v>0</v>
      </c>
      <c r="X149" s="21" t="str">
        <f>[2]底表!BH149</f>
        <v>多2起</v>
      </c>
      <c r="Y149" s="21">
        <f>[2]底表!BI149</f>
        <v>0</v>
      </c>
      <c r="Z149" s="21" t="str">
        <f>[2]底表!BJ149</f>
        <v>多2起</v>
      </c>
      <c r="AA149" s="21">
        <f>[2]底表!BK149</f>
        <v>0.4</v>
      </c>
      <c r="AB149" s="21">
        <f>[2]底表!BL149</f>
        <v>2</v>
      </c>
      <c r="AC149" s="21">
        <f>[2]底表!BM149</f>
        <v>0</v>
      </c>
      <c r="AD149" s="21" t="str">
        <f>[2]底表!BN149</f>
        <v>多2起</v>
      </c>
      <c r="AE149" s="21">
        <f>[2]底表!BO149</f>
        <v>0</v>
      </c>
      <c r="AF149" s="21" t="str">
        <f>[2]底表!BP149</f>
        <v>多2起</v>
      </c>
      <c r="AG149" s="21">
        <f>[2]底表!BT149</f>
        <v>1</v>
      </c>
      <c r="AH149" s="21" t="str">
        <f>[2]底表!BU149</f>
        <v>少1起</v>
      </c>
      <c r="AI149" s="21">
        <f>[2]底表!BV149</f>
        <v>0</v>
      </c>
      <c r="AJ149" s="21" t="str">
        <f>[2]底表!BW149</f>
        <v/>
      </c>
      <c r="AK149" s="21">
        <f>[2]底表!BX149</f>
        <v>0</v>
      </c>
      <c r="AL149" s="21" t="str">
        <f>[2]底表!BY149</f>
        <v/>
      </c>
      <c r="AM149" s="21">
        <f>[2]底表!BZ149</f>
        <v>0</v>
      </c>
      <c r="AN149" s="21">
        <f>[2]底表!CA149</f>
        <v>0</v>
      </c>
      <c r="AO149" s="21" t="str">
        <f>[2]底表!CB149</f>
        <v>持平</v>
      </c>
      <c r="AP149" s="21">
        <f>[2]底表!CC149</f>
        <v>0</v>
      </c>
      <c r="AQ149" s="21" t="str">
        <f>[2]底表!CD149</f>
        <v>持平</v>
      </c>
      <c r="AR149" s="21" t="str">
        <f>[2]底表!CE149</f>
        <v/>
      </c>
      <c r="AS149" s="21" t="str">
        <f>[2]底表!CF149</f>
        <v/>
      </c>
      <c r="AT149" s="21">
        <f>[2]底表!CG149</f>
        <v>7</v>
      </c>
      <c r="AU149" s="21">
        <f>[2]底表!CH149</f>
        <v>0</v>
      </c>
      <c r="AV149" s="21" t="str">
        <f>[2]底表!CI149</f>
        <v>多7人</v>
      </c>
      <c r="AW149" s="21">
        <f>[2]底表!CJ149</f>
        <v>0</v>
      </c>
      <c r="AX149" s="21" t="str">
        <f>[2]底表!CK149</f>
        <v>多7人</v>
      </c>
      <c r="AY149" s="21">
        <f>[2]底表!CL149</f>
        <v>140</v>
      </c>
      <c r="AZ149" s="21" t="str">
        <f>[2]底表!CM149</f>
        <v/>
      </c>
      <c r="BA149" s="21" t="str">
        <f>[2]底表!CN149</f>
        <v/>
      </c>
      <c r="BB149" s="21">
        <f>[2]底表!CO149</f>
        <v>5</v>
      </c>
      <c r="BC149" s="21">
        <f>[2]底表!CP149</f>
        <v>0</v>
      </c>
      <c r="BD149" s="21" t="str">
        <f>[2]底表!CQ149</f>
        <v>多5人</v>
      </c>
      <c r="BE149" s="21">
        <f>[2]底表!CR149</f>
        <v>3</v>
      </c>
      <c r="BF149" s="21">
        <f>[2]底表!CS149</f>
        <v>0.6667</v>
      </c>
      <c r="BG149" s="21">
        <f>[2]底表!CT149</f>
        <v>0.7143</v>
      </c>
      <c r="BH149" s="21" t="str">
        <f>[2]底表!CU149</f>
        <v/>
      </c>
      <c r="BI149" s="21">
        <f>[2]底表!CV149</f>
        <v>100</v>
      </c>
      <c r="BJ149" s="21" t="str">
        <f>[2]底表!CW149</f>
        <v/>
      </c>
      <c r="BK149" s="21" t="str">
        <f>[2]底表!CX149</f>
        <v/>
      </c>
      <c r="BL149" s="21">
        <f>[2]底表!CY149</f>
        <v>6</v>
      </c>
      <c r="BM149" s="21">
        <f>[2]底表!CZ149</f>
        <v>0</v>
      </c>
      <c r="BN149" s="23" t="str">
        <f>[2]底表!DA149</f>
        <v>多6人</v>
      </c>
      <c r="BO149" s="21">
        <f>[2]底表!DB149</f>
        <v>3</v>
      </c>
      <c r="BP149" s="21">
        <f>[2]底表!DC149</f>
        <v>1</v>
      </c>
      <c r="BQ149" s="21">
        <f>[2]底表!DD149</f>
        <v>0.8571</v>
      </c>
      <c r="BR149" s="21" t="str">
        <f>[2]底表!DE149</f>
        <v/>
      </c>
      <c r="BS149" s="21">
        <f>[2]底表!DF149</f>
        <v>120</v>
      </c>
      <c r="BT149" s="21" t="str">
        <f>[2]底表!DG149</f>
        <v/>
      </c>
      <c r="BU149" s="21" t="str">
        <f>[2]底表!DH149</f>
        <v/>
      </c>
      <c r="BV149" s="21">
        <f>[2]底表!DI149</f>
        <v>8</v>
      </c>
      <c r="BW149" s="21">
        <f>[2]底表!DJ149</f>
        <v>0</v>
      </c>
      <c r="BX149" s="23" t="str">
        <f>[2]底表!DK149</f>
        <v>多8人</v>
      </c>
      <c r="BY149" s="21">
        <f>[2]底表!DL149</f>
        <v>1</v>
      </c>
      <c r="BZ149" s="21">
        <f>[2]底表!DM149</f>
        <v>7</v>
      </c>
      <c r="CA149" s="21">
        <f>[2]底表!DN149</f>
        <v>1</v>
      </c>
      <c r="CB149" s="21">
        <f>[2]底表!DO149</f>
        <v>0</v>
      </c>
      <c r="CC149" s="21" t="str">
        <f>[2]底表!DP149</f>
        <v>多1人</v>
      </c>
      <c r="CD149" s="21">
        <f>[2]底表!DQ149</f>
        <v>0</v>
      </c>
      <c r="CE149" s="21" t="str">
        <f>[2]底表!DR149</f>
        <v>多1人</v>
      </c>
      <c r="CF149" s="21">
        <f>[2]底表!DS149</f>
        <v>1</v>
      </c>
      <c r="CG149" s="21">
        <f>[2]底表!DT149</f>
        <v>0</v>
      </c>
      <c r="CH149" s="21" t="str">
        <f>[2]底表!DU149</f>
        <v>多1人</v>
      </c>
      <c r="CI149" s="21">
        <f>[2]底表!DV149</f>
        <v>0</v>
      </c>
      <c r="CJ149" s="21" t="str">
        <f>[2]底表!DW149</f>
        <v>多1人</v>
      </c>
      <c r="CK149" s="21">
        <f>[2]底表!DX149</f>
        <v>5</v>
      </c>
      <c r="CL149" s="21">
        <f>[2]底表!DY149</f>
        <v>0</v>
      </c>
      <c r="CM149" s="21" t="str">
        <f>[2]底表!DZ149</f>
        <v>多5人</v>
      </c>
      <c r="CN149" s="21">
        <f>[2]底表!EA149</f>
        <v>5</v>
      </c>
      <c r="CO149" s="21">
        <f>[2]底表!EB149</f>
        <v>0</v>
      </c>
      <c r="CP149" s="21">
        <f>[2]底表!EC149</f>
        <v>1</v>
      </c>
      <c r="CQ149" s="21">
        <f>[2]底表!ED149</f>
        <v>0</v>
      </c>
      <c r="CR149" s="21" t="str">
        <f>[2]底表!EE149</f>
        <v>多1人</v>
      </c>
      <c r="CS149" s="21">
        <f>[2]底表!EF149</f>
        <v>5</v>
      </c>
      <c r="CT149" s="21">
        <f>[2]底表!EG149</f>
        <v>-0.8</v>
      </c>
      <c r="CU149" s="21">
        <f>[2]底表!EH149</f>
        <v>0.2</v>
      </c>
      <c r="CV149" s="21" t="str">
        <f>[2]底表!EI149</f>
        <v/>
      </c>
      <c r="CW149" s="21">
        <f>[2]底表!EJ149</f>
        <v>20</v>
      </c>
      <c r="CX149" s="21" t="str">
        <f>[2]底表!EK149</f>
        <v/>
      </c>
      <c r="CY149" s="21" t="str">
        <f>[2]底表!EL149</f>
        <v/>
      </c>
      <c r="CZ149" s="21">
        <f>[2]底表!EM149</f>
        <v>1</v>
      </c>
      <c r="DA149" s="21">
        <f>[2]底表!EN149</f>
        <v>0</v>
      </c>
      <c r="DB149" s="21" t="str">
        <f>[2]底表!EO149</f>
        <v>多1人</v>
      </c>
      <c r="DC149" s="21">
        <f>[2]底表!EP149</f>
        <v>5</v>
      </c>
      <c r="DD149" s="21">
        <f>[2]底表!EQ149</f>
        <v>-0.8</v>
      </c>
      <c r="DE149" s="21">
        <f>[2]底表!ER149</f>
        <v>0</v>
      </c>
      <c r="DF149" s="21">
        <f>[2]底表!ES149</f>
        <v>0</v>
      </c>
      <c r="DG149" s="23" t="str">
        <f>[2]底表!ET149</f>
        <v>持平</v>
      </c>
      <c r="DH149" s="21">
        <f>[2]底表!EU149</f>
        <v>1</v>
      </c>
      <c r="DI149" s="21" t="str">
        <f>[2]底表!EV149</f>
        <v>少1人</v>
      </c>
      <c r="DJ149" s="21">
        <f>[2]底表!EW149</f>
        <v>0</v>
      </c>
      <c r="DK149" s="21" t="str">
        <f>[2]底表!EX149</f>
        <v/>
      </c>
      <c r="DL149" s="21">
        <f>[2]底表!EY149</f>
        <v>0</v>
      </c>
      <c r="DM149" s="21" t="str">
        <f>[2]底表!EZ149</f>
        <v/>
      </c>
      <c r="DN149" s="21" t="str">
        <f>[2]底表!FA149</f>
        <v/>
      </c>
      <c r="DO149" s="21">
        <f>[2]底表!BQ149</f>
        <v>0</v>
      </c>
      <c r="DP149" s="21">
        <f>[2]底表!BR149</f>
        <v>0</v>
      </c>
      <c r="DQ149" s="24" t="str">
        <f>[2]底表!BS149</f>
        <v>持平</v>
      </c>
    </row>
    <row r="150" s="2" customFormat="1" ht="32" hidden="1" customHeight="1" spans="1:121">
      <c r="A150" s="27" t="str">
        <f>[2]底表!A150</f>
        <v>八类</v>
      </c>
      <c r="B150" s="28" t="str">
        <f>[2]底表!B150</f>
        <v>罗定市</v>
      </c>
      <c r="C150" s="21">
        <f>[2]底表!AM150</f>
        <v>6</v>
      </c>
      <c r="D150" s="21">
        <f>[2]底表!AN150</f>
        <v>4</v>
      </c>
      <c r="E150" s="23">
        <f>[2]底表!AO150</f>
        <v>0.5</v>
      </c>
      <c r="F150" s="21">
        <f>[2]底表!AP150</f>
        <v>10</v>
      </c>
      <c r="G150" s="21">
        <f>[2]底表!AQ150</f>
        <v>-0.4</v>
      </c>
      <c r="H150" s="21">
        <f>[2]底表!AR150</f>
        <v>0.75</v>
      </c>
      <c r="I150" s="21">
        <f>[2]底表!AS150</f>
        <v>-0.05</v>
      </c>
      <c r="J150" s="21">
        <f>[2]底表!AT150</f>
        <v>4</v>
      </c>
      <c r="K150" s="21">
        <f>[2]底表!AU150</f>
        <v>3</v>
      </c>
      <c r="L150" s="21">
        <f>[2]底表!AV150</f>
        <v>0.3333</v>
      </c>
      <c r="M150" s="21">
        <f>[2]底表!AW150</f>
        <v>7</v>
      </c>
      <c r="N150" s="21">
        <f>[2]底表!AX150</f>
        <v>-0.4286</v>
      </c>
      <c r="O150" s="21">
        <f>[2]底表!AY150</f>
        <v>2</v>
      </c>
      <c r="P150" s="21">
        <f>[2]底表!AZ150</f>
        <v>3</v>
      </c>
      <c r="Q150" s="21">
        <f>[2]底表!BA150</f>
        <v>-0.3333</v>
      </c>
      <c r="R150" s="21">
        <f>[2]底表!BB150</f>
        <v>8</v>
      </c>
      <c r="S150" s="21">
        <f>[2]底表!BC150</f>
        <v>-0.75</v>
      </c>
      <c r="T150" s="21">
        <f>[2]底表!BD150</f>
        <v>0.5</v>
      </c>
      <c r="U150" s="21">
        <f>[2]底表!BE150</f>
        <v>-0.5</v>
      </c>
      <c r="V150" s="21">
        <f>[2]底表!BF150</f>
        <v>4</v>
      </c>
      <c r="W150" s="21">
        <f>[2]底表!BG150</f>
        <v>2</v>
      </c>
      <c r="X150" s="21">
        <f>[2]底表!BH150</f>
        <v>1</v>
      </c>
      <c r="Y150" s="21">
        <f>[2]底表!BI150</f>
        <v>0</v>
      </c>
      <c r="Z150" s="21" t="str">
        <f>[2]底表!BJ150</f>
        <v>多4起</v>
      </c>
      <c r="AA150" s="21">
        <f>[2]底表!BK150</f>
        <v>0.5</v>
      </c>
      <c r="AB150" s="21">
        <f>[2]底表!BL150</f>
        <v>4</v>
      </c>
      <c r="AC150" s="21">
        <f>[2]底表!BM150</f>
        <v>1</v>
      </c>
      <c r="AD150" s="21">
        <f>[2]底表!BN150</f>
        <v>3</v>
      </c>
      <c r="AE150" s="21">
        <f>[2]底表!BO150</f>
        <v>2</v>
      </c>
      <c r="AF150" s="21">
        <f>[2]底表!BP150</f>
        <v>1</v>
      </c>
      <c r="AG150" s="21">
        <f>[2]底表!BT150</f>
        <v>8</v>
      </c>
      <c r="AH150" s="21">
        <f>[2]底表!BU150</f>
        <v>-0.375</v>
      </c>
      <c r="AI150" s="21">
        <f>[2]底表!BV150</f>
        <v>0.625</v>
      </c>
      <c r="AJ150" s="21">
        <f>[2]底表!BW150</f>
        <v>0.225</v>
      </c>
      <c r="AK150" s="21">
        <f>[2]底表!BX150</f>
        <v>1.25</v>
      </c>
      <c r="AL150" s="21">
        <f>[2]底表!BY150</f>
        <v>0.5833</v>
      </c>
      <c r="AM150" s="21">
        <f>[2]底表!BZ150</f>
        <v>0</v>
      </c>
      <c r="AN150" s="21">
        <f>[2]底表!CA150</f>
        <v>0</v>
      </c>
      <c r="AO150" s="21" t="str">
        <f>[2]底表!CB150</f>
        <v>持平</v>
      </c>
      <c r="AP150" s="21">
        <f>[2]底表!CC150</f>
        <v>0</v>
      </c>
      <c r="AQ150" s="21" t="str">
        <f>[2]底表!CD150</f>
        <v>持平</v>
      </c>
      <c r="AR150" s="21" t="str">
        <f>[2]底表!CE150</f>
        <v/>
      </c>
      <c r="AS150" s="21" t="str">
        <f>[2]底表!CF150</f>
        <v/>
      </c>
      <c r="AT150" s="21">
        <f>[2]底表!CG150</f>
        <v>10</v>
      </c>
      <c r="AU150" s="21">
        <f>[2]底表!CH150</f>
        <v>16</v>
      </c>
      <c r="AV150" s="21">
        <f>[2]底表!CI150</f>
        <v>-0.375</v>
      </c>
      <c r="AW150" s="21">
        <f>[2]底表!CJ150</f>
        <v>4</v>
      </c>
      <c r="AX150" s="21">
        <f>[2]底表!CK150</f>
        <v>1.5</v>
      </c>
      <c r="AY150" s="21">
        <f>[2]底表!CL150</f>
        <v>125</v>
      </c>
      <c r="AZ150" s="21">
        <f>[2]底表!CM150</f>
        <v>-195</v>
      </c>
      <c r="BA150" s="21">
        <f>[2]底表!CN150</f>
        <v>-0.6094</v>
      </c>
      <c r="BB150" s="21">
        <f>[2]底表!CO150</f>
        <v>7</v>
      </c>
      <c r="BC150" s="21">
        <f>[2]底表!CP150</f>
        <v>4</v>
      </c>
      <c r="BD150" s="21">
        <f>[2]底表!CQ150</f>
        <v>0.75</v>
      </c>
      <c r="BE150" s="21">
        <f>[2]底表!CR150</f>
        <v>7</v>
      </c>
      <c r="BF150" s="21">
        <f>[2]底表!CS150</f>
        <v>0</v>
      </c>
      <c r="BG150" s="21">
        <f>[2]底表!CT150</f>
        <v>0.7</v>
      </c>
      <c r="BH150" s="21">
        <f>[2]底表!CU150</f>
        <v>0.45</v>
      </c>
      <c r="BI150" s="21">
        <f>[2]底表!CV150</f>
        <v>88</v>
      </c>
      <c r="BJ150" s="21">
        <f>[2]底表!CW150</f>
        <v>8</v>
      </c>
      <c r="BK150" s="21">
        <f>[2]底表!CX150</f>
        <v>0.0937</v>
      </c>
      <c r="BL150" s="21">
        <f>[2]底表!CY150</f>
        <v>7</v>
      </c>
      <c r="BM150" s="21">
        <f>[2]底表!CZ150</f>
        <v>5</v>
      </c>
      <c r="BN150" s="23">
        <f>[2]底表!DA150</f>
        <v>0.4</v>
      </c>
      <c r="BO150" s="21">
        <f>[2]底表!DB150</f>
        <v>7</v>
      </c>
      <c r="BP150" s="21">
        <f>[2]底表!DC150</f>
        <v>0</v>
      </c>
      <c r="BQ150" s="21">
        <f>[2]底表!DD150</f>
        <v>0.7</v>
      </c>
      <c r="BR150" s="21">
        <f>[2]底表!DE150</f>
        <v>0.3875</v>
      </c>
      <c r="BS150" s="21">
        <f>[2]底表!DF150</f>
        <v>88</v>
      </c>
      <c r="BT150" s="21">
        <f>[2]底表!DG150</f>
        <v>-13</v>
      </c>
      <c r="BU150" s="21">
        <f>[2]底表!DH150</f>
        <v>-0.125</v>
      </c>
      <c r="BV150" s="21">
        <f>[2]底表!DI150</f>
        <v>6</v>
      </c>
      <c r="BW150" s="21">
        <f>[2]底表!DJ150</f>
        <v>0</v>
      </c>
      <c r="BX150" s="23" t="str">
        <f>[2]底表!DK150</f>
        <v>多6人</v>
      </c>
      <c r="BY150" s="21">
        <f>[2]底表!DL150</f>
        <v>7</v>
      </c>
      <c r="BZ150" s="21">
        <f>[2]底表!DM150</f>
        <v>-0.1429</v>
      </c>
      <c r="CA150" s="21">
        <f>[2]底表!DN150</f>
        <v>1</v>
      </c>
      <c r="CB150" s="21">
        <f>[2]底表!DO150</f>
        <v>1</v>
      </c>
      <c r="CC150" s="21">
        <f>[2]底表!DP150</f>
        <v>0</v>
      </c>
      <c r="CD150" s="21">
        <f>[2]底表!DQ150</f>
        <v>3</v>
      </c>
      <c r="CE150" s="21">
        <f>[2]底表!DR150</f>
        <v>-0.6667</v>
      </c>
      <c r="CF150" s="21">
        <f>[2]底表!DS150</f>
        <v>1</v>
      </c>
      <c r="CG150" s="21">
        <f>[2]底表!DT150</f>
        <v>1</v>
      </c>
      <c r="CH150" s="21">
        <f>[2]底表!DU150</f>
        <v>0</v>
      </c>
      <c r="CI150" s="21">
        <f>[2]底表!DV150</f>
        <v>3</v>
      </c>
      <c r="CJ150" s="21">
        <f>[2]底表!DW150</f>
        <v>-0.6667</v>
      </c>
      <c r="CK150" s="21">
        <f>[2]底表!DX150</f>
        <v>7</v>
      </c>
      <c r="CL150" s="21">
        <f>[2]底表!DY150</f>
        <v>3</v>
      </c>
      <c r="CM150" s="21">
        <f>[2]底表!DZ150</f>
        <v>1.3333</v>
      </c>
      <c r="CN150" s="21">
        <f>[2]底表!EA150</f>
        <v>9</v>
      </c>
      <c r="CO150" s="21">
        <f>[2]底表!EB150</f>
        <v>-0.2222</v>
      </c>
      <c r="CP150" s="21">
        <f>[2]底表!EC150</f>
        <v>7</v>
      </c>
      <c r="CQ150" s="21">
        <f>[2]底表!ED150</f>
        <v>3</v>
      </c>
      <c r="CR150" s="21">
        <f>[2]底表!EE150</f>
        <v>1.3333</v>
      </c>
      <c r="CS150" s="21">
        <f>[2]底表!EF150</f>
        <v>6</v>
      </c>
      <c r="CT150" s="21">
        <f>[2]底表!EG150</f>
        <v>0.1667</v>
      </c>
      <c r="CU150" s="21">
        <f>[2]底表!EH150</f>
        <v>1</v>
      </c>
      <c r="CV150" s="21">
        <f>[2]底表!EI150</f>
        <v>0.25</v>
      </c>
      <c r="CW150" s="21">
        <f>[2]底表!EJ150</f>
        <v>88</v>
      </c>
      <c r="CX150" s="21">
        <f>[2]底表!EK150</f>
        <v>28</v>
      </c>
      <c r="CY150" s="21">
        <f>[2]底表!EL150</f>
        <v>0.4583</v>
      </c>
      <c r="CZ150" s="21">
        <f>[2]底表!EM150</f>
        <v>7</v>
      </c>
      <c r="DA150" s="21">
        <f>[2]底表!EN150</f>
        <v>3</v>
      </c>
      <c r="DB150" s="21">
        <f>[2]底表!EO150</f>
        <v>1.3333</v>
      </c>
      <c r="DC150" s="21">
        <f>[2]底表!EP150</f>
        <v>6</v>
      </c>
      <c r="DD150" s="21">
        <f>[2]底表!EQ150</f>
        <v>0.1667</v>
      </c>
      <c r="DE150" s="21">
        <f>[2]底表!ER150</f>
        <v>5</v>
      </c>
      <c r="DF150" s="21">
        <f>[2]底表!ES150</f>
        <v>2</v>
      </c>
      <c r="DG150" s="23">
        <f>[2]底表!ET150</f>
        <v>1.5</v>
      </c>
      <c r="DH150" s="21">
        <f>[2]底表!EU150</f>
        <v>9</v>
      </c>
      <c r="DI150" s="21">
        <f>[2]底表!EV150</f>
        <v>-0.4444</v>
      </c>
      <c r="DJ150" s="21">
        <f>[2]底表!EW150</f>
        <v>0.7143</v>
      </c>
      <c r="DK150" s="21">
        <f>[2]底表!EX150</f>
        <v>0.2143</v>
      </c>
      <c r="DL150" s="21">
        <f>[2]底表!EY150</f>
        <v>63</v>
      </c>
      <c r="DM150" s="21">
        <f>[2]底表!EZ150</f>
        <v>23</v>
      </c>
      <c r="DN150" s="21">
        <f>[2]底表!FA150</f>
        <v>0.5625</v>
      </c>
      <c r="DO150" s="21">
        <f>[2]底表!BQ150</f>
        <v>5</v>
      </c>
      <c r="DP150" s="21">
        <f>[2]底表!BR150</f>
        <v>2</v>
      </c>
      <c r="DQ150" s="24">
        <f>[2]底表!BS150</f>
        <v>1.5</v>
      </c>
    </row>
    <row r="151" s="2" customFormat="1" ht="32" hidden="1" customHeight="1" spans="1:121">
      <c r="A151" s="27" t="str">
        <f>[2]底表!A151</f>
        <v>故意伤害</v>
      </c>
      <c r="B151" s="28" t="str">
        <f>[2]底表!B151</f>
        <v>全省</v>
      </c>
      <c r="C151" s="21">
        <f>[2]底表!AM151</f>
        <v>905</v>
      </c>
      <c r="D151" s="21">
        <f>[2]底表!AN151</f>
        <v>632</v>
      </c>
      <c r="E151" s="23">
        <f>[2]底表!AO151</f>
        <v>0.432</v>
      </c>
      <c r="F151" s="21">
        <f>[2]底表!AP151</f>
        <v>1145</v>
      </c>
      <c r="G151" s="21">
        <f>[2]底表!AQ151</f>
        <v>-0.2096</v>
      </c>
      <c r="H151" s="21">
        <f>[2]底表!AR151</f>
        <v>0.9628</v>
      </c>
      <c r="I151" s="21">
        <f>[2]底表!AS151</f>
        <v>0.1473</v>
      </c>
      <c r="J151" s="21">
        <f>[2]底表!AT151</f>
        <v>597</v>
      </c>
      <c r="K151" s="21">
        <f>[2]底表!AU151</f>
        <v>483</v>
      </c>
      <c r="L151" s="21">
        <f>[2]底表!AV151</f>
        <v>0.236</v>
      </c>
      <c r="M151" s="21">
        <f>[2]底表!AW151</f>
        <v>952</v>
      </c>
      <c r="N151" s="21">
        <f>[2]底表!AX151</f>
        <v>-0.3729</v>
      </c>
      <c r="O151" s="21">
        <f>[2]底表!AY151</f>
        <v>548</v>
      </c>
      <c r="P151" s="21">
        <f>[2]底表!AZ151</f>
        <v>401</v>
      </c>
      <c r="Q151" s="21">
        <f>[2]底表!BA151</f>
        <v>0.3666</v>
      </c>
      <c r="R151" s="21">
        <f>[2]底表!BB151</f>
        <v>1037</v>
      </c>
      <c r="S151" s="21">
        <f>[2]底表!BC151</f>
        <v>-0.4716</v>
      </c>
      <c r="T151" s="21">
        <f>[2]底表!BD151</f>
        <v>0.9179</v>
      </c>
      <c r="U151" s="21">
        <f>[2]底表!BE151</f>
        <v>0.0877</v>
      </c>
      <c r="V151" s="21">
        <f>[2]底表!BF151</f>
        <v>343</v>
      </c>
      <c r="W151" s="21">
        <f>[2]底表!BG151</f>
        <v>292</v>
      </c>
      <c r="X151" s="21">
        <f>[2]底表!BH151</f>
        <v>0.1747</v>
      </c>
      <c r="Y151" s="21">
        <f>[2]底表!BI151</f>
        <v>16</v>
      </c>
      <c r="Z151" s="21">
        <f>[2]底表!BJ151</f>
        <v>20.4375</v>
      </c>
      <c r="AA151" s="21">
        <f>[2]底表!BK151</f>
        <v>0.3649</v>
      </c>
      <c r="AB151" s="21">
        <f>[2]底表!BL151</f>
        <v>357</v>
      </c>
      <c r="AC151" s="21">
        <f>[2]底表!BM151</f>
        <v>231</v>
      </c>
      <c r="AD151" s="21">
        <f>[2]底表!BN151</f>
        <v>0.5455</v>
      </c>
      <c r="AE151" s="21">
        <f>[2]底表!BO151</f>
        <v>108</v>
      </c>
      <c r="AF151" s="21">
        <f>[2]底表!BP151</f>
        <v>2.3056</v>
      </c>
      <c r="AG151" s="21">
        <f>[2]底表!BT151</f>
        <v>1006</v>
      </c>
      <c r="AH151" s="21">
        <f>[2]底表!BU151</f>
        <v>-0.4254</v>
      </c>
      <c r="AI151" s="21">
        <f>[2]底表!BV151</f>
        <v>0.6149</v>
      </c>
      <c r="AJ151" s="21">
        <f>[2]底表!BW151</f>
        <v>0.0549</v>
      </c>
      <c r="AK151" s="21">
        <f>[2]底表!BX151</f>
        <v>0.9682</v>
      </c>
      <c r="AL151" s="21">
        <f>[2]底表!BY151</f>
        <v>0.0696</v>
      </c>
      <c r="AM151" s="21">
        <f>[2]底表!BZ151</f>
        <v>1</v>
      </c>
      <c r="AN151" s="21">
        <f>[2]底表!CA151</f>
        <v>2</v>
      </c>
      <c r="AO151" s="21">
        <f>[2]底表!CB151</f>
        <v>-0.5</v>
      </c>
      <c r="AP151" s="21">
        <f>[2]底表!CC151</f>
        <v>10</v>
      </c>
      <c r="AQ151" s="21">
        <f>[2]底表!CD151</f>
        <v>-0.9</v>
      </c>
      <c r="AR151" s="21" t="str">
        <f>[2]底表!CE151</f>
        <v/>
      </c>
      <c r="AS151" s="21" t="str">
        <f>[2]底表!CF151</f>
        <v/>
      </c>
      <c r="AT151" s="21">
        <f>[2]底表!CG151</f>
        <v>1090</v>
      </c>
      <c r="AU151" s="21">
        <f>[2]底表!CH151</f>
        <v>1039</v>
      </c>
      <c r="AV151" s="21">
        <f>[2]底表!CI151</f>
        <v>0.0491</v>
      </c>
      <c r="AW151" s="21">
        <f>[2]底表!CJ151</f>
        <v>1375</v>
      </c>
      <c r="AX151" s="21">
        <f>[2]底表!CK151</f>
        <v>-0.2073</v>
      </c>
      <c r="AY151" s="21">
        <f>[2]底表!CL151</f>
        <v>116</v>
      </c>
      <c r="AZ151" s="21">
        <f>[2]底表!CM151</f>
        <v>-18</v>
      </c>
      <c r="BA151" s="21">
        <f>[2]底表!CN151</f>
        <v>-0.1351</v>
      </c>
      <c r="BB151" s="21">
        <f>[2]底表!CO151</f>
        <v>758</v>
      </c>
      <c r="BC151" s="21">
        <f>[2]底表!CP151</f>
        <v>441</v>
      </c>
      <c r="BD151" s="21">
        <f>[2]底表!CQ151</f>
        <v>0.7188</v>
      </c>
      <c r="BE151" s="21">
        <f>[2]底表!CR151</f>
        <v>858</v>
      </c>
      <c r="BF151" s="21">
        <f>[2]底表!CS151</f>
        <v>-0.1166</v>
      </c>
      <c r="BG151" s="21">
        <f>[2]底表!CT151</f>
        <v>0.6954</v>
      </c>
      <c r="BH151" s="21">
        <f>[2]底表!CU151</f>
        <v>0.271</v>
      </c>
      <c r="BI151" s="21">
        <f>[2]底表!CV151</f>
        <v>81</v>
      </c>
      <c r="BJ151" s="21">
        <f>[2]底表!CW151</f>
        <v>24</v>
      </c>
      <c r="BK151" s="21">
        <f>[2]底表!CX151</f>
        <v>0.4171</v>
      </c>
      <c r="BL151" s="21">
        <f>[2]底表!CY151</f>
        <v>1017</v>
      </c>
      <c r="BM151" s="21">
        <f>[2]底表!CZ151</f>
        <v>738</v>
      </c>
      <c r="BN151" s="23">
        <f>[2]底表!DA151</f>
        <v>0.378</v>
      </c>
      <c r="BO151" s="21">
        <f>[2]底表!DB151</f>
        <v>1208</v>
      </c>
      <c r="BP151" s="21">
        <f>[2]底表!DC151</f>
        <v>-0.1581</v>
      </c>
      <c r="BQ151" s="21">
        <f>[2]底表!DD151</f>
        <v>0.933</v>
      </c>
      <c r="BR151" s="21">
        <f>[2]底表!DE151</f>
        <v>0.2227</v>
      </c>
      <c r="BS151" s="21">
        <f>[2]底表!DF151</f>
        <v>108</v>
      </c>
      <c r="BT151" s="21">
        <f>[2]底表!DG151</f>
        <v>13</v>
      </c>
      <c r="BU151" s="21">
        <f>[2]底表!DH151</f>
        <v>0.1362</v>
      </c>
      <c r="BV151" s="21">
        <f>[2]底表!DI151</f>
        <v>1014</v>
      </c>
      <c r="BW151" s="21">
        <f>[2]底表!DJ151</f>
        <v>736</v>
      </c>
      <c r="BX151" s="23">
        <f>[2]底表!DK151</f>
        <v>0.3777</v>
      </c>
      <c r="BY151" s="21">
        <f>[2]底表!DL151</f>
        <v>1169</v>
      </c>
      <c r="BZ151" s="21">
        <f>[2]底表!DM151</f>
        <v>-0.1326</v>
      </c>
      <c r="CA151" s="21">
        <f>[2]底表!DN151</f>
        <v>768</v>
      </c>
      <c r="CB151" s="21">
        <f>[2]底表!DO151</f>
        <v>627</v>
      </c>
      <c r="CC151" s="21">
        <f>[2]底表!DP151</f>
        <v>0.2249</v>
      </c>
      <c r="CD151" s="21">
        <f>[2]底表!DQ151</f>
        <v>922</v>
      </c>
      <c r="CE151" s="21">
        <f>[2]底表!DR151</f>
        <v>-0.167</v>
      </c>
      <c r="CF151" s="21">
        <f>[2]底表!DS151</f>
        <v>770</v>
      </c>
      <c r="CG151" s="21">
        <f>[2]底表!DT151</f>
        <v>627</v>
      </c>
      <c r="CH151" s="21">
        <f>[2]底表!DU151</f>
        <v>0.2281</v>
      </c>
      <c r="CI151" s="21">
        <f>[2]底表!DV151</f>
        <v>923</v>
      </c>
      <c r="CJ151" s="21">
        <f>[2]底表!DW151</f>
        <v>-0.1658</v>
      </c>
      <c r="CK151" s="21">
        <f>[2]底表!DX151</f>
        <v>801</v>
      </c>
      <c r="CL151" s="21">
        <f>[2]底表!DY151</f>
        <v>612</v>
      </c>
      <c r="CM151" s="21">
        <f>[2]底表!DZ151</f>
        <v>0.3088</v>
      </c>
      <c r="CN151" s="21">
        <f>[2]底表!EA151</f>
        <v>947</v>
      </c>
      <c r="CO151" s="21">
        <f>[2]底表!EB151</f>
        <v>-0.1542</v>
      </c>
      <c r="CP151" s="21">
        <f>[2]底表!EC151</f>
        <v>376</v>
      </c>
      <c r="CQ151" s="21">
        <f>[2]底表!ED151</f>
        <v>387</v>
      </c>
      <c r="CR151" s="21">
        <f>[2]底表!EE151</f>
        <v>-0.0284</v>
      </c>
      <c r="CS151" s="21">
        <f>[2]底表!EF151</f>
        <v>481</v>
      </c>
      <c r="CT151" s="21">
        <f>[2]底表!EG151</f>
        <v>-0.2183</v>
      </c>
      <c r="CU151" s="21">
        <f>[2]底表!EH151</f>
        <v>0.496</v>
      </c>
      <c r="CV151" s="21">
        <f>[2]底表!EI151</f>
        <v>-0.3815</v>
      </c>
      <c r="CW151" s="21">
        <f>[2]底表!EJ151</f>
        <v>40</v>
      </c>
      <c r="CX151" s="21">
        <f>[2]底表!EK151</f>
        <v>-10</v>
      </c>
      <c r="CY151" s="21">
        <f>[2]底表!EL151</f>
        <v>-0.199</v>
      </c>
      <c r="CZ151" s="21">
        <f>[2]底表!EM151</f>
        <v>391</v>
      </c>
      <c r="DA151" s="21">
        <f>[2]底表!EN151</f>
        <v>386</v>
      </c>
      <c r="DB151" s="21">
        <f>[2]底表!EO151</f>
        <v>0.013</v>
      </c>
      <c r="DC151" s="21">
        <f>[2]底表!EP151</f>
        <v>495</v>
      </c>
      <c r="DD151" s="21">
        <f>[2]底表!EQ151</f>
        <v>-0.2101</v>
      </c>
      <c r="DE151" s="21">
        <f>[2]底表!ER151</f>
        <v>746</v>
      </c>
      <c r="DF151" s="21">
        <f>[2]底表!ES151</f>
        <v>498</v>
      </c>
      <c r="DG151" s="23">
        <f>[2]底表!ET151</f>
        <v>0.498</v>
      </c>
      <c r="DH151" s="21">
        <f>[2]底表!EU151</f>
        <v>1177</v>
      </c>
      <c r="DI151" s="21">
        <f>[2]底表!EV151</f>
        <v>-0.3662</v>
      </c>
      <c r="DJ151" s="21">
        <f>[2]底表!EW151</f>
        <v>0.9842</v>
      </c>
      <c r="DK151" s="21">
        <f>[2]底表!EX151</f>
        <v>-0.1451</v>
      </c>
      <c r="DL151" s="21">
        <f>[2]底表!EY151</f>
        <v>79</v>
      </c>
      <c r="DM151" s="21">
        <f>[2]底表!EZ151</f>
        <v>15</v>
      </c>
      <c r="DN151" s="21">
        <f>[2]底表!FA151</f>
        <v>0.235</v>
      </c>
      <c r="DO151" s="21">
        <f>[2]底表!BQ151</f>
        <v>578</v>
      </c>
      <c r="DP151" s="21">
        <f>[2]底表!BR151</f>
        <v>434</v>
      </c>
      <c r="DQ151" s="24">
        <f>[2]底表!BS151</f>
        <v>0.3318</v>
      </c>
    </row>
    <row r="152" s="2" customFormat="1" ht="32" hidden="1" customHeight="1" spans="1:121">
      <c r="A152" s="27" t="str">
        <f>[2]底表!A152</f>
        <v>故意伤害</v>
      </c>
      <c r="B152" s="28" t="str">
        <f>[2]底表!B152</f>
        <v>云浮</v>
      </c>
      <c r="C152" s="21">
        <f>[2]底表!AM152</f>
        <v>9</v>
      </c>
      <c r="D152" s="21">
        <f>[2]底表!AN152</f>
        <v>4</v>
      </c>
      <c r="E152" s="23">
        <f>[2]底表!AO152</f>
        <v>1.25</v>
      </c>
      <c r="F152" s="21">
        <f>[2]底表!AP152</f>
        <v>13</v>
      </c>
      <c r="G152" s="21">
        <f>[2]底表!AQ152</f>
        <v>-0.3077</v>
      </c>
      <c r="H152" s="21">
        <f>[2]底表!AR152</f>
        <v>0.9</v>
      </c>
      <c r="I152" s="21">
        <f>[2]底表!AS152</f>
        <v>0.4</v>
      </c>
      <c r="J152" s="21">
        <f>[2]底表!AT152</f>
        <v>6</v>
      </c>
      <c r="K152" s="21">
        <f>[2]底表!AU152</f>
        <v>4</v>
      </c>
      <c r="L152" s="21">
        <f>[2]底表!AV152</f>
        <v>0.5</v>
      </c>
      <c r="M152" s="21">
        <f>[2]底表!AW152</f>
        <v>9</v>
      </c>
      <c r="N152" s="21">
        <f>[2]底表!AX152</f>
        <v>-0.3333</v>
      </c>
      <c r="O152" s="21">
        <f>[2]底表!AY152</f>
        <v>5</v>
      </c>
      <c r="P152" s="21">
        <f>[2]底表!AZ152</f>
        <v>3</v>
      </c>
      <c r="Q152" s="21">
        <f>[2]底表!BA152</f>
        <v>0.6667</v>
      </c>
      <c r="R152" s="21">
        <f>[2]底表!BB152</f>
        <v>12</v>
      </c>
      <c r="S152" s="21">
        <f>[2]底表!BC152</f>
        <v>-0.5833</v>
      </c>
      <c r="T152" s="21">
        <f>[2]底表!BD152</f>
        <v>0.8333</v>
      </c>
      <c r="U152" s="21">
        <f>[2]底表!BE152</f>
        <v>0.0833</v>
      </c>
      <c r="V152" s="21">
        <f>[2]底表!BF152</f>
        <v>4</v>
      </c>
      <c r="W152" s="21">
        <f>[2]底表!BG152</f>
        <v>4</v>
      </c>
      <c r="X152" s="21">
        <f>[2]底表!BH152</f>
        <v>0</v>
      </c>
      <c r="Y152" s="21">
        <f>[2]底表!BI152</f>
        <v>0</v>
      </c>
      <c r="Z152" s="21" t="str">
        <f>[2]底表!BJ152</f>
        <v>多4起</v>
      </c>
      <c r="AA152" s="21">
        <f>[2]底表!BK152</f>
        <v>0.4</v>
      </c>
      <c r="AB152" s="21">
        <f>[2]底表!BL152</f>
        <v>4</v>
      </c>
      <c r="AC152" s="21">
        <f>[2]底表!BM152</f>
        <v>1</v>
      </c>
      <c r="AD152" s="21">
        <f>[2]底表!BN152</f>
        <v>3</v>
      </c>
      <c r="AE152" s="21">
        <f>[2]底表!BO152</f>
        <v>1</v>
      </c>
      <c r="AF152" s="21">
        <f>[2]底表!BP152</f>
        <v>3</v>
      </c>
      <c r="AG152" s="21">
        <f>[2]底表!BT152</f>
        <v>8</v>
      </c>
      <c r="AH152" s="21">
        <f>[2]底表!BU152</f>
        <v>0</v>
      </c>
      <c r="AI152" s="21">
        <f>[2]底表!BV152</f>
        <v>0.8</v>
      </c>
      <c r="AJ152" s="21">
        <f>[2]底表!BW152</f>
        <v>0.425</v>
      </c>
      <c r="AK152" s="21">
        <f>[2]底表!BX152</f>
        <v>1.3333</v>
      </c>
      <c r="AL152" s="21">
        <f>[2]底表!BY152</f>
        <v>0.5833</v>
      </c>
      <c r="AM152" s="21">
        <f>[2]底表!BZ152</f>
        <v>0</v>
      </c>
      <c r="AN152" s="21">
        <f>[2]底表!CA152</f>
        <v>0</v>
      </c>
      <c r="AO152" s="21" t="str">
        <f>[2]底表!CB152</f>
        <v>持平</v>
      </c>
      <c r="AP152" s="21">
        <f>[2]底表!CC152</f>
        <v>0</v>
      </c>
      <c r="AQ152" s="21" t="str">
        <f>[2]底表!CD152</f>
        <v>持平</v>
      </c>
      <c r="AR152" s="21" t="str">
        <f>[2]底表!CE152</f>
        <v/>
      </c>
      <c r="AS152" s="21" t="str">
        <f>[2]底表!CF152</f>
        <v/>
      </c>
      <c r="AT152" s="21">
        <f>[2]底表!CG152</f>
        <v>15</v>
      </c>
      <c r="AU152" s="21">
        <f>[2]底表!CH152</f>
        <v>14</v>
      </c>
      <c r="AV152" s="21">
        <f>[2]底表!CI152</f>
        <v>0.0714</v>
      </c>
      <c r="AW152" s="21">
        <f>[2]底表!CJ152</f>
        <v>5</v>
      </c>
      <c r="AX152" s="21">
        <f>[2]底表!CK152</f>
        <v>2</v>
      </c>
      <c r="AY152" s="21">
        <f>[2]底表!CL152</f>
        <v>150</v>
      </c>
      <c r="AZ152" s="21">
        <f>[2]底表!CM152</f>
        <v>-25</v>
      </c>
      <c r="BA152" s="21">
        <f>[2]底表!CN152</f>
        <v>-0.1429</v>
      </c>
      <c r="BB152" s="21">
        <f>[2]底表!CO152</f>
        <v>5</v>
      </c>
      <c r="BC152" s="21">
        <f>[2]底表!CP152</f>
        <v>5</v>
      </c>
      <c r="BD152" s="21">
        <f>[2]底表!CQ152</f>
        <v>0</v>
      </c>
      <c r="BE152" s="21">
        <f>[2]底表!CR152</f>
        <v>7</v>
      </c>
      <c r="BF152" s="21">
        <f>[2]底表!CS152</f>
        <v>-0.2857</v>
      </c>
      <c r="BG152" s="21">
        <f>[2]底表!CT152</f>
        <v>0.3333</v>
      </c>
      <c r="BH152" s="21">
        <f>[2]底表!CU152</f>
        <v>-0.0238</v>
      </c>
      <c r="BI152" s="21">
        <f>[2]底表!CV152</f>
        <v>50</v>
      </c>
      <c r="BJ152" s="21">
        <f>[2]底表!CW152</f>
        <v>-13</v>
      </c>
      <c r="BK152" s="21">
        <f>[2]底表!CX152</f>
        <v>-0.2</v>
      </c>
      <c r="BL152" s="21">
        <f>[2]底表!CY152</f>
        <v>7</v>
      </c>
      <c r="BM152" s="21">
        <f>[2]底表!CZ152</f>
        <v>6</v>
      </c>
      <c r="BN152" s="23">
        <f>[2]底表!DA152</f>
        <v>0.1667</v>
      </c>
      <c r="BO152" s="21">
        <f>[2]底表!DB152</f>
        <v>10</v>
      </c>
      <c r="BP152" s="21">
        <f>[2]底表!DC152</f>
        <v>-0.3</v>
      </c>
      <c r="BQ152" s="21">
        <f>[2]底表!DD152</f>
        <v>0.4667</v>
      </c>
      <c r="BR152" s="21">
        <f>[2]底表!DE152</f>
        <v>0.0381</v>
      </c>
      <c r="BS152" s="21">
        <f>[2]底表!DF152</f>
        <v>70</v>
      </c>
      <c r="BT152" s="21">
        <f>[2]底表!DG152</f>
        <v>-5</v>
      </c>
      <c r="BU152" s="21">
        <f>[2]底表!DH152</f>
        <v>-0.0667</v>
      </c>
      <c r="BV152" s="21">
        <f>[2]底表!DI152</f>
        <v>6</v>
      </c>
      <c r="BW152" s="21">
        <f>[2]底表!DJ152</f>
        <v>6</v>
      </c>
      <c r="BX152" s="23">
        <f>[2]底表!DK152</f>
        <v>0</v>
      </c>
      <c r="BY152" s="21">
        <f>[2]底表!DL152</f>
        <v>9</v>
      </c>
      <c r="BZ152" s="21">
        <f>[2]底表!DM152</f>
        <v>-0.3333</v>
      </c>
      <c r="CA152" s="21">
        <f>[2]底表!DN152</f>
        <v>4</v>
      </c>
      <c r="CB152" s="21">
        <f>[2]底表!DO152</f>
        <v>1</v>
      </c>
      <c r="CC152" s="21">
        <f>[2]底表!DP152</f>
        <v>3</v>
      </c>
      <c r="CD152" s="21">
        <f>[2]底表!DQ152</f>
        <v>6</v>
      </c>
      <c r="CE152" s="21">
        <f>[2]底表!DR152</f>
        <v>-0.3333</v>
      </c>
      <c r="CF152" s="21">
        <f>[2]底表!DS152</f>
        <v>4</v>
      </c>
      <c r="CG152" s="21">
        <f>[2]底表!DT152</f>
        <v>1</v>
      </c>
      <c r="CH152" s="21">
        <f>[2]底表!DU152</f>
        <v>3</v>
      </c>
      <c r="CI152" s="21">
        <f>[2]底表!DV152</f>
        <v>6</v>
      </c>
      <c r="CJ152" s="21">
        <f>[2]底表!DW152</f>
        <v>-0.3333</v>
      </c>
      <c r="CK152" s="21">
        <f>[2]底表!DX152</f>
        <v>8</v>
      </c>
      <c r="CL152" s="21">
        <f>[2]底表!DY152</f>
        <v>5</v>
      </c>
      <c r="CM152" s="21">
        <f>[2]底表!DZ152</f>
        <v>0.6</v>
      </c>
      <c r="CN152" s="21">
        <f>[2]底表!EA152</f>
        <v>10</v>
      </c>
      <c r="CO152" s="21">
        <f>[2]底表!EB152</f>
        <v>-0.2</v>
      </c>
      <c r="CP152" s="21">
        <f>[2]底表!EC152</f>
        <v>8</v>
      </c>
      <c r="CQ152" s="21">
        <f>[2]底表!ED152</f>
        <v>5</v>
      </c>
      <c r="CR152" s="21">
        <f>[2]底表!EE152</f>
        <v>0.6</v>
      </c>
      <c r="CS152" s="21">
        <f>[2]底表!EF152</f>
        <v>5</v>
      </c>
      <c r="CT152" s="21">
        <f>[2]底表!EG152</f>
        <v>0.6</v>
      </c>
      <c r="CU152" s="21">
        <f>[2]底表!EH152</f>
        <v>1.6</v>
      </c>
      <c r="CV152" s="21">
        <f>[2]底表!EI152</f>
        <v>0.6</v>
      </c>
      <c r="CW152" s="21">
        <f>[2]底表!EJ152</f>
        <v>80</v>
      </c>
      <c r="CX152" s="21">
        <f>[2]底表!EK152</f>
        <v>18</v>
      </c>
      <c r="CY152" s="21">
        <f>[2]底表!EL152</f>
        <v>0.28</v>
      </c>
      <c r="CZ152" s="21">
        <f>[2]底表!EM152</f>
        <v>8</v>
      </c>
      <c r="DA152" s="21">
        <f>[2]底表!EN152</f>
        <v>5</v>
      </c>
      <c r="DB152" s="21">
        <f>[2]底表!EO152</f>
        <v>0.6</v>
      </c>
      <c r="DC152" s="21">
        <f>[2]底表!EP152</f>
        <v>5</v>
      </c>
      <c r="DD152" s="21">
        <f>[2]底表!EQ152</f>
        <v>0.6</v>
      </c>
      <c r="DE152" s="21">
        <f>[2]底表!ER152</f>
        <v>8</v>
      </c>
      <c r="DF152" s="21">
        <f>[2]底表!ES152</f>
        <v>3</v>
      </c>
      <c r="DG152" s="23">
        <f>[2]底表!ET152</f>
        <v>1.6667</v>
      </c>
      <c r="DH152" s="21">
        <f>[2]底表!EU152</f>
        <v>9</v>
      </c>
      <c r="DI152" s="21">
        <f>[2]底表!EV152</f>
        <v>-0.1111</v>
      </c>
      <c r="DJ152" s="21">
        <f>[2]底表!EW152</f>
        <v>1.6</v>
      </c>
      <c r="DK152" s="21">
        <f>[2]底表!EX152</f>
        <v>1</v>
      </c>
      <c r="DL152" s="21">
        <f>[2]底表!EY152</f>
        <v>80</v>
      </c>
      <c r="DM152" s="21">
        <f>[2]底表!EZ152</f>
        <v>43</v>
      </c>
      <c r="DN152" s="21">
        <f>[2]底表!FA152</f>
        <v>1.1333</v>
      </c>
      <c r="DO152" s="21">
        <f>[2]底表!BQ152</f>
        <v>8</v>
      </c>
      <c r="DP152" s="21">
        <f>[2]底表!BR152</f>
        <v>3</v>
      </c>
      <c r="DQ152" s="24">
        <f>[2]底表!BS152</f>
        <v>1.6667</v>
      </c>
    </row>
    <row r="153" s="2" customFormat="1" ht="32" hidden="1" customHeight="1" spans="1:121">
      <c r="A153" s="27" t="str">
        <f>[2]底表!A153</f>
        <v>故意伤害</v>
      </c>
      <c r="B153" s="28" t="str">
        <f>[2]底表!B153</f>
        <v>云城区</v>
      </c>
      <c r="C153" s="21">
        <f>[2]底表!AM153</f>
        <v>1</v>
      </c>
      <c r="D153" s="21">
        <f>[2]底表!AN153</f>
        <v>2</v>
      </c>
      <c r="E153" s="23">
        <f>[2]底表!AO153</f>
        <v>-0.5</v>
      </c>
      <c r="F153" s="21">
        <f>[2]底表!AP153</f>
        <v>2</v>
      </c>
      <c r="G153" s="21">
        <f>[2]底表!AQ153</f>
        <v>-0.5</v>
      </c>
      <c r="H153" s="21">
        <f>[2]底表!AR153</f>
        <v>1</v>
      </c>
      <c r="I153" s="21">
        <f>[2]底表!AS153</f>
        <v>0.3333</v>
      </c>
      <c r="J153" s="21">
        <f>[2]底表!AT153</f>
        <v>1</v>
      </c>
      <c r="K153" s="21">
        <f>[2]底表!AU153</f>
        <v>2</v>
      </c>
      <c r="L153" s="21">
        <f>[2]底表!AV153</f>
        <v>-0.5</v>
      </c>
      <c r="M153" s="21">
        <f>[2]底表!AW153</f>
        <v>2</v>
      </c>
      <c r="N153" s="21">
        <f>[2]底表!AX153</f>
        <v>-0.5</v>
      </c>
      <c r="O153" s="21">
        <f>[2]底表!AY153</f>
        <v>1</v>
      </c>
      <c r="P153" s="21">
        <f>[2]底表!AZ153</f>
        <v>1</v>
      </c>
      <c r="Q153" s="21">
        <f>[2]底表!BA153</f>
        <v>0</v>
      </c>
      <c r="R153" s="21">
        <f>[2]底表!BB153</f>
        <v>2</v>
      </c>
      <c r="S153" s="21">
        <f>[2]底表!BC153</f>
        <v>-0.5</v>
      </c>
      <c r="T153" s="21">
        <f>[2]底表!BD153</f>
        <v>1</v>
      </c>
      <c r="U153" s="21">
        <f>[2]底表!BE153</f>
        <v>0.5</v>
      </c>
      <c r="V153" s="21">
        <f>[2]底表!BF153</f>
        <v>0</v>
      </c>
      <c r="W153" s="21">
        <f>[2]底表!BG153</f>
        <v>1</v>
      </c>
      <c r="X153" s="21" t="str">
        <f>[2]底表!BH153</f>
        <v>少1起</v>
      </c>
      <c r="Y153" s="21">
        <f>[2]底表!BI153</f>
        <v>0</v>
      </c>
      <c r="Z153" s="21" t="str">
        <f>[2]底表!BJ153</f>
        <v>持平</v>
      </c>
      <c r="AA153" s="21">
        <f>[2]底表!BK153</f>
        <v>0</v>
      </c>
      <c r="AB153" s="21">
        <f>[2]底表!BL153</f>
        <v>0</v>
      </c>
      <c r="AC153" s="21">
        <f>[2]底表!BM153</f>
        <v>1</v>
      </c>
      <c r="AD153" s="21" t="str">
        <f>[2]底表!BN153</f>
        <v>少1起</v>
      </c>
      <c r="AE153" s="21">
        <f>[2]底表!BO153</f>
        <v>0</v>
      </c>
      <c r="AF153" s="21" t="str">
        <f>[2]底表!BP153</f>
        <v>持平</v>
      </c>
      <c r="AG153" s="21">
        <f>[2]底表!BT153</f>
        <v>2</v>
      </c>
      <c r="AH153" s="21">
        <f>[2]底表!BU153</f>
        <v>-0.5</v>
      </c>
      <c r="AI153" s="21">
        <f>[2]底表!BV153</f>
        <v>1</v>
      </c>
      <c r="AJ153" s="21">
        <f>[2]底表!BW153</f>
        <v>0.6667</v>
      </c>
      <c r="AK153" s="21">
        <f>[2]底表!BX153</f>
        <v>1</v>
      </c>
      <c r="AL153" s="21">
        <f>[2]底表!BY153</f>
        <v>0.5</v>
      </c>
      <c r="AM153" s="21">
        <f>[2]底表!BZ153</f>
        <v>0</v>
      </c>
      <c r="AN153" s="21">
        <f>[2]底表!CA153</f>
        <v>0</v>
      </c>
      <c r="AO153" s="21" t="str">
        <f>[2]底表!CB153</f>
        <v>持平</v>
      </c>
      <c r="AP153" s="21">
        <f>[2]底表!CC153</f>
        <v>0</v>
      </c>
      <c r="AQ153" s="21" t="str">
        <f>[2]底表!CD153</f>
        <v>持平</v>
      </c>
      <c r="AR153" s="21" t="str">
        <f>[2]底表!CE153</f>
        <v/>
      </c>
      <c r="AS153" s="21" t="str">
        <f>[2]底表!CF153</f>
        <v/>
      </c>
      <c r="AT153" s="21">
        <f>[2]底表!CG153</f>
        <v>1</v>
      </c>
      <c r="AU153" s="21">
        <f>[2]底表!CH153</f>
        <v>2</v>
      </c>
      <c r="AV153" s="21">
        <f>[2]底表!CI153</f>
        <v>-0.5</v>
      </c>
      <c r="AW153" s="21">
        <f>[2]底表!CJ153</f>
        <v>1</v>
      </c>
      <c r="AX153" s="21">
        <f>[2]底表!CK153</f>
        <v>0</v>
      </c>
      <c r="AY153" s="21">
        <f>[2]底表!CL153</f>
        <v>100</v>
      </c>
      <c r="AZ153" s="21">
        <f>[2]底表!CM153</f>
        <v>33</v>
      </c>
      <c r="BA153" s="21">
        <f>[2]底表!CN153</f>
        <v>0.5</v>
      </c>
      <c r="BB153" s="21">
        <f>[2]底表!CO153</f>
        <v>1</v>
      </c>
      <c r="BC153" s="21">
        <f>[2]底表!CP153</f>
        <v>3</v>
      </c>
      <c r="BD153" s="21">
        <f>[2]底表!CQ153</f>
        <v>-0.6667</v>
      </c>
      <c r="BE153" s="21">
        <f>[2]底表!CR153</f>
        <v>0</v>
      </c>
      <c r="BF153" s="21" t="str">
        <f>[2]底表!CS153</f>
        <v>多1人</v>
      </c>
      <c r="BG153" s="21">
        <f>[2]底表!CT153</f>
        <v>1</v>
      </c>
      <c r="BH153" s="21">
        <f>[2]底表!CU153</f>
        <v>-0.5</v>
      </c>
      <c r="BI153" s="21">
        <f>[2]底表!CV153</f>
        <v>100</v>
      </c>
      <c r="BJ153" s="21">
        <f>[2]底表!CW153</f>
        <v>0</v>
      </c>
      <c r="BK153" s="21">
        <f>[2]底表!CX153</f>
        <v>0</v>
      </c>
      <c r="BL153" s="21">
        <f>[2]底表!CY153</f>
        <v>1</v>
      </c>
      <c r="BM153" s="21">
        <f>[2]底表!CZ153</f>
        <v>3</v>
      </c>
      <c r="BN153" s="23">
        <f>[2]底表!DA153</f>
        <v>-0.6667</v>
      </c>
      <c r="BO153" s="21">
        <f>[2]底表!DB153</f>
        <v>1</v>
      </c>
      <c r="BP153" s="21">
        <f>[2]底表!DC153</f>
        <v>0</v>
      </c>
      <c r="BQ153" s="21">
        <f>[2]底表!DD153</f>
        <v>1</v>
      </c>
      <c r="BR153" s="21">
        <f>[2]底表!DE153</f>
        <v>-0.5</v>
      </c>
      <c r="BS153" s="21">
        <f>[2]底表!DF153</f>
        <v>100</v>
      </c>
      <c r="BT153" s="21">
        <f>[2]底表!DG153</f>
        <v>0</v>
      </c>
      <c r="BU153" s="21">
        <f>[2]底表!DH153</f>
        <v>0</v>
      </c>
      <c r="BV153" s="21">
        <f>[2]底表!DI153</f>
        <v>0</v>
      </c>
      <c r="BW153" s="21">
        <f>[2]底表!DJ153</f>
        <v>0</v>
      </c>
      <c r="BX153" s="23" t="str">
        <f>[2]底表!DK153</f>
        <v>持平</v>
      </c>
      <c r="BY153" s="21">
        <f>[2]底表!DL153</f>
        <v>0</v>
      </c>
      <c r="BZ153" s="21" t="str">
        <f>[2]底表!DM153</f>
        <v>持平</v>
      </c>
      <c r="CA153" s="21">
        <f>[2]底表!DN153</f>
        <v>0</v>
      </c>
      <c r="CB153" s="21">
        <f>[2]底表!DO153</f>
        <v>0</v>
      </c>
      <c r="CC153" s="21" t="str">
        <f>[2]底表!DP153</f>
        <v>持平</v>
      </c>
      <c r="CD153" s="21">
        <f>[2]底表!DQ153</f>
        <v>1</v>
      </c>
      <c r="CE153" s="21" t="str">
        <f>[2]底表!DR153</f>
        <v>少1人</v>
      </c>
      <c r="CF153" s="21">
        <f>[2]底表!DS153</f>
        <v>0</v>
      </c>
      <c r="CG153" s="21">
        <f>[2]底表!DT153</f>
        <v>0</v>
      </c>
      <c r="CH153" s="21" t="str">
        <f>[2]底表!DU153</f>
        <v>持平</v>
      </c>
      <c r="CI153" s="21">
        <f>[2]底表!DV153</f>
        <v>1</v>
      </c>
      <c r="CJ153" s="21" t="str">
        <f>[2]底表!DW153</f>
        <v>少1人</v>
      </c>
      <c r="CK153" s="21">
        <f>[2]底表!DX153</f>
        <v>0</v>
      </c>
      <c r="CL153" s="21">
        <f>[2]底表!DY153</f>
        <v>2</v>
      </c>
      <c r="CM153" s="21" t="str">
        <f>[2]底表!DZ153</f>
        <v>少2人</v>
      </c>
      <c r="CN153" s="21">
        <f>[2]底表!EA153</f>
        <v>1</v>
      </c>
      <c r="CO153" s="21" t="str">
        <f>[2]底表!EB153</f>
        <v>少1人</v>
      </c>
      <c r="CP153" s="21">
        <f>[2]底表!EC153</f>
        <v>0</v>
      </c>
      <c r="CQ153" s="21">
        <f>[2]底表!ED153</f>
        <v>2</v>
      </c>
      <c r="CR153" s="21" t="str">
        <f>[2]底表!EE153</f>
        <v>少2人</v>
      </c>
      <c r="CS153" s="21">
        <f>[2]底表!EF153</f>
        <v>0</v>
      </c>
      <c r="CT153" s="21" t="str">
        <f>[2]底表!EG153</f>
        <v>持平</v>
      </c>
      <c r="CU153" s="21">
        <f>[2]底表!EH153</f>
        <v>0</v>
      </c>
      <c r="CV153" s="21">
        <f>[2]底表!EI153</f>
        <v>-0.6667</v>
      </c>
      <c r="CW153" s="21">
        <f>[2]底表!EJ153</f>
        <v>0</v>
      </c>
      <c r="CX153" s="21">
        <f>[2]底表!EK153</f>
        <v>-67</v>
      </c>
      <c r="CY153" s="21">
        <f>[2]底表!EL153</f>
        <v>-1</v>
      </c>
      <c r="CZ153" s="21">
        <f>[2]底表!EM153</f>
        <v>0</v>
      </c>
      <c r="DA153" s="21">
        <f>[2]底表!EN153</f>
        <v>2</v>
      </c>
      <c r="DB153" s="21" t="str">
        <f>[2]底表!EO153</f>
        <v>少2人</v>
      </c>
      <c r="DC153" s="21">
        <f>[2]底表!EP153</f>
        <v>0</v>
      </c>
      <c r="DD153" s="21" t="str">
        <f>[2]底表!EQ153</f>
        <v>持平</v>
      </c>
      <c r="DE153" s="21">
        <f>[2]底表!ER153</f>
        <v>1</v>
      </c>
      <c r="DF153" s="21">
        <f>[2]底表!ES153</f>
        <v>1</v>
      </c>
      <c r="DG153" s="23">
        <f>[2]底表!ET153</f>
        <v>0</v>
      </c>
      <c r="DH153" s="21">
        <f>[2]底表!EU153</f>
        <v>2</v>
      </c>
      <c r="DI153" s="21">
        <f>[2]底表!EV153</f>
        <v>-0.5</v>
      </c>
      <c r="DJ153" s="21">
        <f>[2]底表!EW153</f>
        <v>1</v>
      </c>
      <c r="DK153" s="21">
        <f>[2]底表!EX153</f>
        <v>0.6667</v>
      </c>
      <c r="DL153" s="21">
        <f>[2]底表!EY153</f>
        <v>100</v>
      </c>
      <c r="DM153" s="21">
        <f>[2]底表!EZ153</f>
        <v>67</v>
      </c>
      <c r="DN153" s="21">
        <f>[2]底表!FA153</f>
        <v>2</v>
      </c>
      <c r="DO153" s="21">
        <f>[2]底表!BQ153</f>
        <v>1</v>
      </c>
      <c r="DP153" s="21">
        <f>[2]底表!BR153</f>
        <v>1</v>
      </c>
      <c r="DQ153" s="24">
        <f>[2]底表!BS153</f>
        <v>0</v>
      </c>
    </row>
    <row r="154" s="2" customFormat="1" ht="32" hidden="1" customHeight="1" spans="1:121">
      <c r="A154" s="27" t="str">
        <f>[2]底表!A154</f>
        <v>故意伤害</v>
      </c>
      <c r="B154" s="28" t="str">
        <f>[2]底表!B154</f>
        <v>云安区</v>
      </c>
      <c r="C154" s="21">
        <f>[2]底表!AM154</f>
        <v>0</v>
      </c>
      <c r="D154" s="21">
        <f>[2]底表!AN154</f>
        <v>0</v>
      </c>
      <c r="E154" s="23" t="str">
        <f>[2]底表!AO154</f>
        <v>持平</v>
      </c>
      <c r="F154" s="21">
        <f>[2]底表!AP154</f>
        <v>0</v>
      </c>
      <c r="G154" s="21" t="str">
        <f>[2]底表!AQ154</f>
        <v>持平</v>
      </c>
      <c r="H154" s="21" t="str">
        <f>[2]底表!AR154</f>
        <v/>
      </c>
      <c r="I154" s="21" t="str">
        <f>[2]底表!AS154</f>
        <v/>
      </c>
      <c r="J154" s="21">
        <f>[2]底表!AT154</f>
        <v>0</v>
      </c>
      <c r="K154" s="21">
        <f>[2]底表!AU154</f>
        <v>0</v>
      </c>
      <c r="L154" s="21" t="str">
        <f>[2]底表!AV154</f>
        <v>持平</v>
      </c>
      <c r="M154" s="21">
        <f>[2]底表!AW154</f>
        <v>0</v>
      </c>
      <c r="N154" s="21" t="str">
        <f>[2]底表!AX154</f>
        <v>持平</v>
      </c>
      <c r="O154" s="21">
        <f>[2]底表!AY154</f>
        <v>0</v>
      </c>
      <c r="P154" s="21">
        <f>[2]底表!AZ154</f>
        <v>0</v>
      </c>
      <c r="Q154" s="21" t="str">
        <f>[2]底表!BA154</f>
        <v>持平</v>
      </c>
      <c r="R154" s="21">
        <f>[2]底表!BB154</f>
        <v>0</v>
      </c>
      <c r="S154" s="21" t="str">
        <f>[2]底表!BC154</f>
        <v>持平</v>
      </c>
      <c r="T154" s="21" t="str">
        <f>[2]底表!BD154</f>
        <v/>
      </c>
      <c r="U154" s="21" t="str">
        <f>[2]底表!BE154</f>
        <v/>
      </c>
      <c r="V154" s="21">
        <f>[2]底表!BF154</f>
        <v>0</v>
      </c>
      <c r="W154" s="21">
        <f>[2]底表!BG154</f>
        <v>0</v>
      </c>
      <c r="X154" s="21" t="str">
        <f>[2]底表!BH154</f>
        <v>持平</v>
      </c>
      <c r="Y154" s="21">
        <f>[2]底表!BI154</f>
        <v>0</v>
      </c>
      <c r="Z154" s="21" t="str">
        <f>[2]底表!BJ154</f>
        <v>持平</v>
      </c>
      <c r="AA154" s="21" t="str">
        <f>[2]底表!BK154</f>
        <v/>
      </c>
      <c r="AB154" s="21">
        <f>[2]底表!BL154</f>
        <v>0</v>
      </c>
      <c r="AC154" s="21">
        <f>[2]底表!BM154</f>
        <v>0</v>
      </c>
      <c r="AD154" s="21" t="str">
        <f>[2]底表!BN154</f>
        <v>持平</v>
      </c>
      <c r="AE154" s="21">
        <f>[2]底表!BO154</f>
        <v>0</v>
      </c>
      <c r="AF154" s="21" t="str">
        <f>[2]底表!BP154</f>
        <v>持平</v>
      </c>
      <c r="AG154" s="21">
        <f>[2]底表!BT154</f>
        <v>1</v>
      </c>
      <c r="AH154" s="21" t="str">
        <f>[2]底表!BU154</f>
        <v>少1起</v>
      </c>
      <c r="AI154" s="21" t="str">
        <f>[2]底表!BV154</f>
        <v/>
      </c>
      <c r="AJ154" s="21" t="str">
        <f>[2]底表!BW154</f>
        <v/>
      </c>
      <c r="AK154" s="21" t="str">
        <f>[2]底表!BX154</f>
        <v/>
      </c>
      <c r="AL154" s="21" t="str">
        <f>[2]底表!BY154</f>
        <v/>
      </c>
      <c r="AM154" s="21">
        <f>[2]底表!BZ154</f>
        <v>0</v>
      </c>
      <c r="AN154" s="21">
        <f>[2]底表!CA154</f>
        <v>0</v>
      </c>
      <c r="AO154" s="21" t="str">
        <f>[2]底表!CB154</f>
        <v>持平</v>
      </c>
      <c r="AP154" s="21">
        <f>[2]底表!CC154</f>
        <v>0</v>
      </c>
      <c r="AQ154" s="21" t="str">
        <f>[2]底表!CD154</f>
        <v>持平</v>
      </c>
      <c r="AR154" s="21" t="str">
        <f>[2]底表!CE154</f>
        <v/>
      </c>
      <c r="AS154" s="21" t="str">
        <f>[2]底表!CF154</f>
        <v/>
      </c>
      <c r="AT154" s="21">
        <f>[2]底表!CG154</f>
        <v>1</v>
      </c>
      <c r="AU154" s="21">
        <f>[2]底表!CH154</f>
        <v>0</v>
      </c>
      <c r="AV154" s="21" t="str">
        <f>[2]底表!CI154</f>
        <v>多1人</v>
      </c>
      <c r="AW154" s="21">
        <f>[2]底表!CJ154</f>
        <v>0</v>
      </c>
      <c r="AX154" s="21" t="str">
        <f>[2]底表!CK154</f>
        <v>多1人</v>
      </c>
      <c r="AY154" s="21" t="str">
        <f>[2]底表!CL154</f>
        <v/>
      </c>
      <c r="AZ154" s="21" t="str">
        <f>[2]底表!CM154</f>
        <v/>
      </c>
      <c r="BA154" s="21" t="str">
        <f>[2]底表!CN154</f>
        <v/>
      </c>
      <c r="BB154" s="21">
        <f>[2]底表!CO154</f>
        <v>0</v>
      </c>
      <c r="BC154" s="21">
        <f>[2]底表!CP154</f>
        <v>0</v>
      </c>
      <c r="BD154" s="21" t="str">
        <f>[2]底表!CQ154</f>
        <v>持平</v>
      </c>
      <c r="BE154" s="21">
        <f>[2]底表!CR154</f>
        <v>0</v>
      </c>
      <c r="BF154" s="21" t="str">
        <f>[2]底表!CS154</f>
        <v>持平</v>
      </c>
      <c r="BG154" s="21">
        <f>[2]底表!CT154</f>
        <v>0</v>
      </c>
      <c r="BH154" s="21" t="str">
        <f>[2]底表!CU154</f>
        <v/>
      </c>
      <c r="BI154" s="21" t="str">
        <f>[2]底表!CV154</f>
        <v/>
      </c>
      <c r="BJ154" s="21" t="str">
        <f>[2]底表!CW154</f>
        <v/>
      </c>
      <c r="BK154" s="21" t="str">
        <f>[2]底表!CX154</f>
        <v/>
      </c>
      <c r="BL154" s="21">
        <f>[2]底表!CY154</f>
        <v>0</v>
      </c>
      <c r="BM154" s="21">
        <f>[2]底表!CZ154</f>
        <v>0</v>
      </c>
      <c r="BN154" s="23" t="str">
        <f>[2]底表!DA154</f>
        <v>持平</v>
      </c>
      <c r="BO154" s="21">
        <f>[2]底表!DB154</f>
        <v>0</v>
      </c>
      <c r="BP154" s="21" t="str">
        <f>[2]底表!DC154</f>
        <v>持平</v>
      </c>
      <c r="BQ154" s="21">
        <f>[2]底表!DD154</f>
        <v>0</v>
      </c>
      <c r="BR154" s="21" t="str">
        <f>[2]底表!DE154</f>
        <v/>
      </c>
      <c r="BS154" s="21" t="str">
        <f>[2]底表!DF154</f>
        <v/>
      </c>
      <c r="BT154" s="21" t="str">
        <f>[2]底表!DG154</f>
        <v/>
      </c>
      <c r="BU154" s="21" t="str">
        <f>[2]底表!DH154</f>
        <v/>
      </c>
      <c r="BV154" s="21">
        <f>[2]底表!DI154</f>
        <v>0</v>
      </c>
      <c r="BW154" s="21">
        <f>[2]底表!DJ154</f>
        <v>0</v>
      </c>
      <c r="BX154" s="23" t="str">
        <f>[2]底表!DK154</f>
        <v>持平</v>
      </c>
      <c r="BY154" s="21">
        <f>[2]底表!DL154</f>
        <v>0</v>
      </c>
      <c r="BZ154" s="21" t="str">
        <f>[2]底表!DM154</f>
        <v>持平</v>
      </c>
      <c r="CA154" s="21">
        <f>[2]底表!DN154</f>
        <v>0</v>
      </c>
      <c r="CB154" s="21">
        <f>[2]底表!DO154</f>
        <v>0</v>
      </c>
      <c r="CC154" s="21" t="str">
        <f>[2]底表!DP154</f>
        <v>持平</v>
      </c>
      <c r="CD154" s="21">
        <f>[2]底表!DQ154</f>
        <v>0</v>
      </c>
      <c r="CE154" s="21" t="str">
        <f>[2]底表!DR154</f>
        <v>持平</v>
      </c>
      <c r="CF154" s="21">
        <f>[2]底表!DS154</f>
        <v>0</v>
      </c>
      <c r="CG154" s="21">
        <f>[2]底表!DT154</f>
        <v>0</v>
      </c>
      <c r="CH154" s="21" t="str">
        <f>[2]底表!DU154</f>
        <v>持平</v>
      </c>
      <c r="CI154" s="21">
        <f>[2]底表!DV154</f>
        <v>0</v>
      </c>
      <c r="CJ154" s="21" t="str">
        <f>[2]底表!DW154</f>
        <v>持平</v>
      </c>
      <c r="CK154" s="21">
        <f>[2]底表!DX154</f>
        <v>0</v>
      </c>
      <c r="CL154" s="21">
        <f>[2]底表!DY154</f>
        <v>0</v>
      </c>
      <c r="CM154" s="21" t="str">
        <f>[2]底表!DZ154</f>
        <v>持平</v>
      </c>
      <c r="CN154" s="21">
        <f>[2]底表!EA154</f>
        <v>0</v>
      </c>
      <c r="CO154" s="21" t="str">
        <f>[2]底表!EB154</f>
        <v>持平</v>
      </c>
      <c r="CP154" s="21">
        <f>[2]底表!EC154</f>
        <v>0</v>
      </c>
      <c r="CQ154" s="21">
        <f>[2]底表!ED154</f>
        <v>0</v>
      </c>
      <c r="CR154" s="21" t="str">
        <f>[2]底表!EE154</f>
        <v>持平</v>
      </c>
      <c r="CS154" s="21">
        <f>[2]底表!EF154</f>
        <v>0</v>
      </c>
      <c r="CT154" s="21" t="str">
        <f>[2]底表!EG154</f>
        <v>持平</v>
      </c>
      <c r="CU154" s="21" t="str">
        <f>[2]底表!EH154</f>
        <v/>
      </c>
      <c r="CV154" s="21" t="str">
        <f>[2]底表!EI154</f>
        <v/>
      </c>
      <c r="CW154" s="21" t="str">
        <f>[2]底表!EJ154</f>
        <v/>
      </c>
      <c r="CX154" s="21" t="str">
        <f>[2]底表!EK154</f>
        <v/>
      </c>
      <c r="CY154" s="21" t="str">
        <f>[2]底表!EL154</f>
        <v/>
      </c>
      <c r="CZ154" s="21">
        <f>[2]底表!EM154</f>
        <v>0</v>
      </c>
      <c r="DA154" s="21">
        <f>[2]底表!EN154</f>
        <v>0</v>
      </c>
      <c r="DB154" s="21" t="str">
        <f>[2]底表!EO154</f>
        <v>持平</v>
      </c>
      <c r="DC154" s="21">
        <f>[2]底表!EP154</f>
        <v>0</v>
      </c>
      <c r="DD154" s="21" t="str">
        <f>[2]底表!EQ154</f>
        <v>持平</v>
      </c>
      <c r="DE154" s="21">
        <f>[2]底表!ER154</f>
        <v>0</v>
      </c>
      <c r="DF154" s="21">
        <f>[2]底表!ES154</f>
        <v>0</v>
      </c>
      <c r="DG154" s="23" t="str">
        <f>[2]底表!ET154</f>
        <v>持平</v>
      </c>
      <c r="DH154" s="21">
        <f>[2]底表!EU154</f>
        <v>1</v>
      </c>
      <c r="DI154" s="21" t="str">
        <f>[2]底表!EV154</f>
        <v>少1人</v>
      </c>
      <c r="DJ154" s="21" t="str">
        <f>[2]底表!EW154</f>
        <v/>
      </c>
      <c r="DK154" s="21" t="str">
        <f>[2]底表!EX154</f>
        <v/>
      </c>
      <c r="DL154" s="21" t="str">
        <f>[2]底表!EY154</f>
        <v/>
      </c>
      <c r="DM154" s="21" t="str">
        <f>[2]底表!EZ154</f>
        <v/>
      </c>
      <c r="DN154" s="21" t="str">
        <f>[2]底表!FA154</f>
        <v/>
      </c>
      <c r="DO154" s="21">
        <f>[2]底表!BQ154</f>
        <v>0</v>
      </c>
      <c r="DP154" s="21">
        <f>[2]底表!BR154</f>
        <v>0</v>
      </c>
      <c r="DQ154" s="24" t="str">
        <f>[2]底表!BS154</f>
        <v>持平</v>
      </c>
    </row>
    <row r="155" s="2" customFormat="1" ht="32" hidden="1" customHeight="1" spans="1:121">
      <c r="A155" s="27" t="str">
        <f>[2]底表!A155</f>
        <v>故意伤害</v>
      </c>
      <c r="B155" s="28" t="str">
        <f>[2]底表!B155</f>
        <v>新兴县</v>
      </c>
      <c r="C155" s="21">
        <f>[2]底表!AM155</f>
        <v>2</v>
      </c>
      <c r="D155" s="21">
        <f>[2]底表!AN155</f>
        <v>0</v>
      </c>
      <c r="E155" s="23" t="str">
        <f>[2]底表!AO155</f>
        <v>多2起</v>
      </c>
      <c r="F155" s="21">
        <f>[2]底表!AP155</f>
        <v>4</v>
      </c>
      <c r="G155" s="21">
        <f>[2]底表!AQ155</f>
        <v>-0.5</v>
      </c>
      <c r="H155" s="21">
        <f>[2]底表!AR155</f>
        <v>1</v>
      </c>
      <c r="I155" s="21">
        <f>[2]底表!AS155</f>
        <v>1</v>
      </c>
      <c r="J155" s="21">
        <f>[2]底表!AT155</f>
        <v>2</v>
      </c>
      <c r="K155" s="21">
        <f>[2]底表!AU155</f>
        <v>0</v>
      </c>
      <c r="L155" s="21" t="str">
        <f>[2]底表!AV155</f>
        <v>多2起</v>
      </c>
      <c r="M155" s="21">
        <f>[2]底表!AW155</f>
        <v>2</v>
      </c>
      <c r="N155" s="21">
        <f>[2]底表!AX155</f>
        <v>0</v>
      </c>
      <c r="O155" s="21">
        <f>[2]底表!AY155</f>
        <v>2</v>
      </c>
      <c r="P155" s="21">
        <f>[2]底表!AZ155</f>
        <v>0</v>
      </c>
      <c r="Q155" s="21" t="str">
        <f>[2]底表!BA155</f>
        <v>多2起</v>
      </c>
      <c r="R155" s="21">
        <f>[2]底表!BB155</f>
        <v>4</v>
      </c>
      <c r="S155" s="21">
        <f>[2]底表!BC155</f>
        <v>-0.5</v>
      </c>
      <c r="T155" s="21">
        <f>[2]底表!BD155</f>
        <v>1</v>
      </c>
      <c r="U155" s="21" t="str">
        <f>[2]底表!BE155</f>
        <v/>
      </c>
      <c r="V155" s="21">
        <f>[2]底表!BF155</f>
        <v>0</v>
      </c>
      <c r="W155" s="21">
        <f>[2]底表!BG155</f>
        <v>2</v>
      </c>
      <c r="X155" s="21" t="str">
        <f>[2]底表!BH155</f>
        <v>少2起</v>
      </c>
      <c r="Y155" s="21">
        <f>[2]底表!BI155</f>
        <v>0</v>
      </c>
      <c r="Z155" s="21" t="str">
        <f>[2]底表!BJ155</f>
        <v>持平</v>
      </c>
      <c r="AA155" s="21">
        <f>[2]底表!BK155</f>
        <v>0</v>
      </c>
      <c r="AB155" s="21">
        <f>[2]底表!BL155</f>
        <v>0</v>
      </c>
      <c r="AC155" s="21">
        <f>[2]底表!BM155</f>
        <v>0</v>
      </c>
      <c r="AD155" s="21" t="str">
        <f>[2]底表!BN155</f>
        <v>持平</v>
      </c>
      <c r="AE155" s="21">
        <f>[2]底表!BO155</f>
        <v>0</v>
      </c>
      <c r="AF155" s="21" t="str">
        <f>[2]底表!BP155</f>
        <v>持平</v>
      </c>
      <c r="AG155" s="21">
        <f>[2]底表!BT155</f>
        <v>2</v>
      </c>
      <c r="AH155" s="21">
        <f>[2]底表!BU155</f>
        <v>0</v>
      </c>
      <c r="AI155" s="21">
        <f>[2]底表!BV155</f>
        <v>1</v>
      </c>
      <c r="AJ155" s="21">
        <f>[2]底表!BW155</f>
        <v>0.5</v>
      </c>
      <c r="AK155" s="21">
        <f>[2]底表!BX155</f>
        <v>1</v>
      </c>
      <c r="AL155" s="21" t="str">
        <f>[2]底表!BY155</f>
        <v/>
      </c>
      <c r="AM155" s="21">
        <f>[2]底表!BZ155</f>
        <v>0</v>
      </c>
      <c r="AN155" s="21">
        <f>[2]底表!CA155</f>
        <v>0</v>
      </c>
      <c r="AO155" s="21" t="str">
        <f>[2]底表!CB155</f>
        <v>持平</v>
      </c>
      <c r="AP155" s="21">
        <f>[2]底表!CC155</f>
        <v>0</v>
      </c>
      <c r="AQ155" s="21" t="str">
        <f>[2]底表!CD155</f>
        <v>持平</v>
      </c>
      <c r="AR155" s="21" t="str">
        <f>[2]底表!CE155</f>
        <v/>
      </c>
      <c r="AS155" s="21" t="str">
        <f>[2]底表!CF155</f>
        <v/>
      </c>
      <c r="AT155" s="21">
        <f>[2]底表!CG155</f>
        <v>4</v>
      </c>
      <c r="AU155" s="21">
        <f>[2]底表!CH155</f>
        <v>1</v>
      </c>
      <c r="AV155" s="21">
        <f>[2]底表!CI155</f>
        <v>3</v>
      </c>
      <c r="AW155" s="21">
        <f>[2]底表!CJ155</f>
        <v>1</v>
      </c>
      <c r="AX155" s="21">
        <f>[2]底表!CK155</f>
        <v>3</v>
      </c>
      <c r="AY155" s="21">
        <f>[2]底表!CL155</f>
        <v>200</v>
      </c>
      <c r="AZ155" s="21">
        <f>[2]底表!CM155</f>
        <v>150</v>
      </c>
      <c r="BA155" s="21">
        <f>[2]底表!CN155</f>
        <v>3</v>
      </c>
      <c r="BB155" s="21">
        <f>[2]底表!CO155</f>
        <v>0</v>
      </c>
      <c r="BC155" s="21">
        <f>[2]底表!CP155</f>
        <v>0</v>
      </c>
      <c r="BD155" s="21" t="str">
        <f>[2]底表!CQ155</f>
        <v>持平</v>
      </c>
      <c r="BE155" s="21">
        <f>[2]底表!CR155</f>
        <v>1</v>
      </c>
      <c r="BF155" s="21" t="str">
        <f>[2]底表!CS155</f>
        <v>少1人</v>
      </c>
      <c r="BG155" s="21">
        <f>[2]底表!CT155</f>
        <v>0</v>
      </c>
      <c r="BH155" s="21">
        <f>[2]底表!CU155</f>
        <v>0</v>
      </c>
      <c r="BI155" s="21">
        <f>[2]底表!CV155</f>
        <v>0</v>
      </c>
      <c r="BJ155" s="21">
        <f>[2]底表!CW155</f>
        <v>0</v>
      </c>
      <c r="BK155" s="21" t="str">
        <f>[2]底表!CX155</f>
        <v/>
      </c>
      <c r="BL155" s="21">
        <f>[2]底表!CY155</f>
        <v>1</v>
      </c>
      <c r="BM155" s="21">
        <f>[2]底表!CZ155</f>
        <v>0</v>
      </c>
      <c r="BN155" s="23" t="str">
        <f>[2]底表!DA155</f>
        <v>多1人</v>
      </c>
      <c r="BO155" s="21">
        <f>[2]底表!DB155</f>
        <v>3</v>
      </c>
      <c r="BP155" s="21">
        <f>[2]底表!DC155</f>
        <v>-0.6667</v>
      </c>
      <c r="BQ155" s="21">
        <f>[2]底表!DD155</f>
        <v>0.25</v>
      </c>
      <c r="BR155" s="21">
        <f>[2]底表!DE155</f>
        <v>0.25</v>
      </c>
      <c r="BS155" s="21">
        <f>[2]底表!DF155</f>
        <v>50</v>
      </c>
      <c r="BT155" s="21">
        <f>[2]底表!DG155</f>
        <v>50</v>
      </c>
      <c r="BU155" s="21" t="str">
        <f>[2]底表!DH155</f>
        <v/>
      </c>
      <c r="BV155" s="21">
        <f>[2]底表!DI155</f>
        <v>1</v>
      </c>
      <c r="BW155" s="21">
        <f>[2]底表!DJ155</f>
        <v>1</v>
      </c>
      <c r="BX155" s="23">
        <f>[2]底表!DK155</f>
        <v>0</v>
      </c>
      <c r="BY155" s="21">
        <f>[2]底表!DL155</f>
        <v>2</v>
      </c>
      <c r="BZ155" s="21">
        <f>[2]底表!DM155</f>
        <v>-0.5</v>
      </c>
      <c r="CA155" s="21">
        <f>[2]底表!DN155</f>
        <v>2</v>
      </c>
      <c r="CB155" s="21">
        <f>[2]底表!DO155</f>
        <v>0</v>
      </c>
      <c r="CC155" s="21" t="str">
        <f>[2]底表!DP155</f>
        <v>多2人</v>
      </c>
      <c r="CD155" s="21">
        <f>[2]底表!DQ155</f>
        <v>2</v>
      </c>
      <c r="CE155" s="21">
        <f>[2]底表!DR155</f>
        <v>0</v>
      </c>
      <c r="CF155" s="21">
        <f>[2]底表!DS155</f>
        <v>2</v>
      </c>
      <c r="CG155" s="21">
        <f>[2]底表!DT155</f>
        <v>0</v>
      </c>
      <c r="CH155" s="21" t="str">
        <f>[2]底表!DU155</f>
        <v>多2人</v>
      </c>
      <c r="CI155" s="21">
        <f>[2]底表!DV155</f>
        <v>2</v>
      </c>
      <c r="CJ155" s="21">
        <f>[2]底表!DW155</f>
        <v>0</v>
      </c>
      <c r="CK155" s="21">
        <f>[2]底表!DX155</f>
        <v>1</v>
      </c>
      <c r="CL155" s="21">
        <f>[2]底表!DY155</f>
        <v>0</v>
      </c>
      <c r="CM155" s="21" t="str">
        <f>[2]底表!DZ155</f>
        <v>多1人</v>
      </c>
      <c r="CN155" s="21">
        <f>[2]底表!EA155</f>
        <v>2</v>
      </c>
      <c r="CO155" s="21">
        <f>[2]底表!EB155</f>
        <v>-0.5</v>
      </c>
      <c r="CP155" s="21">
        <f>[2]底表!EC155</f>
        <v>1</v>
      </c>
      <c r="CQ155" s="21">
        <f>[2]底表!ED155</f>
        <v>0</v>
      </c>
      <c r="CR155" s="21" t="str">
        <f>[2]底表!EE155</f>
        <v>多1人</v>
      </c>
      <c r="CS155" s="21">
        <f>[2]底表!EF155</f>
        <v>1</v>
      </c>
      <c r="CT155" s="21">
        <f>[2]底表!EG155</f>
        <v>0</v>
      </c>
      <c r="CU155" s="21" t="str">
        <f>[2]底表!EH155</f>
        <v/>
      </c>
      <c r="CV155" s="21" t="str">
        <f>[2]底表!EI155</f>
        <v/>
      </c>
      <c r="CW155" s="21">
        <f>[2]底表!EJ155</f>
        <v>50</v>
      </c>
      <c r="CX155" s="21">
        <f>[2]底表!EK155</f>
        <v>50</v>
      </c>
      <c r="CY155" s="21" t="str">
        <f>[2]底表!EL155</f>
        <v/>
      </c>
      <c r="CZ155" s="21">
        <f>[2]底表!EM155</f>
        <v>1</v>
      </c>
      <c r="DA155" s="21">
        <f>[2]底表!EN155</f>
        <v>0</v>
      </c>
      <c r="DB155" s="21" t="str">
        <f>[2]底表!EO155</f>
        <v>多1人</v>
      </c>
      <c r="DC155" s="21">
        <f>[2]底表!EP155</f>
        <v>1</v>
      </c>
      <c r="DD155" s="21">
        <f>[2]底表!EQ155</f>
        <v>0</v>
      </c>
      <c r="DE155" s="21">
        <f>[2]底表!ER155</f>
        <v>2</v>
      </c>
      <c r="DF155" s="21">
        <f>[2]底表!ES155</f>
        <v>1</v>
      </c>
      <c r="DG155" s="23">
        <f>[2]底表!ET155</f>
        <v>1</v>
      </c>
      <c r="DH155" s="21">
        <f>[2]底表!EU155</f>
        <v>2</v>
      </c>
      <c r="DI155" s="21">
        <f>[2]底表!EV155</f>
        <v>0</v>
      </c>
      <c r="DJ155" s="21" t="str">
        <f>[2]底表!EW155</f>
        <v/>
      </c>
      <c r="DK155" s="21" t="str">
        <f>[2]底表!EX155</f>
        <v/>
      </c>
      <c r="DL155" s="21">
        <f>[2]底表!EY155</f>
        <v>100</v>
      </c>
      <c r="DM155" s="21">
        <f>[2]底表!EZ155</f>
        <v>50</v>
      </c>
      <c r="DN155" s="21">
        <f>[2]底表!FA155</f>
        <v>1</v>
      </c>
      <c r="DO155" s="21">
        <f>[2]底表!BQ155</f>
        <v>2</v>
      </c>
      <c r="DP155" s="21">
        <f>[2]底表!BR155</f>
        <v>1</v>
      </c>
      <c r="DQ155" s="24">
        <f>[2]底表!BS155</f>
        <v>1</v>
      </c>
    </row>
    <row r="156" s="2" customFormat="1" ht="32" hidden="1" customHeight="1" spans="1:121">
      <c r="A156" s="27" t="str">
        <f>[2]底表!A156</f>
        <v>故意伤害</v>
      </c>
      <c r="B156" s="28" t="str">
        <f>[2]底表!B156</f>
        <v>郁南县</v>
      </c>
      <c r="C156" s="21">
        <f>[2]底表!AM156</f>
        <v>2</v>
      </c>
      <c r="D156" s="21">
        <f>[2]底表!AN156</f>
        <v>0</v>
      </c>
      <c r="E156" s="23" t="str">
        <f>[2]底表!AO156</f>
        <v>多2起</v>
      </c>
      <c r="F156" s="21">
        <f>[2]底表!AP156</f>
        <v>0</v>
      </c>
      <c r="G156" s="21" t="str">
        <f>[2]底表!AQ156</f>
        <v>多2起</v>
      </c>
      <c r="H156" s="21">
        <f>[2]底表!AR156</f>
        <v>1</v>
      </c>
      <c r="I156" s="21" t="str">
        <f>[2]底表!AS156</f>
        <v/>
      </c>
      <c r="J156" s="21">
        <f>[2]底表!AT156</f>
        <v>1</v>
      </c>
      <c r="K156" s="21">
        <f>[2]底表!AU156</f>
        <v>0</v>
      </c>
      <c r="L156" s="21" t="str">
        <f>[2]底表!AV156</f>
        <v>多1起</v>
      </c>
      <c r="M156" s="21">
        <f>[2]底表!AW156</f>
        <v>0</v>
      </c>
      <c r="N156" s="21" t="str">
        <f>[2]底表!AX156</f>
        <v>多1起</v>
      </c>
      <c r="O156" s="21">
        <f>[2]底表!AY156</f>
        <v>1</v>
      </c>
      <c r="P156" s="21">
        <f>[2]底表!AZ156</f>
        <v>0</v>
      </c>
      <c r="Q156" s="21" t="str">
        <f>[2]底表!BA156</f>
        <v>多1起</v>
      </c>
      <c r="R156" s="21">
        <f>[2]底表!BB156</f>
        <v>0</v>
      </c>
      <c r="S156" s="21" t="str">
        <f>[2]底表!BC156</f>
        <v>多1起</v>
      </c>
      <c r="T156" s="21">
        <f>[2]底表!BD156</f>
        <v>1</v>
      </c>
      <c r="U156" s="21" t="str">
        <f>[2]底表!BE156</f>
        <v/>
      </c>
      <c r="V156" s="21">
        <f>[2]底表!BF156</f>
        <v>1</v>
      </c>
      <c r="W156" s="21">
        <f>[2]底表!BG156</f>
        <v>0</v>
      </c>
      <c r="X156" s="21" t="str">
        <f>[2]底表!BH156</f>
        <v>多1起</v>
      </c>
      <c r="Y156" s="21">
        <f>[2]底表!BI156</f>
        <v>0</v>
      </c>
      <c r="Z156" s="21" t="str">
        <f>[2]底表!BJ156</f>
        <v>多1起</v>
      </c>
      <c r="AA156" s="21">
        <f>[2]底表!BK156</f>
        <v>0.5</v>
      </c>
      <c r="AB156" s="21">
        <f>[2]底表!BL156</f>
        <v>1</v>
      </c>
      <c r="AC156" s="21">
        <f>[2]底表!BM156</f>
        <v>0</v>
      </c>
      <c r="AD156" s="21" t="str">
        <f>[2]底表!BN156</f>
        <v>多1起</v>
      </c>
      <c r="AE156" s="21">
        <f>[2]底表!BO156</f>
        <v>0</v>
      </c>
      <c r="AF156" s="21" t="str">
        <f>[2]底表!BP156</f>
        <v>多1起</v>
      </c>
      <c r="AG156" s="21">
        <f>[2]底表!BT156</f>
        <v>0</v>
      </c>
      <c r="AH156" s="21" t="str">
        <f>[2]底表!BU156</f>
        <v>持平</v>
      </c>
      <c r="AI156" s="21">
        <f>[2]底表!BV156</f>
        <v>0</v>
      </c>
      <c r="AJ156" s="21" t="str">
        <f>[2]底表!BW156</f>
        <v/>
      </c>
      <c r="AK156" s="21">
        <f>[2]底表!BX156</f>
        <v>0</v>
      </c>
      <c r="AL156" s="21" t="str">
        <f>[2]底表!BY156</f>
        <v/>
      </c>
      <c r="AM156" s="21">
        <f>[2]底表!BZ156</f>
        <v>0</v>
      </c>
      <c r="AN156" s="21">
        <f>[2]底表!CA156</f>
        <v>0</v>
      </c>
      <c r="AO156" s="21" t="str">
        <f>[2]底表!CB156</f>
        <v>持平</v>
      </c>
      <c r="AP156" s="21">
        <f>[2]底表!CC156</f>
        <v>0</v>
      </c>
      <c r="AQ156" s="21" t="str">
        <f>[2]底表!CD156</f>
        <v>持平</v>
      </c>
      <c r="AR156" s="21" t="str">
        <f>[2]底表!CE156</f>
        <v/>
      </c>
      <c r="AS156" s="21" t="str">
        <f>[2]底表!CF156</f>
        <v/>
      </c>
      <c r="AT156" s="21">
        <f>[2]底表!CG156</f>
        <v>2</v>
      </c>
      <c r="AU156" s="21">
        <f>[2]底表!CH156</f>
        <v>0</v>
      </c>
      <c r="AV156" s="21" t="str">
        <f>[2]底表!CI156</f>
        <v>多2人</v>
      </c>
      <c r="AW156" s="21">
        <f>[2]底表!CJ156</f>
        <v>0</v>
      </c>
      <c r="AX156" s="21" t="str">
        <f>[2]底表!CK156</f>
        <v>多2人</v>
      </c>
      <c r="AY156" s="21">
        <f>[2]底表!CL156</f>
        <v>100</v>
      </c>
      <c r="AZ156" s="21" t="str">
        <f>[2]底表!CM156</f>
        <v/>
      </c>
      <c r="BA156" s="21" t="str">
        <f>[2]底表!CN156</f>
        <v/>
      </c>
      <c r="BB156" s="21">
        <f>[2]底表!CO156</f>
        <v>1</v>
      </c>
      <c r="BC156" s="21">
        <f>[2]底表!CP156</f>
        <v>0</v>
      </c>
      <c r="BD156" s="21" t="str">
        <f>[2]底表!CQ156</f>
        <v>多1人</v>
      </c>
      <c r="BE156" s="21">
        <f>[2]底表!CR156</f>
        <v>0</v>
      </c>
      <c r="BF156" s="21" t="str">
        <f>[2]底表!CS156</f>
        <v>多1人</v>
      </c>
      <c r="BG156" s="21">
        <f>[2]底表!CT156</f>
        <v>0.5</v>
      </c>
      <c r="BH156" s="21" t="str">
        <f>[2]底表!CU156</f>
        <v/>
      </c>
      <c r="BI156" s="21">
        <f>[2]底表!CV156</f>
        <v>50</v>
      </c>
      <c r="BJ156" s="21" t="str">
        <f>[2]底表!CW156</f>
        <v/>
      </c>
      <c r="BK156" s="21" t="str">
        <f>[2]底表!CX156</f>
        <v/>
      </c>
      <c r="BL156" s="21">
        <f>[2]底表!CY156</f>
        <v>2</v>
      </c>
      <c r="BM156" s="21">
        <f>[2]底表!CZ156</f>
        <v>0</v>
      </c>
      <c r="BN156" s="23" t="str">
        <f>[2]底表!DA156</f>
        <v>多2人</v>
      </c>
      <c r="BO156" s="21">
        <f>[2]底表!DB156</f>
        <v>0</v>
      </c>
      <c r="BP156" s="21" t="str">
        <f>[2]底表!DC156</f>
        <v>多2人</v>
      </c>
      <c r="BQ156" s="21">
        <f>[2]底表!DD156</f>
        <v>1</v>
      </c>
      <c r="BR156" s="21" t="str">
        <f>[2]底表!DE156</f>
        <v/>
      </c>
      <c r="BS156" s="21">
        <f>[2]底表!DF156</f>
        <v>100</v>
      </c>
      <c r="BT156" s="21" t="str">
        <f>[2]底表!DG156</f>
        <v/>
      </c>
      <c r="BU156" s="21" t="str">
        <f>[2]底表!DH156</f>
        <v/>
      </c>
      <c r="BV156" s="21">
        <f>[2]底表!DI156</f>
        <v>2</v>
      </c>
      <c r="BW156" s="21">
        <f>[2]底表!DJ156</f>
        <v>0</v>
      </c>
      <c r="BX156" s="23" t="str">
        <f>[2]底表!DK156</f>
        <v>多2人</v>
      </c>
      <c r="BY156" s="21">
        <f>[2]底表!DL156</f>
        <v>0</v>
      </c>
      <c r="BZ156" s="21" t="str">
        <f>[2]底表!DM156</f>
        <v>多2人</v>
      </c>
      <c r="CA156" s="21">
        <f>[2]底表!DN156</f>
        <v>1</v>
      </c>
      <c r="CB156" s="21">
        <f>[2]底表!DO156</f>
        <v>0</v>
      </c>
      <c r="CC156" s="21" t="str">
        <f>[2]底表!DP156</f>
        <v>多1人</v>
      </c>
      <c r="CD156" s="21">
        <f>[2]底表!DQ156</f>
        <v>0</v>
      </c>
      <c r="CE156" s="21" t="str">
        <f>[2]底表!DR156</f>
        <v>多1人</v>
      </c>
      <c r="CF156" s="21">
        <f>[2]底表!DS156</f>
        <v>1</v>
      </c>
      <c r="CG156" s="21">
        <f>[2]底表!DT156</f>
        <v>0</v>
      </c>
      <c r="CH156" s="21" t="str">
        <f>[2]底表!DU156</f>
        <v>多1人</v>
      </c>
      <c r="CI156" s="21">
        <f>[2]底表!DV156</f>
        <v>0</v>
      </c>
      <c r="CJ156" s="21" t="str">
        <f>[2]底表!DW156</f>
        <v>多1人</v>
      </c>
      <c r="CK156" s="21">
        <f>[2]底表!DX156</f>
        <v>3</v>
      </c>
      <c r="CL156" s="21">
        <f>[2]底表!DY156</f>
        <v>0</v>
      </c>
      <c r="CM156" s="21" t="str">
        <f>[2]底表!DZ156</f>
        <v>多3人</v>
      </c>
      <c r="CN156" s="21">
        <f>[2]底表!EA156</f>
        <v>0</v>
      </c>
      <c r="CO156" s="21" t="str">
        <f>[2]底表!EB156</f>
        <v>多3人</v>
      </c>
      <c r="CP156" s="21">
        <f>[2]底表!EC156</f>
        <v>1</v>
      </c>
      <c r="CQ156" s="21">
        <f>[2]底表!ED156</f>
        <v>0</v>
      </c>
      <c r="CR156" s="21" t="str">
        <f>[2]底表!EE156</f>
        <v>多1人</v>
      </c>
      <c r="CS156" s="21">
        <f>[2]底表!EF156</f>
        <v>0</v>
      </c>
      <c r="CT156" s="21" t="str">
        <f>[2]底表!EG156</f>
        <v>多1人</v>
      </c>
      <c r="CU156" s="21">
        <f>[2]底表!EH156</f>
        <v>1</v>
      </c>
      <c r="CV156" s="21" t="str">
        <f>[2]底表!EI156</f>
        <v/>
      </c>
      <c r="CW156" s="21">
        <f>[2]底表!EJ156</f>
        <v>50</v>
      </c>
      <c r="CX156" s="21" t="str">
        <f>[2]底表!EK156</f>
        <v/>
      </c>
      <c r="CY156" s="21" t="str">
        <f>[2]底表!EL156</f>
        <v/>
      </c>
      <c r="CZ156" s="21">
        <f>[2]底表!EM156</f>
        <v>1</v>
      </c>
      <c r="DA156" s="21">
        <f>[2]底表!EN156</f>
        <v>0</v>
      </c>
      <c r="DB156" s="21" t="str">
        <f>[2]底表!EO156</f>
        <v>多1人</v>
      </c>
      <c r="DC156" s="21">
        <f>[2]底表!EP156</f>
        <v>0</v>
      </c>
      <c r="DD156" s="21" t="str">
        <f>[2]底表!EQ156</f>
        <v>多1人</v>
      </c>
      <c r="DE156" s="21">
        <f>[2]底表!ER156</f>
        <v>0</v>
      </c>
      <c r="DF156" s="21">
        <f>[2]底表!ES156</f>
        <v>0</v>
      </c>
      <c r="DG156" s="23" t="str">
        <f>[2]底表!ET156</f>
        <v>持平</v>
      </c>
      <c r="DH156" s="21">
        <f>[2]底表!EU156</f>
        <v>0</v>
      </c>
      <c r="DI156" s="21" t="str">
        <f>[2]底表!EV156</f>
        <v>持平</v>
      </c>
      <c r="DJ156" s="21">
        <f>[2]底表!EW156</f>
        <v>0</v>
      </c>
      <c r="DK156" s="21" t="str">
        <f>[2]底表!EX156</f>
        <v/>
      </c>
      <c r="DL156" s="21">
        <f>[2]底表!EY156</f>
        <v>0</v>
      </c>
      <c r="DM156" s="21" t="str">
        <f>[2]底表!EZ156</f>
        <v/>
      </c>
      <c r="DN156" s="21" t="str">
        <f>[2]底表!FA156</f>
        <v/>
      </c>
      <c r="DO156" s="21">
        <f>[2]底表!BQ156</f>
        <v>0</v>
      </c>
      <c r="DP156" s="21">
        <f>[2]底表!BR156</f>
        <v>0</v>
      </c>
      <c r="DQ156" s="24" t="str">
        <f>[2]底表!BS156</f>
        <v>持平</v>
      </c>
    </row>
    <row r="157" s="2" customFormat="1" ht="32" hidden="1" customHeight="1" spans="1:121">
      <c r="A157" s="27" t="str">
        <f>[2]底表!A157</f>
        <v>故意伤害</v>
      </c>
      <c r="B157" s="28" t="str">
        <f>[2]底表!B157</f>
        <v>罗定市</v>
      </c>
      <c r="C157" s="21">
        <f>[2]底表!AM157</f>
        <v>4</v>
      </c>
      <c r="D157" s="21">
        <f>[2]底表!AN157</f>
        <v>2</v>
      </c>
      <c r="E157" s="23">
        <f>[2]底表!AO157</f>
        <v>1</v>
      </c>
      <c r="F157" s="21">
        <f>[2]底表!AP157</f>
        <v>7</v>
      </c>
      <c r="G157" s="21">
        <f>[2]底表!AQ157</f>
        <v>-0.4286</v>
      </c>
      <c r="H157" s="21">
        <f>[2]底表!AR157</f>
        <v>0.8</v>
      </c>
      <c r="I157" s="21">
        <f>[2]底表!AS157</f>
        <v>0.1333</v>
      </c>
      <c r="J157" s="21">
        <f>[2]底表!AT157</f>
        <v>2</v>
      </c>
      <c r="K157" s="21">
        <f>[2]底表!AU157</f>
        <v>2</v>
      </c>
      <c r="L157" s="21">
        <f>[2]底表!AV157</f>
        <v>0</v>
      </c>
      <c r="M157" s="21">
        <f>[2]底表!AW157</f>
        <v>5</v>
      </c>
      <c r="N157" s="21">
        <f>[2]底表!AX157</f>
        <v>-0.6</v>
      </c>
      <c r="O157" s="21">
        <f>[2]底表!AY157</f>
        <v>1</v>
      </c>
      <c r="P157" s="21">
        <f>[2]底表!AZ157</f>
        <v>2</v>
      </c>
      <c r="Q157" s="21">
        <f>[2]底表!BA157</f>
        <v>-0.5</v>
      </c>
      <c r="R157" s="21">
        <f>[2]底表!BB157</f>
        <v>6</v>
      </c>
      <c r="S157" s="21">
        <f>[2]底表!BC157</f>
        <v>-0.8333</v>
      </c>
      <c r="T157" s="21">
        <f>[2]底表!BD157</f>
        <v>0.5</v>
      </c>
      <c r="U157" s="21">
        <f>[2]底表!BE157</f>
        <v>-0.5</v>
      </c>
      <c r="V157" s="21">
        <f>[2]底表!BF157</f>
        <v>3</v>
      </c>
      <c r="W157" s="21">
        <f>[2]底表!BG157</f>
        <v>1</v>
      </c>
      <c r="X157" s="21">
        <f>[2]底表!BH157</f>
        <v>2</v>
      </c>
      <c r="Y157" s="21">
        <f>[2]底表!BI157</f>
        <v>0</v>
      </c>
      <c r="Z157" s="21" t="str">
        <f>[2]底表!BJ157</f>
        <v>多3起</v>
      </c>
      <c r="AA157" s="21">
        <f>[2]底表!BK157</f>
        <v>0.6</v>
      </c>
      <c r="AB157" s="21">
        <f>[2]底表!BL157</f>
        <v>3</v>
      </c>
      <c r="AC157" s="21">
        <f>[2]底表!BM157</f>
        <v>0</v>
      </c>
      <c r="AD157" s="21" t="str">
        <f>[2]底表!BN157</f>
        <v>多3起</v>
      </c>
      <c r="AE157" s="21">
        <f>[2]底表!BO157</f>
        <v>1</v>
      </c>
      <c r="AF157" s="21">
        <f>[2]底表!BP157</f>
        <v>2</v>
      </c>
      <c r="AG157" s="21">
        <f>[2]底表!BT157</f>
        <v>3</v>
      </c>
      <c r="AH157" s="21">
        <f>[2]底表!BU157</f>
        <v>0.6667</v>
      </c>
      <c r="AI157" s="21">
        <f>[2]底表!BV157</f>
        <v>1</v>
      </c>
      <c r="AJ157" s="21">
        <f>[2]底表!BW157</f>
        <v>0.6667</v>
      </c>
      <c r="AK157" s="21">
        <f>[2]底表!BX157</f>
        <v>2.5</v>
      </c>
      <c r="AL157" s="21">
        <f>[2]底表!BY157</f>
        <v>2</v>
      </c>
      <c r="AM157" s="21">
        <f>[2]底表!BZ157</f>
        <v>0</v>
      </c>
      <c r="AN157" s="21">
        <f>[2]底表!CA157</f>
        <v>0</v>
      </c>
      <c r="AO157" s="21" t="str">
        <f>[2]底表!CB157</f>
        <v>持平</v>
      </c>
      <c r="AP157" s="21">
        <f>[2]底表!CC157</f>
        <v>0</v>
      </c>
      <c r="AQ157" s="21" t="str">
        <f>[2]底表!CD157</f>
        <v>持平</v>
      </c>
      <c r="AR157" s="21" t="str">
        <f>[2]底表!CE157</f>
        <v/>
      </c>
      <c r="AS157" s="21" t="str">
        <f>[2]底表!CF157</f>
        <v/>
      </c>
      <c r="AT157" s="21">
        <f>[2]底表!CG157</f>
        <v>7</v>
      </c>
      <c r="AU157" s="21">
        <f>[2]底表!CH157</f>
        <v>11</v>
      </c>
      <c r="AV157" s="21">
        <f>[2]底表!CI157</f>
        <v>-0.3636</v>
      </c>
      <c r="AW157" s="21">
        <f>[2]底表!CJ157</f>
        <v>3</v>
      </c>
      <c r="AX157" s="21">
        <f>[2]底表!CK157</f>
        <v>1.3333</v>
      </c>
      <c r="AY157" s="21">
        <f>[2]底表!CL157</f>
        <v>140</v>
      </c>
      <c r="AZ157" s="21">
        <f>[2]底表!CM157</f>
        <v>-227</v>
      </c>
      <c r="BA157" s="21">
        <f>[2]底表!CN157</f>
        <v>-0.6182</v>
      </c>
      <c r="BB157" s="21">
        <f>[2]底表!CO157</f>
        <v>3</v>
      </c>
      <c r="BC157" s="21">
        <f>[2]底表!CP157</f>
        <v>2</v>
      </c>
      <c r="BD157" s="21">
        <f>[2]底表!CQ157</f>
        <v>0.5</v>
      </c>
      <c r="BE157" s="21">
        <f>[2]底表!CR157</f>
        <v>6</v>
      </c>
      <c r="BF157" s="21">
        <f>[2]底表!CS157</f>
        <v>-0.5</v>
      </c>
      <c r="BG157" s="21">
        <f>[2]底表!CT157</f>
        <v>0.4286</v>
      </c>
      <c r="BH157" s="21">
        <f>[2]底表!CU157</f>
        <v>0.2468</v>
      </c>
      <c r="BI157" s="21">
        <f>[2]底表!CV157</f>
        <v>60</v>
      </c>
      <c r="BJ157" s="21">
        <f>[2]底表!CW157</f>
        <v>-7</v>
      </c>
      <c r="BK157" s="21">
        <f>[2]底表!CX157</f>
        <v>-0.1</v>
      </c>
      <c r="BL157" s="21">
        <f>[2]底表!CY157</f>
        <v>3</v>
      </c>
      <c r="BM157" s="21">
        <f>[2]底表!CZ157</f>
        <v>3</v>
      </c>
      <c r="BN157" s="23">
        <f>[2]底表!DA157</f>
        <v>0</v>
      </c>
      <c r="BO157" s="21">
        <f>[2]底表!DB157</f>
        <v>6</v>
      </c>
      <c r="BP157" s="21">
        <f>[2]底表!DC157</f>
        <v>-0.5</v>
      </c>
      <c r="BQ157" s="21">
        <f>[2]底表!DD157</f>
        <v>0.4286</v>
      </c>
      <c r="BR157" s="21">
        <f>[2]底表!DE157</f>
        <v>0.1558</v>
      </c>
      <c r="BS157" s="21">
        <f>[2]底表!DF157</f>
        <v>60</v>
      </c>
      <c r="BT157" s="21">
        <f>[2]底表!DG157</f>
        <v>-40</v>
      </c>
      <c r="BU157" s="21">
        <f>[2]底表!DH157</f>
        <v>-0.4</v>
      </c>
      <c r="BV157" s="21">
        <f>[2]底表!DI157</f>
        <v>2</v>
      </c>
      <c r="BW157" s="21">
        <f>[2]底表!DJ157</f>
        <v>0</v>
      </c>
      <c r="BX157" s="23" t="str">
        <f>[2]底表!DK157</f>
        <v>多2人</v>
      </c>
      <c r="BY157" s="21">
        <f>[2]底表!DL157</f>
        <v>6</v>
      </c>
      <c r="BZ157" s="21">
        <f>[2]底表!DM157</f>
        <v>-0.6667</v>
      </c>
      <c r="CA157" s="21">
        <f>[2]底表!DN157</f>
        <v>1</v>
      </c>
      <c r="CB157" s="21">
        <f>[2]底表!DO157</f>
        <v>1</v>
      </c>
      <c r="CC157" s="21">
        <f>[2]底表!DP157</f>
        <v>0</v>
      </c>
      <c r="CD157" s="21">
        <f>[2]底表!DQ157</f>
        <v>3</v>
      </c>
      <c r="CE157" s="21">
        <f>[2]底表!DR157</f>
        <v>-0.6667</v>
      </c>
      <c r="CF157" s="21">
        <f>[2]底表!DS157</f>
        <v>1</v>
      </c>
      <c r="CG157" s="21">
        <f>[2]底表!DT157</f>
        <v>1</v>
      </c>
      <c r="CH157" s="21">
        <f>[2]底表!DU157</f>
        <v>0</v>
      </c>
      <c r="CI157" s="21">
        <f>[2]底表!DV157</f>
        <v>3</v>
      </c>
      <c r="CJ157" s="21">
        <f>[2]底表!DW157</f>
        <v>-0.6667</v>
      </c>
      <c r="CK157" s="21">
        <f>[2]底表!DX157</f>
        <v>4</v>
      </c>
      <c r="CL157" s="21">
        <f>[2]底表!DY157</f>
        <v>3</v>
      </c>
      <c r="CM157" s="21">
        <f>[2]底表!DZ157</f>
        <v>0.3333</v>
      </c>
      <c r="CN157" s="21">
        <f>[2]底表!EA157</f>
        <v>7</v>
      </c>
      <c r="CO157" s="21">
        <f>[2]底表!EB157</f>
        <v>-0.4286</v>
      </c>
      <c r="CP157" s="21">
        <f>[2]底表!EC157</f>
        <v>6</v>
      </c>
      <c r="CQ157" s="21">
        <f>[2]底表!ED157</f>
        <v>3</v>
      </c>
      <c r="CR157" s="21">
        <f>[2]底表!EE157</f>
        <v>1</v>
      </c>
      <c r="CS157" s="21">
        <f>[2]底表!EF157</f>
        <v>4</v>
      </c>
      <c r="CT157" s="21">
        <f>[2]底表!EG157</f>
        <v>0.5</v>
      </c>
      <c r="CU157" s="21">
        <f>[2]底表!EH157</f>
        <v>2</v>
      </c>
      <c r="CV157" s="21">
        <f>[2]底表!EI157</f>
        <v>0.5</v>
      </c>
      <c r="CW157" s="21">
        <f>[2]底表!EJ157</f>
        <v>120</v>
      </c>
      <c r="CX157" s="21">
        <f>[2]底表!EK157</f>
        <v>20</v>
      </c>
      <c r="CY157" s="21">
        <f>[2]底表!EL157</f>
        <v>0.2</v>
      </c>
      <c r="CZ157" s="21">
        <f>[2]底表!EM157</f>
        <v>6</v>
      </c>
      <c r="DA157" s="21">
        <f>[2]底表!EN157</f>
        <v>3</v>
      </c>
      <c r="DB157" s="21">
        <f>[2]底表!EO157</f>
        <v>1</v>
      </c>
      <c r="DC157" s="21">
        <f>[2]底表!EP157</f>
        <v>4</v>
      </c>
      <c r="DD157" s="21">
        <f>[2]底表!EQ157</f>
        <v>0.5</v>
      </c>
      <c r="DE157" s="21">
        <f>[2]底表!ER157</f>
        <v>5</v>
      </c>
      <c r="DF157" s="21">
        <f>[2]底表!ES157</f>
        <v>1</v>
      </c>
      <c r="DG157" s="23">
        <f>[2]底表!ET157</f>
        <v>4</v>
      </c>
      <c r="DH157" s="21">
        <f>[2]底表!EU157</f>
        <v>4</v>
      </c>
      <c r="DI157" s="21">
        <f>[2]底表!EV157</f>
        <v>0.25</v>
      </c>
      <c r="DJ157" s="21">
        <f>[2]底表!EW157</f>
        <v>1.6667</v>
      </c>
      <c r="DK157" s="21">
        <f>[2]底表!EX157</f>
        <v>1.1667</v>
      </c>
      <c r="DL157" s="21">
        <f>[2]底表!EY157</f>
        <v>100</v>
      </c>
      <c r="DM157" s="21">
        <f>[2]底表!EZ157</f>
        <v>67</v>
      </c>
      <c r="DN157" s="21">
        <f>[2]底表!FA157</f>
        <v>2</v>
      </c>
      <c r="DO157" s="21">
        <f>[2]底表!BQ157</f>
        <v>5</v>
      </c>
      <c r="DP157" s="21">
        <f>[2]底表!BR157</f>
        <v>1</v>
      </c>
      <c r="DQ157" s="24">
        <f>[2]底表!BS157</f>
        <v>4</v>
      </c>
    </row>
    <row r="158" s="2" customFormat="1" ht="32" hidden="1" customHeight="1" spans="1:121">
      <c r="A158" s="27" t="str">
        <f>[2]底表!A158</f>
        <v>寻衅滋事</v>
      </c>
      <c r="B158" s="28" t="str">
        <f>[2]底表!B158</f>
        <v>全省</v>
      </c>
      <c r="C158" s="21">
        <f>[2]底表!AM158</f>
        <v>195</v>
      </c>
      <c r="D158" s="21">
        <f>[2]底表!AN158</f>
        <v>194</v>
      </c>
      <c r="E158" s="23">
        <f>[2]底表!AO158</f>
        <v>0.0052</v>
      </c>
      <c r="F158" s="21">
        <f>[2]底表!AP158</f>
        <v>284</v>
      </c>
      <c r="G158" s="21">
        <f>[2]底表!AQ158</f>
        <v>-0.3134</v>
      </c>
      <c r="H158" s="21">
        <f>[2]底表!AR158</f>
        <v>1.0104</v>
      </c>
      <c r="I158" s="21">
        <f>[2]底表!AS158</f>
        <v>0.2496</v>
      </c>
      <c r="J158" s="21">
        <f>[2]底表!AT158</f>
        <v>146</v>
      </c>
      <c r="K158" s="21">
        <f>[2]底表!AU158</f>
        <v>178</v>
      </c>
      <c r="L158" s="21">
        <f>[2]底表!AV158</f>
        <v>-0.1798</v>
      </c>
      <c r="M158" s="21">
        <f>[2]底表!AW158</f>
        <v>210</v>
      </c>
      <c r="N158" s="21">
        <f>[2]底表!AX158</f>
        <v>-0.3048</v>
      </c>
      <c r="O158" s="21">
        <f>[2]底表!AY158</f>
        <v>130</v>
      </c>
      <c r="P158" s="21">
        <f>[2]底表!AZ158</f>
        <v>126</v>
      </c>
      <c r="Q158" s="21">
        <f>[2]底表!BA158</f>
        <v>0.0317</v>
      </c>
      <c r="R158" s="21">
        <f>[2]底表!BB158</f>
        <v>212</v>
      </c>
      <c r="S158" s="21">
        <f>[2]底表!BC158</f>
        <v>-0.3868</v>
      </c>
      <c r="T158" s="21">
        <f>[2]底表!BD158</f>
        <v>0.8904</v>
      </c>
      <c r="U158" s="21">
        <f>[2]底表!BE158</f>
        <v>0.1825</v>
      </c>
      <c r="V158" s="21">
        <f>[2]底表!BF158</f>
        <v>47</v>
      </c>
      <c r="W158" s="21">
        <f>[2]底表!BG158</f>
        <v>77</v>
      </c>
      <c r="X158" s="21">
        <f>[2]底表!BH158</f>
        <v>-0.3896</v>
      </c>
      <c r="Y158" s="21">
        <f>[2]底表!BI158</f>
        <v>28</v>
      </c>
      <c r="Z158" s="21">
        <f>[2]底表!BJ158</f>
        <v>0.6786</v>
      </c>
      <c r="AA158" s="21">
        <f>[2]底表!BK158</f>
        <v>0.2435</v>
      </c>
      <c r="AB158" s="21">
        <f>[2]底表!BL158</f>
        <v>65</v>
      </c>
      <c r="AC158" s="21">
        <f>[2]底表!BM158</f>
        <v>68</v>
      </c>
      <c r="AD158" s="21">
        <f>[2]底表!BN158</f>
        <v>-0.0441</v>
      </c>
      <c r="AE158" s="21">
        <f>[2]底表!BO158</f>
        <v>72</v>
      </c>
      <c r="AF158" s="21">
        <f>[2]底表!BP158</f>
        <v>-0.0972</v>
      </c>
      <c r="AG158" s="21">
        <f>[2]底表!BT158</f>
        <v>237</v>
      </c>
      <c r="AH158" s="21">
        <f>[2]底表!BU158</f>
        <v>-0.4051</v>
      </c>
      <c r="AI158" s="21">
        <f>[2]底表!BV158</f>
        <v>0.7306</v>
      </c>
      <c r="AJ158" s="21">
        <f>[2]底表!BW158</f>
        <v>0.1502</v>
      </c>
      <c r="AK158" s="21">
        <f>[2]底表!BX158</f>
        <v>0.9658</v>
      </c>
      <c r="AL158" s="21">
        <f>[2]底表!BY158</f>
        <v>0.1343</v>
      </c>
      <c r="AM158" s="21">
        <f>[2]底表!BZ158</f>
        <v>1</v>
      </c>
      <c r="AN158" s="21">
        <f>[2]底表!CA158</f>
        <v>1</v>
      </c>
      <c r="AO158" s="21">
        <f>[2]底表!CB158</f>
        <v>0</v>
      </c>
      <c r="AP158" s="21">
        <f>[2]底表!CC158</f>
        <v>1</v>
      </c>
      <c r="AQ158" s="21">
        <f>[2]底表!CD158</f>
        <v>0</v>
      </c>
      <c r="AR158" s="21" t="str">
        <f>[2]底表!CE158</f>
        <v/>
      </c>
      <c r="AS158" s="21" t="str">
        <f>[2]底表!CF158</f>
        <v/>
      </c>
      <c r="AT158" s="21">
        <f>[2]底表!CG158</f>
        <v>480</v>
      </c>
      <c r="AU158" s="21">
        <f>[2]底表!CH158</f>
        <v>528</v>
      </c>
      <c r="AV158" s="21">
        <f>[2]底表!CI158</f>
        <v>-0.0909</v>
      </c>
      <c r="AW158" s="21">
        <f>[2]底表!CJ158</f>
        <v>463</v>
      </c>
      <c r="AX158" s="21">
        <f>[2]底表!CK158</f>
        <v>0.0367</v>
      </c>
      <c r="AY158" s="21">
        <f>[2]底表!CL158</f>
        <v>249</v>
      </c>
      <c r="AZ158" s="21">
        <f>[2]底表!CM158</f>
        <v>42</v>
      </c>
      <c r="BA158" s="21">
        <f>[2]底表!CN158</f>
        <v>0.2011</v>
      </c>
      <c r="BB158" s="21">
        <f>[2]底表!CO158</f>
        <v>394</v>
      </c>
      <c r="BC158" s="21">
        <f>[2]底表!CP158</f>
        <v>380</v>
      </c>
      <c r="BD158" s="21">
        <f>[2]底表!CQ158</f>
        <v>0.0368</v>
      </c>
      <c r="BE158" s="21">
        <f>[2]底表!CR158</f>
        <v>440</v>
      </c>
      <c r="BF158" s="21">
        <f>[2]底表!CS158</f>
        <v>-0.1045</v>
      </c>
      <c r="BG158" s="21">
        <f>[2]底表!CT158</f>
        <v>0.8208</v>
      </c>
      <c r="BH158" s="21">
        <f>[2]底表!CU158</f>
        <v>0.1011</v>
      </c>
      <c r="BI158" s="21">
        <f>[2]底表!CV158</f>
        <v>204</v>
      </c>
      <c r="BJ158" s="21">
        <f>[2]底表!CW158</f>
        <v>55</v>
      </c>
      <c r="BK158" s="21">
        <f>[2]底表!CX158</f>
        <v>0.3699</v>
      </c>
      <c r="BL158" s="21">
        <f>[2]底表!CY158</f>
        <v>431</v>
      </c>
      <c r="BM158" s="21">
        <f>[2]底表!CZ158</f>
        <v>449</v>
      </c>
      <c r="BN158" s="23">
        <f>[2]底表!DA158</f>
        <v>-0.0401</v>
      </c>
      <c r="BO158" s="21">
        <f>[2]底表!DB158</f>
        <v>501</v>
      </c>
      <c r="BP158" s="21">
        <f>[2]底表!DC158</f>
        <v>-0.1397</v>
      </c>
      <c r="BQ158" s="21">
        <f>[2]底表!DD158</f>
        <v>0.8979</v>
      </c>
      <c r="BR158" s="21">
        <f>[2]底表!DE158</f>
        <v>0.0475</v>
      </c>
      <c r="BS158" s="21">
        <f>[2]底表!DF158</f>
        <v>223</v>
      </c>
      <c r="BT158" s="21">
        <f>[2]底表!DG158</f>
        <v>47</v>
      </c>
      <c r="BU158" s="21">
        <f>[2]底表!DH158</f>
        <v>0.2683</v>
      </c>
      <c r="BV158" s="21">
        <f>[2]底表!DI158</f>
        <v>411</v>
      </c>
      <c r="BW158" s="21">
        <f>[2]底表!DJ158</f>
        <v>482</v>
      </c>
      <c r="BX158" s="23">
        <f>[2]底表!DK158</f>
        <v>-0.1473</v>
      </c>
      <c r="BY158" s="21">
        <f>[2]底表!DL158</f>
        <v>517</v>
      </c>
      <c r="BZ158" s="21">
        <f>[2]底表!DM158</f>
        <v>-0.205</v>
      </c>
      <c r="CA158" s="21">
        <f>[2]底表!DN158</f>
        <v>207</v>
      </c>
      <c r="CB158" s="21">
        <f>[2]底表!DO158</f>
        <v>286</v>
      </c>
      <c r="CC158" s="21">
        <f>[2]底表!DP158</f>
        <v>-0.2762</v>
      </c>
      <c r="CD158" s="21">
        <f>[2]底表!DQ158</f>
        <v>256</v>
      </c>
      <c r="CE158" s="21">
        <f>[2]底表!DR158</f>
        <v>-0.1914</v>
      </c>
      <c r="CF158" s="21">
        <f>[2]底表!DS158</f>
        <v>207</v>
      </c>
      <c r="CG158" s="21">
        <f>[2]底表!DT158</f>
        <v>286</v>
      </c>
      <c r="CH158" s="21">
        <f>[2]底表!DU158</f>
        <v>-0.2762</v>
      </c>
      <c r="CI158" s="21">
        <f>[2]底表!DV158</f>
        <v>256</v>
      </c>
      <c r="CJ158" s="21">
        <f>[2]底表!DW158</f>
        <v>-0.1914</v>
      </c>
      <c r="CK158" s="21">
        <f>[2]底表!DX158</f>
        <v>352</v>
      </c>
      <c r="CL158" s="21">
        <f>[2]底表!DY158</f>
        <v>361</v>
      </c>
      <c r="CM158" s="21">
        <f>[2]底表!DZ158</f>
        <v>-0.0249</v>
      </c>
      <c r="CN158" s="21">
        <f>[2]底表!EA158</f>
        <v>357</v>
      </c>
      <c r="CO158" s="21">
        <f>[2]底表!EB158</f>
        <v>-0.014</v>
      </c>
      <c r="CP158" s="21">
        <f>[2]底表!EC158</f>
        <v>192</v>
      </c>
      <c r="CQ158" s="21">
        <f>[2]底表!ED158</f>
        <v>253</v>
      </c>
      <c r="CR158" s="21">
        <f>[2]底表!EE158</f>
        <v>-0.2411</v>
      </c>
      <c r="CS158" s="21">
        <f>[2]底表!EF158</f>
        <v>218</v>
      </c>
      <c r="CT158" s="21">
        <f>[2]底表!EG158</f>
        <v>-0.1193</v>
      </c>
      <c r="CU158" s="21">
        <f>[2]底表!EH158</f>
        <v>0.4873</v>
      </c>
      <c r="CV158" s="21">
        <f>[2]底表!EI158</f>
        <v>-0.1785</v>
      </c>
      <c r="CW158" s="21">
        <f>[2]底表!EJ158</f>
        <v>99</v>
      </c>
      <c r="CX158" s="21">
        <f>[2]底表!EK158</f>
        <v>0</v>
      </c>
      <c r="CY158" s="21">
        <f>[2]底表!EL158</f>
        <v>0.0027</v>
      </c>
      <c r="CZ158" s="21">
        <f>[2]底表!EM158</f>
        <v>193</v>
      </c>
      <c r="DA158" s="21">
        <f>[2]底表!EN158</f>
        <v>253</v>
      </c>
      <c r="DB158" s="21">
        <f>[2]底表!EO158</f>
        <v>-0.2372</v>
      </c>
      <c r="DC158" s="21">
        <f>[2]底表!EP158</f>
        <v>210</v>
      </c>
      <c r="DD158" s="21">
        <f>[2]底表!EQ158</f>
        <v>-0.081</v>
      </c>
      <c r="DE158" s="21">
        <f>[2]底表!ER158</f>
        <v>334</v>
      </c>
      <c r="DF158" s="21">
        <f>[2]底表!ES158</f>
        <v>322</v>
      </c>
      <c r="DG158" s="23">
        <f>[2]底表!ET158</f>
        <v>0.0373</v>
      </c>
      <c r="DH158" s="21">
        <f>[2]底表!EU158</f>
        <v>560</v>
      </c>
      <c r="DI158" s="21">
        <f>[2]底表!EV158</f>
        <v>-0.4036</v>
      </c>
      <c r="DJ158" s="21">
        <f>[2]底表!EW158</f>
        <v>0.8477</v>
      </c>
      <c r="DK158" s="21">
        <f>[2]底表!EX158</f>
        <v>0.0003</v>
      </c>
      <c r="DL158" s="21">
        <f>[2]底表!EY158</f>
        <v>173</v>
      </c>
      <c r="DM158" s="21">
        <f>[2]底表!EZ158</f>
        <v>47</v>
      </c>
      <c r="DN158" s="21">
        <f>[2]底表!FA158</f>
        <v>0.3705</v>
      </c>
      <c r="DO158" s="21">
        <f>[2]底表!BQ158</f>
        <v>141</v>
      </c>
      <c r="DP158" s="21">
        <f>[2]底表!BR158</f>
        <v>148</v>
      </c>
      <c r="DQ158" s="24">
        <f>[2]底表!BS158</f>
        <v>-0.0473</v>
      </c>
    </row>
    <row r="159" s="2" customFormat="1" ht="32" hidden="1" customHeight="1" spans="1:121">
      <c r="A159" s="27" t="str">
        <f>[2]底表!A159</f>
        <v>寻衅滋事</v>
      </c>
      <c r="B159" s="28" t="str">
        <f>[2]底表!B159</f>
        <v>云浮</v>
      </c>
      <c r="C159" s="21">
        <f>[2]底表!AM159</f>
        <v>1</v>
      </c>
      <c r="D159" s="21">
        <f>[2]底表!AN159</f>
        <v>0</v>
      </c>
      <c r="E159" s="23" t="str">
        <f>[2]底表!AO159</f>
        <v>多1起</v>
      </c>
      <c r="F159" s="21">
        <f>[2]底表!AP159</f>
        <v>1</v>
      </c>
      <c r="G159" s="21">
        <f>[2]底表!AQ159</f>
        <v>0</v>
      </c>
      <c r="H159" s="21" t="str">
        <f>[2]底表!AR159</f>
        <v/>
      </c>
      <c r="I159" s="21" t="str">
        <f>[2]底表!AS159</f>
        <v/>
      </c>
      <c r="J159" s="21">
        <f>[2]底表!AT159</f>
        <v>0</v>
      </c>
      <c r="K159" s="21">
        <f>[2]底表!AU159</f>
        <v>0</v>
      </c>
      <c r="L159" s="21" t="str">
        <f>[2]底表!AV159</f>
        <v>持平</v>
      </c>
      <c r="M159" s="21">
        <f>[2]底表!AW159</f>
        <v>0</v>
      </c>
      <c r="N159" s="21" t="str">
        <f>[2]底表!AX159</f>
        <v>持平</v>
      </c>
      <c r="O159" s="21">
        <f>[2]底表!AY159</f>
        <v>0</v>
      </c>
      <c r="P159" s="21">
        <f>[2]底表!AZ159</f>
        <v>0</v>
      </c>
      <c r="Q159" s="21" t="str">
        <f>[2]底表!BA159</f>
        <v>持平</v>
      </c>
      <c r="R159" s="21">
        <f>[2]底表!BB159</f>
        <v>0</v>
      </c>
      <c r="S159" s="21" t="str">
        <f>[2]底表!BC159</f>
        <v>持平</v>
      </c>
      <c r="T159" s="21" t="str">
        <f>[2]底表!BD159</f>
        <v/>
      </c>
      <c r="U159" s="21" t="str">
        <f>[2]底表!BE159</f>
        <v/>
      </c>
      <c r="V159" s="21">
        <f>[2]底表!BF159</f>
        <v>0</v>
      </c>
      <c r="W159" s="21">
        <f>[2]底表!BG159</f>
        <v>1</v>
      </c>
      <c r="X159" s="21" t="str">
        <f>[2]底表!BH159</f>
        <v>少1起</v>
      </c>
      <c r="Y159" s="21">
        <f>[2]底表!BI159</f>
        <v>0</v>
      </c>
      <c r="Z159" s="21" t="str">
        <f>[2]底表!BJ159</f>
        <v>持平</v>
      </c>
      <c r="AA159" s="21" t="str">
        <f>[2]底表!BK159</f>
        <v/>
      </c>
      <c r="AB159" s="21">
        <f>[2]底表!BL159</f>
        <v>1</v>
      </c>
      <c r="AC159" s="21">
        <f>[2]底表!BM159</f>
        <v>0</v>
      </c>
      <c r="AD159" s="21" t="str">
        <f>[2]底表!BN159</f>
        <v>多1起</v>
      </c>
      <c r="AE159" s="21">
        <f>[2]底表!BO159</f>
        <v>1</v>
      </c>
      <c r="AF159" s="21">
        <f>[2]底表!BP159</f>
        <v>0</v>
      </c>
      <c r="AG159" s="21">
        <f>[2]底表!BT159</f>
        <v>2</v>
      </c>
      <c r="AH159" s="21" t="str">
        <f>[2]底表!BU159</f>
        <v>少2起</v>
      </c>
      <c r="AI159" s="21" t="str">
        <f>[2]底表!BV159</f>
        <v/>
      </c>
      <c r="AJ159" s="21" t="str">
        <f>[2]底表!BW159</f>
        <v/>
      </c>
      <c r="AK159" s="21" t="str">
        <f>[2]底表!BX159</f>
        <v/>
      </c>
      <c r="AL159" s="21" t="str">
        <f>[2]底表!BY159</f>
        <v/>
      </c>
      <c r="AM159" s="21">
        <f>[2]底表!BZ159</f>
        <v>0</v>
      </c>
      <c r="AN159" s="21">
        <f>[2]底表!CA159</f>
        <v>0</v>
      </c>
      <c r="AO159" s="21" t="str">
        <f>[2]底表!CB159</f>
        <v>持平</v>
      </c>
      <c r="AP159" s="21">
        <f>[2]底表!CC159</f>
        <v>0</v>
      </c>
      <c r="AQ159" s="21" t="str">
        <f>[2]底表!CD159</f>
        <v>持平</v>
      </c>
      <c r="AR159" s="21" t="str">
        <f>[2]底表!CE159</f>
        <v/>
      </c>
      <c r="AS159" s="21" t="str">
        <f>[2]底表!CF159</f>
        <v/>
      </c>
      <c r="AT159" s="21">
        <f>[2]底表!CG159</f>
        <v>0</v>
      </c>
      <c r="AU159" s="21">
        <f>[2]底表!CH159</f>
        <v>2</v>
      </c>
      <c r="AV159" s="21" t="str">
        <f>[2]底表!CI159</f>
        <v>少2人</v>
      </c>
      <c r="AW159" s="21">
        <f>[2]底表!CJ159</f>
        <v>0</v>
      </c>
      <c r="AX159" s="21" t="str">
        <f>[2]底表!CK159</f>
        <v>持平</v>
      </c>
      <c r="AY159" s="21" t="str">
        <f>[2]底表!CL159</f>
        <v/>
      </c>
      <c r="AZ159" s="21" t="str">
        <f>[2]底表!CM159</f>
        <v/>
      </c>
      <c r="BA159" s="21" t="str">
        <f>[2]底表!CN159</f>
        <v/>
      </c>
      <c r="BB159" s="21">
        <f>[2]底表!CO159</f>
        <v>0</v>
      </c>
      <c r="BC159" s="21">
        <f>[2]底表!CP159</f>
        <v>4</v>
      </c>
      <c r="BD159" s="21" t="str">
        <f>[2]底表!CQ159</f>
        <v>少4人</v>
      </c>
      <c r="BE159" s="21">
        <f>[2]底表!CR159</f>
        <v>0</v>
      </c>
      <c r="BF159" s="21" t="str">
        <f>[2]底表!CS159</f>
        <v>持平</v>
      </c>
      <c r="BG159" s="21" t="str">
        <f>[2]底表!CT159</f>
        <v/>
      </c>
      <c r="BH159" s="21" t="str">
        <f>[2]底表!CU159</f>
        <v/>
      </c>
      <c r="BI159" s="21" t="str">
        <f>[2]底表!CV159</f>
        <v/>
      </c>
      <c r="BJ159" s="21" t="str">
        <f>[2]底表!CW159</f>
        <v/>
      </c>
      <c r="BK159" s="21" t="str">
        <f>[2]底表!CX159</f>
        <v/>
      </c>
      <c r="BL159" s="21">
        <f>[2]底表!CY159</f>
        <v>0</v>
      </c>
      <c r="BM159" s="21">
        <f>[2]底表!CZ159</f>
        <v>4</v>
      </c>
      <c r="BN159" s="23" t="str">
        <f>[2]底表!DA159</f>
        <v>少4人</v>
      </c>
      <c r="BO159" s="21">
        <f>[2]底表!DB159</f>
        <v>0</v>
      </c>
      <c r="BP159" s="21" t="str">
        <f>[2]底表!DC159</f>
        <v>持平</v>
      </c>
      <c r="BQ159" s="21" t="str">
        <f>[2]底表!DD159</f>
        <v/>
      </c>
      <c r="BR159" s="21" t="str">
        <f>[2]底表!DE159</f>
        <v/>
      </c>
      <c r="BS159" s="21" t="str">
        <f>[2]底表!DF159</f>
        <v/>
      </c>
      <c r="BT159" s="21" t="str">
        <f>[2]底表!DG159</f>
        <v/>
      </c>
      <c r="BU159" s="21" t="str">
        <f>[2]底表!DH159</f>
        <v/>
      </c>
      <c r="BV159" s="21">
        <f>[2]底表!DI159</f>
        <v>0</v>
      </c>
      <c r="BW159" s="21">
        <f>[2]底表!DJ159</f>
        <v>2</v>
      </c>
      <c r="BX159" s="23" t="str">
        <f>[2]底表!DK159</f>
        <v>少2人</v>
      </c>
      <c r="BY159" s="21">
        <f>[2]底表!DL159</f>
        <v>0</v>
      </c>
      <c r="BZ159" s="21" t="str">
        <f>[2]底表!DM159</f>
        <v>持平</v>
      </c>
      <c r="CA159" s="21">
        <f>[2]底表!DN159</f>
        <v>0</v>
      </c>
      <c r="CB159" s="21">
        <f>[2]底表!DO159</f>
        <v>0</v>
      </c>
      <c r="CC159" s="21" t="str">
        <f>[2]底表!DP159</f>
        <v>持平</v>
      </c>
      <c r="CD159" s="21">
        <f>[2]底表!DQ159</f>
        <v>1</v>
      </c>
      <c r="CE159" s="21" t="str">
        <f>[2]底表!DR159</f>
        <v>少1人</v>
      </c>
      <c r="CF159" s="21">
        <f>[2]底表!DS159</f>
        <v>0</v>
      </c>
      <c r="CG159" s="21">
        <f>[2]底表!DT159</f>
        <v>0</v>
      </c>
      <c r="CH159" s="21" t="str">
        <f>[2]底表!DU159</f>
        <v>持平</v>
      </c>
      <c r="CI159" s="21">
        <f>[2]底表!DV159</f>
        <v>1</v>
      </c>
      <c r="CJ159" s="21" t="str">
        <f>[2]底表!DW159</f>
        <v>少1人</v>
      </c>
      <c r="CK159" s="21">
        <f>[2]底表!DX159</f>
        <v>0</v>
      </c>
      <c r="CL159" s="21">
        <f>[2]底表!DY159</f>
        <v>1</v>
      </c>
      <c r="CM159" s="21" t="str">
        <f>[2]底表!DZ159</f>
        <v>少1人</v>
      </c>
      <c r="CN159" s="21">
        <f>[2]底表!EA159</f>
        <v>4</v>
      </c>
      <c r="CO159" s="21" t="str">
        <f>[2]底表!EB159</f>
        <v>少4人</v>
      </c>
      <c r="CP159" s="21">
        <f>[2]底表!EC159</f>
        <v>0</v>
      </c>
      <c r="CQ159" s="21">
        <f>[2]底表!ED159</f>
        <v>1</v>
      </c>
      <c r="CR159" s="21" t="str">
        <f>[2]底表!EE159</f>
        <v>少1人</v>
      </c>
      <c r="CS159" s="21">
        <f>[2]底表!EF159</f>
        <v>3</v>
      </c>
      <c r="CT159" s="21" t="str">
        <f>[2]底表!EG159</f>
        <v>少3人</v>
      </c>
      <c r="CU159" s="21" t="str">
        <f>[2]底表!EH159</f>
        <v/>
      </c>
      <c r="CV159" s="21" t="str">
        <f>[2]底表!EI159</f>
        <v/>
      </c>
      <c r="CW159" s="21" t="str">
        <f>[2]底表!EJ159</f>
        <v/>
      </c>
      <c r="CX159" s="21" t="str">
        <f>[2]底表!EK159</f>
        <v/>
      </c>
      <c r="CY159" s="21" t="str">
        <f>[2]底表!EL159</f>
        <v/>
      </c>
      <c r="CZ159" s="21">
        <f>[2]底表!EM159</f>
        <v>0</v>
      </c>
      <c r="DA159" s="21">
        <f>[2]底表!EN159</f>
        <v>1</v>
      </c>
      <c r="DB159" s="21" t="str">
        <f>[2]底表!EO159</f>
        <v>少1人</v>
      </c>
      <c r="DC159" s="21">
        <f>[2]底表!EP159</f>
        <v>3</v>
      </c>
      <c r="DD159" s="21" t="str">
        <f>[2]底表!EQ159</f>
        <v>少3人</v>
      </c>
      <c r="DE159" s="21">
        <f>[2]底表!ER159</f>
        <v>0</v>
      </c>
      <c r="DF159" s="21">
        <f>[2]底表!ES159</f>
        <v>1</v>
      </c>
      <c r="DG159" s="23" t="str">
        <f>[2]底表!ET159</f>
        <v>少1人</v>
      </c>
      <c r="DH159" s="21">
        <f>[2]底表!EU159</f>
        <v>4</v>
      </c>
      <c r="DI159" s="21" t="str">
        <f>[2]底表!EV159</f>
        <v>少4人</v>
      </c>
      <c r="DJ159" s="21" t="str">
        <f>[2]底表!EW159</f>
        <v/>
      </c>
      <c r="DK159" s="21" t="str">
        <f>[2]底表!EX159</f>
        <v/>
      </c>
      <c r="DL159" s="21" t="str">
        <f>[2]底表!EY159</f>
        <v/>
      </c>
      <c r="DM159" s="21" t="str">
        <f>[2]底表!EZ159</f>
        <v/>
      </c>
      <c r="DN159" s="21" t="str">
        <f>[2]底表!FA159</f>
        <v/>
      </c>
      <c r="DO159" s="21">
        <f>[2]底表!BQ159</f>
        <v>0</v>
      </c>
      <c r="DP159" s="21">
        <f>[2]底表!BR159</f>
        <v>1</v>
      </c>
      <c r="DQ159" s="24" t="str">
        <f>[2]底表!BS159</f>
        <v>少1起</v>
      </c>
    </row>
    <row r="160" s="2" customFormat="1" ht="32" hidden="1" customHeight="1" spans="1:121">
      <c r="A160" s="27" t="str">
        <f>[2]底表!A160</f>
        <v>寻衅滋事</v>
      </c>
      <c r="B160" s="28" t="str">
        <f>[2]底表!B160</f>
        <v>云城区</v>
      </c>
      <c r="C160" s="21">
        <f>[2]底表!AM160</f>
        <v>0</v>
      </c>
      <c r="D160" s="21">
        <f>[2]底表!AN160</f>
        <v>0</v>
      </c>
      <c r="E160" s="23" t="str">
        <f>[2]底表!AO160</f>
        <v>持平</v>
      </c>
      <c r="F160" s="21">
        <f>[2]底表!AP160</f>
        <v>0</v>
      </c>
      <c r="G160" s="21" t="str">
        <f>[2]底表!AQ160</f>
        <v>持平</v>
      </c>
      <c r="H160" s="21" t="str">
        <f>[2]底表!AR160</f>
        <v/>
      </c>
      <c r="I160" s="21" t="str">
        <f>[2]底表!AS160</f>
        <v/>
      </c>
      <c r="J160" s="21">
        <f>[2]底表!AT160</f>
        <v>0</v>
      </c>
      <c r="K160" s="21">
        <f>[2]底表!AU160</f>
        <v>0</v>
      </c>
      <c r="L160" s="21" t="str">
        <f>[2]底表!AV160</f>
        <v>持平</v>
      </c>
      <c r="M160" s="21">
        <f>[2]底表!AW160</f>
        <v>0</v>
      </c>
      <c r="N160" s="21" t="str">
        <f>[2]底表!AX160</f>
        <v>持平</v>
      </c>
      <c r="O160" s="21">
        <f>[2]底表!AY160</f>
        <v>0</v>
      </c>
      <c r="P160" s="21">
        <f>[2]底表!AZ160</f>
        <v>0</v>
      </c>
      <c r="Q160" s="21" t="str">
        <f>[2]底表!BA160</f>
        <v>持平</v>
      </c>
      <c r="R160" s="21">
        <f>[2]底表!BB160</f>
        <v>0</v>
      </c>
      <c r="S160" s="21" t="str">
        <f>[2]底表!BC160</f>
        <v>持平</v>
      </c>
      <c r="T160" s="21" t="str">
        <f>[2]底表!BD160</f>
        <v/>
      </c>
      <c r="U160" s="21" t="str">
        <f>[2]底表!BE160</f>
        <v/>
      </c>
      <c r="V160" s="21">
        <f>[2]底表!BF160</f>
        <v>0</v>
      </c>
      <c r="W160" s="21">
        <f>[2]底表!BG160</f>
        <v>0</v>
      </c>
      <c r="X160" s="21" t="str">
        <f>[2]底表!BH160</f>
        <v>持平</v>
      </c>
      <c r="Y160" s="21">
        <f>[2]底表!BI160</f>
        <v>0</v>
      </c>
      <c r="Z160" s="21" t="str">
        <f>[2]底表!BJ160</f>
        <v>持平</v>
      </c>
      <c r="AA160" s="21" t="str">
        <f>[2]底表!BK160</f>
        <v/>
      </c>
      <c r="AB160" s="21">
        <f>[2]底表!BL160</f>
        <v>0</v>
      </c>
      <c r="AC160" s="21">
        <f>[2]底表!BM160</f>
        <v>0</v>
      </c>
      <c r="AD160" s="21" t="str">
        <f>[2]底表!BN160</f>
        <v>持平</v>
      </c>
      <c r="AE160" s="21">
        <f>[2]底表!BO160</f>
        <v>0</v>
      </c>
      <c r="AF160" s="21" t="str">
        <f>[2]底表!BP160</f>
        <v>持平</v>
      </c>
      <c r="AG160" s="21">
        <f>[2]底表!BT160</f>
        <v>0</v>
      </c>
      <c r="AH160" s="21" t="str">
        <f>[2]底表!BU160</f>
        <v>持平</v>
      </c>
      <c r="AI160" s="21" t="str">
        <f>[2]底表!BV160</f>
        <v/>
      </c>
      <c r="AJ160" s="21" t="str">
        <f>[2]底表!BW160</f>
        <v/>
      </c>
      <c r="AK160" s="21" t="str">
        <f>[2]底表!BX160</f>
        <v/>
      </c>
      <c r="AL160" s="21" t="str">
        <f>[2]底表!BY160</f>
        <v/>
      </c>
      <c r="AM160" s="21">
        <f>[2]底表!BZ160</f>
        <v>0</v>
      </c>
      <c r="AN160" s="21">
        <f>[2]底表!CA160</f>
        <v>0</v>
      </c>
      <c r="AO160" s="21" t="str">
        <f>[2]底表!CB160</f>
        <v>持平</v>
      </c>
      <c r="AP160" s="21">
        <f>[2]底表!CC160</f>
        <v>0</v>
      </c>
      <c r="AQ160" s="21" t="str">
        <f>[2]底表!CD160</f>
        <v>持平</v>
      </c>
      <c r="AR160" s="21" t="str">
        <f>[2]底表!CE160</f>
        <v/>
      </c>
      <c r="AS160" s="21" t="str">
        <f>[2]底表!CF160</f>
        <v/>
      </c>
      <c r="AT160" s="21">
        <f>[2]底表!CG160</f>
        <v>0</v>
      </c>
      <c r="AU160" s="21">
        <f>[2]底表!CH160</f>
        <v>0</v>
      </c>
      <c r="AV160" s="21" t="str">
        <f>[2]底表!CI160</f>
        <v>持平</v>
      </c>
      <c r="AW160" s="21">
        <f>[2]底表!CJ160</f>
        <v>0</v>
      </c>
      <c r="AX160" s="21" t="str">
        <f>[2]底表!CK160</f>
        <v>持平</v>
      </c>
      <c r="AY160" s="21" t="str">
        <f>[2]底表!CL160</f>
        <v/>
      </c>
      <c r="AZ160" s="21" t="str">
        <f>[2]底表!CM160</f>
        <v/>
      </c>
      <c r="BA160" s="21" t="str">
        <f>[2]底表!CN160</f>
        <v/>
      </c>
      <c r="BB160" s="21">
        <f>[2]底表!CO160</f>
        <v>0</v>
      </c>
      <c r="BC160" s="21">
        <f>[2]底表!CP160</f>
        <v>0</v>
      </c>
      <c r="BD160" s="21" t="str">
        <f>[2]底表!CQ160</f>
        <v>持平</v>
      </c>
      <c r="BE160" s="21">
        <f>[2]底表!CR160</f>
        <v>0</v>
      </c>
      <c r="BF160" s="21" t="str">
        <f>[2]底表!CS160</f>
        <v>持平</v>
      </c>
      <c r="BG160" s="21" t="str">
        <f>[2]底表!CT160</f>
        <v/>
      </c>
      <c r="BH160" s="21" t="str">
        <f>[2]底表!CU160</f>
        <v/>
      </c>
      <c r="BI160" s="21" t="str">
        <f>[2]底表!CV160</f>
        <v/>
      </c>
      <c r="BJ160" s="21" t="str">
        <f>[2]底表!CW160</f>
        <v/>
      </c>
      <c r="BK160" s="21" t="str">
        <f>[2]底表!CX160</f>
        <v/>
      </c>
      <c r="BL160" s="21">
        <f>[2]底表!CY160</f>
        <v>0</v>
      </c>
      <c r="BM160" s="21">
        <f>[2]底表!CZ160</f>
        <v>0</v>
      </c>
      <c r="BN160" s="23" t="str">
        <f>[2]底表!DA160</f>
        <v>持平</v>
      </c>
      <c r="BO160" s="21">
        <f>[2]底表!DB160</f>
        <v>0</v>
      </c>
      <c r="BP160" s="21" t="str">
        <f>[2]底表!DC160</f>
        <v>持平</v>
      </c>
      <c r="BQ160" s="21" t="str">
        <f>[2]底表!DD160</f>
        <v/>
      </c>
      <c r="BR160" s="21" t="str">
        <f>[2]底表!DE160</f>
        <v/>
      </c>
      <c r="BS160" s="21" t="str">
        <f>[2]底表!DF160</f>
        <v/>
      </c>
      <c r="BT160" s="21" t="str">
        <f>[2]底表!DG160</f>
        <v/>
      </c>
      <c r="BU160" s="21" t="str">
        <f>[2]底表!DH160</f>
        <v/>
      </c>
      <c r="BV160" s="21">
        <f>[2]底表!DI160</f>
        <v>0</v>
      </c>
      <c r="BW160" s="21">
        <f>[2]底表!DJ160</f>
        <v>0</v>
      </c>
      <c r="BX160" s="23" t="str">
        <f>[2]底表!DK160</f>
        <v>持平</v>
      </c>
      <c r="BY160" s="21">
        <f>[2]底表!DL160</f>
        <v>0</v>
      </c>
      <c r="BZ160" s="21" t="str">
        <f>[2]底表!DM160</f>
        <v>持平</v>
      </c>
      <c r="CA160" s="21">
        <f>[2]底表!DN160</f>
        <v>0</v>
      </c>
      <c r="CB160" s="21">
        <f>[2]底表!DO160</f>
        <v>0</v>
      </c>
      <c r="CC160" s="21" t="str">
        <f>[2]底表!DP160</f>
        <v>持平</v>
      </c>
      <c r="CD160" s="21">
        <f>[2]底表!DQ160</f>
        <v>0</v>
      </c>
      <c r="CE160" s="21" t="str">
        <f>[2]底表!DR160</f>
        <v>持平</v>
      </c>
      <c r="CF160" s="21">
        <f>[2]底表!DS160</f>
        <v>0</v>
      </c>
      <c r="CG160" s="21">
        <f>[2]底表!DT160</f>
        <v>0</v>
      </c>
      <c r="CH160" s="21" t="str">
        <f>[2]底表!DU160</f>
        <v>持平</v>
      </c>
      <c r="CI160" s="21">
        <f>[2]底表!DV160</f>
        <v>0</v>
      </c>
      <c r="CJ160" s="21" t="str">
        <f>[2]底表!DW160</f>
        <v>持平</v>
      </c>
      <c r="CK160" s="21">
        <f>[2]底表!DX160</f>
        <v>0</v>
      </c>
      <c r="CL160" s="21">
        <f>[2]底表!DY160</f>
        <v>0</v>
      </c>
      <c r="CM160" s="21" t="str">
        <f>[2]底表!DZ160</f>
        <v>持平</v>
      </c>
      <c r="CN160" s="21">
        <f>[2]底表!EA160</f>
        <v>0</v>
      </c>
      <c r="CO160" s="21" t="str">
        <f>[2]底表!EB160</f>
        <v>持平</v>
      </c>
      <c r="CP160" s="21">
        <f>[2]底表!EC160</f>
        <v>0</v>
      </c>
      <c r="CQ160" s="21">
        <f>[2]底表!ED160</f>
        <v>0</v>
      </c>
      <c r="CR160" s="21" t="str">
        <f>[2]底表!EE160</f>
        <v>持平</v>
      </c>
      <c r="CS160" s="21">
        <f>[2]底表!EF160</f>
        <v>0</v>
      </c>
      <c r="CT160" s="21" t="str">
        <f>[2]底表!EG160</f>
        <v>持平</v>
      </c>
      <c r="CU160" s="21" t="str">
        <f>[2]底表!EH160</f>
        <v/>
      </c>
      <c r="CV160" s="21" t="str">
        <f>[2]底表!EI160</f>
        <v/>
      </c>
      <c r="CW160" s="21" t="str">
        <f>[2]底表!EJ160</f>
        <v/>
      </c>
      <c r="CX160" s="21" t="str">
        <f>[2]底表!EK160</f>
        <v/>
      </c>
      <c r="CY160" s="21" t="str">
        <f>[2]底表!EL160</f>
        <v/>
      </c>
      <c r="CZ160" s="21">
        <f>[2]底表!EM160</f>
        <v>0</v>
      </c>
      <c r="DA160" s="21">
        <f>[2]底表!EN160</f>
        <v>0</v>
      </c>
      <c r="DB160" s="21" t="str">
        <f>[2]底表!EO160</f>
        <v>持平</v>
      </c>
      <c r="DC160" s="21">
        <f>[2]底表!EP160</f>
        <v>0</v>
      </c>
      <c r="DD160" s="21" t="str">
        <f>[2]底表!EQ160</f>
        <v>持平</v>
      </c>
      <c r="DE160" s="21">
        <f>[2]底表!ER160</f>
        <v>0</v>
      </c>
      <c r="DF160" s="21">
        <f>[2]底表!ES160</f>
        <v>1</v>
      </c>
      <c r="DG160" s="23" t="str">
        <f>[2]底表!ET160</f>
        <v>少1人</v>
      </c>
      <c r="DH160" s="21">
        <f>[2]底表!EU160</f>
        <v>0</v>
      </c>
      <c r="DI160" s="21" t="str">
        <f>[2]底表!EV160</f>
        <v>持平</v>
      </c>
      <c r="DJ160" s="21" t="str">
        <f>[2]底表!EW160</f>
        <v/>
      </c>
      <c r="DK160" s="21" t="str">
        <f>[2]底表!EX160</f>
        <v/>
      </c>
      <c r="DL160" s="21" t="str">
        <f>[2]底表!EY160</f>
        <v/>
      </c>
      <c r="DM160" s="21" t="str">
        <f>[2]底表!EZ160</f>
        <v/>
      </c>
      <c r="DN160" s="21" t="str">
        <f>[2]底表!FA160</f>
        <v/>
      </c>
      <c r="DO160" s="21">
        <f>[2]底表!BQ160</f>
        <v>0</v>
      </c>
      <c r="DP160" s="21">
        <f>[2]底表!BR160</f>
        <v>1</v>
      </c>
      <c r="DQ160" s="24" t="str">
        <f>[2]底表!BS160</f>
        <v>少1起</v>
      </c>
    </row>
    <row r="161" s="2" customFormat="1" ht="32" hidden="1" customHeight="1" spans="1:121">
      <c r="A161" s="27" t="str">
        <f>[2]底表!A161</f>
        <v>寻衅滋事</v>
      </c>
      <c r="B161" s="28" t="str">
        <f>[2]底表!B161</f>
        <v>云安区</v>
      </c>
      <c r="C161" s="21">
        <f>[2]底表!AM161</f>
        <v>0</v>
      </c>
      <c r="D161" s="21">
        <f>[2]底表!AN161</f>
        <v>0</v>
      </c>
      <c r="E161" s="23" t="str">
        <f>[2]底表!AO161</f>
        <v>持平</v>
      </c>
      <c r="F161" s="21">
        <f>[2]底表!AP161</f>
        <v>0</v>
      </c>
      <c r="G161" s="21" t="str">
        <f>[2]底表!AQ161</f>
        <v>持平</v>
      </c>
      <c r="H161" s="21" t="str">
        <f>[2]底表!AR161</f>
        <v/>
      </c>
      <c r="I161" s="21" t="str">
        <f>[2]底表!AS161</f>
        <v/>
      </c>
      <c r="J161" s="21">
        <f>[2]底表!AT161</f>
        <v>0</v>
      </c>
      <c r="K161" s="21">
        <f>[2]底表!AU161</f>
        <v>0</v>
      </c>
      <c r="L161" s="21" t="str">
        <f>[2]底表!AV161</f>
        <v>持平</v>
      </c>
      <c r="M161" s="21">
        <f>[2]底表!AW161</f>
        <v>0</v>
      </c>
      <c r="N161" s="21" t="str">
        <f>[2]底表!AX161</f>
        <v>持平</v>
      </c>
      <c r="O161" s="21">
        <f>[2]底表!AY161</f>
        <v>0</v>
      </c>
      <c r="P161" s="21">
        <f>[2]底表!AZ161</f>
        <v>0</v>
      </c>
      <c r="Q161" s="21" t="str">
        <f>[2]底表!BA161</f>
        <v>持平</v>
      </c>
      <c r="R161" s="21">
        <f>[2]底表!BB161</f>
        <v>0</v>
      </c>
      <c r="S161" s="21" t="str">
        <f>[2]底表!BC161</f>
        <v>持平</v>
      </c>
      <c r="T161" s="21" t="str">
        <f>[2]底表!BD161</f>
        <v/>
      </c>
      <c r="U161" s="21" t="str">
        <f>[2]底表!BE161</f>
        <v/>
      </c>
      <c r="V161" s="21">
        <f>[2]底表!BF161</f>
        <v>0</v>
      </c>
      <c r="W161" s="21">
        <f>[2]底表!BG161</f>
        <v>0</v>
      </c>
      <c r="X161" s="21" t="str">
        <f>[2]底表!BH161</f>
        <v>持平</v>
      </c>
      <c r="Y161" s="21">
        <f>[2]底表!BI161</f>
        <v>0</v>
      </c>
      <c r="Z161" s="21" t="str">
        <f>[2]底表!BJ161</f>
        <v>持平</v>
      </c>
      <c r="AA161" s="21" t="str">
        <f>[2]底表!BK161</f>
        <v/>
      </c>
      <c r="AB161" s="21">
        <f>[2]底表!BL161</f>
        <v>0</v>
      </c>
      <c r="AC161" s="21">
        <f>[2]底表!BM161</f>
        <v>0</v>
      </c>
      <c r="AD161" s="21" t="str">
        <f>[2]底表!BN161</f>
        <v>持平</v>
      </c>
      <c r="AE161" s="21">
        <f>[2]底表!BO161</f>
        <v>0</v>
      </c>
      <c r="AF161" s="21" t="str">
        <f>[2]底表!BP161</f>
        <v>持平</v>
      </c>
      <c r="AG161" s="21">
        <f>[2]底表!BT161</f>
        <v>0</v>
      </c>
      <c r="AH161" s="21" t="str">
        <f>[2]底表!BU161</f>
        <v>持平</v>
      </c>
      <c r="AI161" s="21" t="str">
        <f>[2]底表!BV161</f>
        <v/>
      </c>
      <c r="AJ161" s="21" t="str">
        <f>[2]底表!BW161</f>
        <v/>
      </c>
      <c r="AK161" s="21" t="str">
        <f>[2]底表!BX161</f>
        <v/>
      </c>
      <c r="AL161" s="21" t="str">
        <f>[2]底表!BY161</f>
        <v/>
      </c>
      <c r="AM161" s="21">
        <f>[2]底表!BZ161</f>
        <v>0</v>
      </c>
      <c r="AN161" s="21">
        <f>[2]底表!CA161</f>
        <v>0</v>
      </c>
      <c r="AO161" s="21" t="str">
        <f>[2]底表!CB161</f>
        <v>持平</v>
      </c>
      <c r="AP161" s="21">
        <f>[2]底表!CC161</f>
        <v>0</v>
      </c>
      <c r="AQ161" s="21" t="str">
        <f>[2]底表!CD161</f>
        <v>持平</v>
      </c>
      <c r="AR161" s="21" t="str">
        <f>[2]底表!CE161</f>
        <v/>
      </c>
      <c r="AS161" s="21" t="str">
        <f>[2]底表!CF161</f>
        <v/>
      </c>
      <c r="AT161" s="21">
        <f>[2]底表!CG161</f>
        <v>0</v>
      </c>
      <c r="AU161" s="21">
        <f>[2]底表!CH161</f>
        <v>0</v>
      </c>
      <c r="AV161" s="21" t="str">
        <f>[2]底表!CI161</f>
        <v>持平</v>
      </c>
      <c r="AW161" s="21">
        <f>[2]底表!CJ161</f>
        <v>0</v>
      </c>
      <c r="AX161" s="21" t="str">
        <f>[2]底表!CK161</f>
        <v>持平</v>
      </c>
      <c r="AY161" s="21" t="str">
        <f>[2]底表!CL161</f>
        <v/>
      </c>
      <c r="AZ161" s="21" t="str">
        <f>[2]底表!CM161</f>
        <v/>
      </c>
      <c r="BA161" s="21" t="str">
        <f>[2]底表!CN161</f>
        <v/>
      </c>
      <c r="BB161" s="21">
        <f>[2]底表!CO161</f>
        <v>0</v>
      </c>
      <c r="BC161" s="21">
        <f>[2]底表!CP161</f>
        <v>0</v>
      </c>
      <c r="BD161" s="21" t="str">
        <f>[2]底表!CQ161</f>
        <v>持平</v>
      </c>
      <c r="BE161" s="21">
        <f>[2]底表!CR161</f>
        <v>0</v>
      </c>
      <c r="BF161" s="21" t="str">
        <f>[2]底表!CS161</f>
        <v>持平</v>
      </c>
      <c r="BG161" s="21" t="str">
        <f>[2]底表!CT161</f>
        <v/>
      </c>
      <c r="BH161" s="21" t="str">
        <f>[2]底表!CU161</f>
        <v/>
      </c>
      <c r="BI161" s="21" t="str">
        <f>[2]底表!CV161</f>
        <v/>
      </c>
      <c r="BJ161" s="21" t="str">
        <f>[2]底表!CW161</f>
        <v/>
      </c>
      <c r="BK161" s="21" t="str">
        <f>[2]底表!CX161</f>
        <v/>
      </c>
      <c r="BL161" s="21">
        <f>[2]底表!CY161</f>
        <v>0</v>
      </c>
      <c r="BM161" s="21">
        <f>[2]底表!CZ161</f>
        <v>0</v>
      </c>
      <c r="BN161" s="23" t="str">
        <f>[2]底表!DA161</f>
        <v>持平</v>
      </c>
      <c r="BO161" s="21">
        <f>[2]底表!DB161</f>
        <v>0</v>
      </c>
      <c r="BP161" s="21" t="str">
        <f>[2]底表!DC161</f>
        <v>持平</v>
      </c>
      <c r="BQ161" s="21" t="str">
        <f>[2]底表!DD161</f>
        <v/>
      </c>
      <c r="BR161" s="21" t="str">
        <f>[2]底表!DE161</f>
        <v/>
      </c>
      <c r="BS161" s="21" t="str">
        <f>[2]底表!DF161</f>
        <v/>
      </c>
      <c r="BT161" s="21" t="str">
        <f>[2]底表!DG161</f>
        <v/>
      </c>
      <c r="BU161" s="21" t="str">
        <f>[2]底表!DH161</f>
        <v/>
      </c>
      <c r="BV161" s="21">
        <f>[2]底表!DI161</f>
        <v>0</v>
      </c>
      <c r="BW161" s="21">
        <f>[2]底表!DJ161</f>
        <v>0</v>
      </c>
      <c r="BX161" s="23" t="str">
        <f>[2]底表!DK161</f>
        <v>持平</v>
      </c>
      <c r="BY161" s="21">
        <f>[2]底表!DL161</f>
        <v>0</v>
      </c>
      <c r="BZ161" s="21" t="str">
        <f>[2]底表!DM161</f>
        <v>持平</v>
      </c>
      <c r="CA161" s="21">
        <f>[2]底表!DN161</f>
        <v>0</v>
      </c>
      <c r="CB161" s="21">
        <f>[2]底表!DO161</f>
        <v>0</v>
      </c>
      <c r="CC161" s="21" t="str">
        <f>[2]底表!DP161</f>
        <v>持平</v>
      </c>
      <c r="CD161" s="21">
        <f>[2]底表!DQ161</f>
        <v>0</v>
      </c>
      <c r="CE161" s="21" t="str">
        <f>[2]底表!DR161</f>
        <v>持平</v>
      </c>
      <c r="CF161" s="21">
        <f>[2]底表!DS161</f>
        <v>0</v>
      </c>
      <c r="CG161" s="21">
        <f>[2]底表!DT161</f>
        <v>0</v>
      </c>
      <c r="CH161" s="21" t="str">
        <f>[2]底表!DU161</f>
        <v>持平</v>
      </c>
      <c r="CI161" s="21">
        <f>[2]底表!DV161</f>
        <v>0</v>
      </c>
      <c r="CJ161" s="21" t="str">
        <f>[2]底表!DW161</f>
        <v>持平</v>
      </c>
      <c r="CK161" s="21">
        <f>[2]底表!DX161</f>
        <v>0</v>
      </c>
      <c r="CL161" s="21">
        <f>[2]底表!DY161</f>
        <v>0</v>
      </c>
      <c r="CM161" s="21" t="str">
        <f>[2]底表!DZ161</f>
        <v>持平</v>
      </c>
      <c r="CN161" s="21">
        <f>[2]底表!EA161</f>
        <v>0</v>
      </c>
      <c r="CO161" s="21" t="str">
        <f>[2]底表!EB161</f>
        <v>持平</v>
      </c>
      <c r="CP161" s="21">
        <f>[2]底表!EC161</f>
        <v>0</v>
      </c>
      <c r="CQ161" s="21">
        <f>[2]底表!ED161</f>
        <v>0</v>
      </c>
      <c r="CR161" s="21" t="str">
        <f>[2]底表!EE161</f>
        <v>持平</v>
      </c>
      <c r="CS161" s="21">
        <f>[2]底表!EF161</f>
        <v>0</v>
      </c>
      <c r="CT161" s="21" t="str">
        <f>[2]底表!EG161</f>
        <v>持平</v>
      </c>
      <c r="CU161" s="21" t="str">
        <f>[2]底表!EH161</f>
        <v/>
      </c>
      <c r="CV161" s="21" t="str">
        <f>[2]底表!EI161</f>
        <v/>
      </c>
      <c r="CW161" s="21" t="str">
        <f>[2]底表!EJ161</f>
        <v/>
      </c>
      <c r="CX161" s="21" t="str">
        <f>[2]底表!EK161</f>
        <v/>
      </c>
      <c r="CY161" s="21" t="str">
        <f>[2]底表!EL161</f>
        <v/>
      </c>
      <c r="CZ161" s="21">
        <f>[2]底表!EM161</f>
        <v>0</v>
      </c>
      <c r="DA161" s="21">
        <f>[2]底表!EN161</f>
        <v>0</v>
      </c>
      <c r="DB161" s="21" t="str">
        <f>[2]底表!EO161</f>
        <v>持平</v>
      </c>
      <c r="DC161" s="21">
        <f>[2]底表!EP161</f>
        <v>0</v>
      </c>
      <c r="DD161" s="21" t="str">
        <f>[2]底表!EQ161</f>
        <v>持平</v>
      </c>
      <c r="DE161" s="21">
        <f>[2]底表!ER161</f>
        <v>0</v>
      </c>
      <c r="DF161" s="21">
        <f>[2]底表!ES161</f>
        <v>0</v>
      </c>
      <c r="DG161" s="23" t="str">
        <f>[2]底表!ET161</f>
        <v>持平</v>
      </c>
      <c r="DH161" s="21">
        <f>[2]底表!EU161</f>
        <v>0</v>
      </c>
      <c r="DI161" s="21" t="str">
        <f>[2]底表!EV161</f>
        <v>持平</v>
      </c>
      <c r="DJ161" s="21" t="str">
        <f>[2]底表!EW161</f>
        <v/>
      </c>
      <c r="DK161" s="21" t="str">
        <f>[2]底表!EX161</f>
        <v/>
      </c>
      <c r="DL161" s="21" t="str">
        <f>[2]底表!EY161</f>
        <v/>
      </c>
      <c r="DM161" s="21" t="str">
        <f>[2]底表!EZ161</f>
        <v/>
      </c>
      <c r="DN161" s="21" t="str">
        <f>[2]底表!FA161</f>
        <v/>
      </c>
      <c r="DO161" s="21">
        <f>[2]底表!BQ161</f>
        <v>0</v>
      </c>
      <c r="DP161" s="21">
        <f>[2]底表!BR161</f>
        <v>0</v>
      </c>
      <c r="DQ161" s="24" t="str">
        <f>[2]底表!BS161</f>
        <v>持平</v>
      </c>
    </row>
    <row r="162" s="2" customFormat="1" ht="32" hidden="1" customHeight="1" spans="1:121">
      <c r="A162" s="27" t="str">
        <f>[2]底表!A162</f>
        <v>寻衅滋事</v>
      </c>
      <c r="B162" s="28" t="str">
        <f>[2]底表!B162</f>
        <v>新兴县</v>
      </c>
      <c r="C162" s="21">
        <f>[2]底表!AM162</f>
        <v>0</v>
      </c>
      <c r="D162" s="21">
        <f>[2]底表!AN162</f>
        <v>0</v>
      </c>
      <c r="E162" s="23" t="str">
        <f>[2]底表!AO162</f>
        <v>持平</v>
      </c>
      <c r="F162" s="21">
        <f>[2]底表!AP162</f>
        <v>0</v>
      </c>
      <c r="G162" s="21" t="str">
        <f>[2]底表!AQ162</f>
        <v>持平</v>
      </c>
      <c r="H162" s="21" t="str">
        <f>[2]底表!AR162</f>
        <v/>
      </c>
      <c r="I162" s="21" t="str">
        <f>[2]底表!AS162</f>
        <v/>
      </c>
      <c r="J162" s="21">
        <f>[2]底表!AT162</f>
        <v>0</v>
      </c>
      <c r="K162" s="21">
        <f>[2]底表!AU162</f>
        <v>0</v>
      </c>
      <c r="L162" s="21" t="str">
        <f>[2]底表!AV162</f>
        <v>持平</v>
      </c>
      <c r="M162" s="21">
        <f>[2]底表!AW162</f>
        <v>0</v>
      </c>
      <c r="N162" s="21" t="str">
        <f>[2]底表!AX162</f>
        <v>持平</v>
      </c>
      <c r="O162" s="21">
        <f>[2]底表!AY162</f>
        <v>0</v>
      </c>
      <c r="P162" s="21">
        <f>[2]底表!AZ162</f>
        <v>0</v>
      </c>
      <c r="Q162" s="21" t="str">
        <f>[2]底表!BA162</f>
        <v>持平</v>
      </c>
      <c r="R162" s="21">
        <f>[2]底表!BB162</f>
        <v>0</v>
      </c>
      <c r="S162" s="21" t="str">
        <f>[2]底表!BC162</f>
        <v>持平</v>
      </c>
      <c r="T162" s="21" t="str">
        <f>[2]底表!BD162</f>
        <v/>
      </c>
      <c r="U162" s="21" t="str">
        <f>[2]底表!BE162</f>
        <v/>
      </c>
      <c r="V162" s="21">
        <f>[2]底表!BF162</f>
        <v>0</v>
      </c>
      <c r="W162" s="21">
        <f>[2]底表!BG162</f>
        <v>1</v>
      </c>
      <c r="X162" s="21" t="str">
        <f>[2]底表!BH162</f>
        <v>少1起</v>
      </c>
      <c r="Y162" s="21">
        <f>[2]底表!BI162</f>
        <v>0</v>
      </c>
      <c r="Z162" s="21" t="str">
        <f>[2]底表!BJ162</f>
        <v>持平</v>
      </c>
      <c r="AA162" s="21" t="str">
        <f>[2]底表!BK162</f>
        <v/>
      </c>
      <c r="AB162" s="21">
        <f>[2]底表!BL162</f>
        <v>0</v>
      </c>
      <c r="AC162" s="21">
        <f>[2]底表!BM162</f>
        <v>0</v>
      </c>
      <c r="AD162" s="21" t="str">
        <f>[2]底表!BN162</f>
        <v>持平</v>
      </c>
      <c r="AE162" s="21">
        <f>[2]底表!BO162</f>
        <v>0</v>
      </c>
      <c r="AF162" s="21" t="str">
        <f>[2]底表!BP162</f>
        <v>持平</v>
      </c>
      <c r="AG162" s="21">
        <f>[2]底表!BT162</f>
        <v>0</v>
      </c>
      <c r="AH162" s="21" t="str">
        <f>[2]底表!BU162</f>
        <v>持平</v>
      </c>
      <c r="AI162" s="21" t="str">
        <f>[2]底表!BV162</f>
        <v/>
      </c>
      <c r="AJ162" s="21" t="str">
        <f>[2]底表!BW162</f>
        <v/>
      </c>
      <c r="AK162" s="21" t="str">
        <f>[2]底表!BX162</f>
        <v/>
      </c>
      <c r="AL162" s="21" t="str">
        <f>[2]底表!BY162</f>
        <v/>
      </c>
      <c r="AM162" s="21">
        <f>[2]底表!BZ162</f>
        <v>0</v>
      </c>
      <c r="AN162" s="21">
        <f>[2]底表!CA162</f>
        <v>0</v>
      </c>
      <c r="AO162" s="21" t="str">
        <f>[2]底表!CB162</f>
        <v>持平</v>
      </c>
      <c r="AP162" s="21">
        <f>[2]底表!CC162</f>
        <v>0</v>
      </c>
      <c r="AQ162" s="21" t="str">
        <f>[2]底表!CD162</f>
        <v>持平</v>
      </c>
      <c r="AR162" s="21" t="str">
        <f>[2]底表!CE162</f>
        <v/>
      </c>
      <c r="AS162" s="21" t="str">
        <f>[2]底表!CF162</f>
        <v/>
      </c>
      <c r="AT162" s="21">
        <f>[2]底表!CG162</f>
        <v>0</v>
      </c>
      <c r="AU162" s="21">
        <f>[2]底表!CH162</f>
        <v>0</v>
      </c>
      <c r="AV162" s="21" t="str">
        <f>[2]底表!CI162</f>
        <v>持平</v>
      </c>
      <c r="AW162" s="21">
        <f>[2]底表!CJ162</f>
        <v>0</v>
      </c>
      <c r="AX162" s="21" t="str">
        <f>[2]底表!CK162</f>
        <v>持平</v>
      </c>
      <c r="AY162" s="21" t="str">
        <f>[2]底表!CL162</f>
        <v/>
      </c>
      <c r="AZ162" s="21" t="str">
        <f>[2]底表!CM162</f>
        <v/>
      </c>
      <c r="BA162" s="21" t="str">
        <f>[2]底表!CN162</f>
        <v/>
      </c>
      <c r="BB162" s="21">
        <f>[2]底表!CO162</f>
        <v>0</v>
      </c>
      <c r="BC162" s="21">
        <f>[2]底表!CP162</f>
        <v>4</v>
      </c>
      <c r="BD162" s="21" t="str">
        <f>[2]底表!CQ162</f>
        <v>少4人</v>
      </c>
      <c r="BE162" s="21">
        <f>[2]底表!CR162</f>
        <v>0</v>
      </c>
      <c r="BF162" s="21" t="str">
        <f>[2]底表!CS162</f>
        <v>持平</v>
      </c>
      <c r="BG162" s="21" t="str">
        <f>[2]底表!CT162</f>
        <v/>
      </c>
      <c r="BH162" s="21" t="str">
        <f>[2]底表!CU162</f>
        <v/>
      </c>
      <c r="BI162" s="21" t="str">
        <f>[2]底表!CV162</f>
        <v/>
      </c>
      <c r="BJ162" s="21" t="str">
        <f>[2]底表!CW162</f>
        <v/>
      </c>
      <c r="BK162" s="21" t="str">
        <f>[2]底表!CX162</f>
        <v/>
      </c>
      <c r="BL162" s="21">
        <f>[2]底表!CY162</f>
        <v>0</v>
      </c>
      <c r="BM162" s="21">
        <f>[2]底表!CZ162</f>
        <v>4</v>
      </c>
      <c r="BN162" s="23" t="str">
        <f>[2]底表!DA162</f>
        <v>少4人</v>
      </c>
      <c r="BO162" s="21">
        <f>[2]底表!DB162</f>
        <v>0</v>
      </c>
      <c r="BP162" s="21" t="str">
        <f>[2]底表!DC162</f>
        <v>持平</v>
      </c>
      <c r="BQ162" s="21" t="str">
        <f>[2]底表!DD162</f>
        <v/>
      </c>
      <c r="BR162" s="21" t="str">
        <f>[2]底表!DE162</f>
        <v/>
      </c>
      <c r="BS162" s="21" t="str">
        <f>[2]底表!DF162</f>
        <v/>
      </c>
      <c r="BT162" s="21" t="str">
        <f>[2]底表!DG162</f>
        <v/>
      </c>
      <c r="BU162" s="21" t="str">
        <f>[2]底表!DH162</f>
        <v/>
      </c>
      <c r="BV162" s="21">
        <f>[2]底表!DI162</f>
        <v>0</v>
      </c>
      <c r="BW162" s="21">
        <f>[2]底表!DJ162</f>
        <v>2</v>
      </c>
      <c r="BX162" s="23" t="str">
        <f>[2]底表!DK162</f>
        <v>少2人</v>
      </c>
      <c r="BY162" s="21">
        <f>[2]底表!DL162</f>
        <v>0</v>
      </c>
      <c r="BZ162" s="21" t="str">
        <f>[2]底表!DM162</f>
        <v>持平</v>
      </c>
      <c r="CA162" s="21">
        <f>[2]底表!DN162</f>
        <v>0</v>
      </c>
      <c r="CB162" s="21">
        <f>[2]底表!DO162</f>
        <v>0</v>
      </c>
      <c r="CC162" s="21" t="str">
        <f>[2]底表!DP162</f>
        <v>持平</v>
      </c>
      <c r="CD162" s="21">
        <f>[2]底表!DQ162</f>
        <v>0</v>
      </c>
      <c r="CE162" s="21" t="str">
        <f>[2]底表!DR162</f>
        <v>持平</v>
      </c>
      <c r="CF162" s="21">
        <f>[2]底表!DS162</f>
        <v>0</v>
      </c>
      <c r="CG162" s="21">
        <f>[2]底表!DT162</f>
        <v>0</v>
      </c>
      <c r="CH162" s="21" t="str">
        <f>[2]底表!DU162</f>
        <v>持平</v>
      </c>
      <c r="CI162" s="21">
        <f>[2]底表!DV162</f>
        <v>0</v>
      </c>
      <c r="CJ162" s="21" t="str">
        <f>[2]底表!DW162</f>
        <v>持平</v>
      </c>
      <c r="CK162" s="21">
        <f>[2]底表!DX162</f>
        <v>0</v>
      </c>
      <c r="CL162" s="21">
        <f>[2]底表!DY162</f>
        <v>0</v>
      </c>
      <c r="CM162" s="21" t="str">
        <f>[2]底表!DZ162</f>
        <v>持平</v>
      </c>
      <c r="CN162" s="21">
        <f>[2]底表!EA162</f>
        <v>0</v>
      </c>
      <c r="CO162" s="21" t="str">
        <f>[2]底表!EB162</f>
        <v>持平</v>
      </c>
      <c r="CP162" s="21">
        <f>[2]底表!EC162</f>
        <v>0</v>
      </c>
      <c r="CQ162" s="21">
        <f>[2]底表!ED162</f>
        <v>0</v>
      </c>
      <c r="CR162" s="21" t="str">
        <f>[2]底表!EE162</f>
        <v>持平</v>
      </c>
      <c r="CS162" s="21">
        <f>[2]底表!EF162</f>
        <v>0</v>
      </c>
      <c r="CT162" s="21" t="str">
        <f>[2]底表!EG162</f>
        <v>持平</v>
      </c>
      <c r="CU162" s="21" t="str">
        <f>[2]底表!EH162</f>
        <v/>
      </c>
      <c r="CV162" s="21" t="str">
        <f>[2]底表!EI162</f>
        <v/>
      </c>
      <c r="CW162" s="21" t="str">
        <f>[2]底表!EJ162</f>
        <v/>
      </c>
      <c r="CX162" s="21" t="str">
        <f>[2]底表!EK162</f>
        <v/>
      </c>
      <c r="CY162" s="21" t="str">
        <f>[2]底表!EL162</f>
        <v/>
      </c>
      <c r="CZ162" s="21">
        <f>[2]底表!EM162</f>
        <v>0</v>
      </c>
      <c r="DA162" s="21">
        <f>[2]底表!EN162</f>
        <v>0</v>
      </c>
      <c r="DB162" s="21" t="str">
        <f>[2]底表!EO162</f>
        <v>持平</v>
      </c>
      <c r="DC162" s="21">
        <f>[2]底表!EP162</f>
        <v>0</v>
      </c>
      <c r="DD162" s="21" t="str">
        <f>[2]底表!EQ162</f>
        <v>持平</v>
      </c>
      <c r="DE162" s="21">
        <f>[2]底表!ER162</f>
        <v>0</v>
      </c>
      <c r="DF162" s="21">
        <f>[2]底表!ES162</f>
        <v>0</v>
      </c>
      <c r="DG162" s="23" t="str">
        <f>[2]底表!ET162</f>
        <v>持平</v>
      </c>
      <c r="DH162" s="21">
        <f>[2]底表!EU162</f>
        <v>1</v>
      </c>
      <c r="DI162" s="21" t="str">
        <f>[2]底表!EV162</f>
        <v>少1人</v>
      </c>
      <c r="DJ162" s="21" t="str">
        <f>[2]底表!EW162</f>
        <v/>
      </c>
      <c r="DK162" s="21" t="str">
        <f>[2]底表!EX162</f>
        <v/>
      </c>
      <c r="DL162" s="21" t="str">
        <f>[2]底表!EY162</f>
        <v/>
      </c>
      <c r="DM162" s="21" t="str">
        <f>[2]底表!EZ162</f>
        <v/>
      </c>
      <c r="DN162" s="21" t="str">
        <f>[2]底表!FA162</f>
        <v/>
      </c>
      <c r="DO162" s="21">
        <f>[2]底表!BQ162</f>
        <v>0</v>
      </c>
      <c r="DP162" s="21">
        <f>[2]底表!BR162</f>
        <v>0</v>
      </c>
      <c r="DQ162" s="24" t="str">
        <f>[2]底表!BS162</f>
        <v>持平</v>
      </c>
    </row>
    <row r="163" s="2" customFormat="1" ht="32" hidden="1" customHeight="1" spans="1:121">
      <c r="A163" s="27" t="str">
        <f>[2]底表!A163</f>
        <v>寻衅滋事</v>
      </c>
      <c r="B163" s="28" t="str">
        <f>[2]底表!B163</f>
        <v>郁南县</v>
      </c>
      <c r="C163" s="21">
        <f>[2]底表!AM163</f>
        <v>0</v>
      </c>
      <c r="D163" s="21">
        <f>[2]底表!AN163</f>
        <v>0</v>
      </c>
      <c r="E163" s="23" t="str">
        <f>[2]底表!AO163</f>
        <v>持平</v>
      </c>
      <c r="F163" s="21">
        <f>[2]底表!AP163</f>
        <v>0</v>
      </c>
      <c r="G163" s="21" t="str">
        <f>[2]底表!AQ163</f>
        <v>持平</v>
      </c>
      <c r="H163" s="21" t="str">
        <f>[2]底表!AR163</f>
        <v/>
      </c>
      <c r="I163" s="21" t="str">
        <f>[2]底表!AS163</f>
        <v/>
      </c>
      <c r="J163" s="21">
        <f>[2]底表!AT163</f>
        <v>0</v>
      </c>
      <c r="K163" s="21">
        <f>[2]底表!AU163</f>
        <v>0</v>
      </c>
      <c r="L163" s="21" t="str">
        <f>[2]底表!AV163</f>
        <v>持平</v>
      </c>
      <c r="M163" s="21">
        <f>[2]底表!AW163</f>
        <v>0</v>
      </c>
      <c r="N163" s="21" t="str">
        <f>[2]底表!AX163</f>
        <v>持平</v>
      </c>
      <c r="O163" s="21">
        <f>[2]底表!AY163</f>
        <v>0</v>
      </c>
      <c r="P163" s="21">
        <f>[2]底表!AZ163</f>
        <v>0</v>
      </c>
      <c r="Q163" s="21" t="str">
        <f>[2]底表!BA163</f>
        <v>持平</v>
      </c>
      <c r="R163" s="21">
        <f>[2]底表!BB163</f>
        <v>0</v>
      </c>
      <c r="S163" s="21" t="str">
        <f>[2]底表!BC163</f>
        <v>持平</v>
      </c>
      <c r="T163" s="21" t="str">
        <f>[2]底表!BD163</f>
        <v/>
      </c>
      <c r="U163" s="21" t="str">
        <f>[2]底表!BE163</f>
        <v/>
      </c>
      <c r="V163" s="21">
        <f>[2]底表!BF163</f>
        <v>0</v>
      </c>
      <c r="W163" s="21">
        <f>[2]底表!BG163</f>
        <v>0</v>
      </c>
      <c r="X163" s="21" t="str">
        <f>[2]底表!BH163</f>
        <v>持平</v>
      </c>
      <c r="Y163" s="21">
        <f>[2]底表!BI163</f>
        <v>0</v>
      </c>
      <c r="Z163" s="21" t="str">
        <f>[2]底表!BJ163</f>
        <v>持平</v>
      </c>
      <c r="AA163" s="21" t="str">
        <f>[2]底表!BK163</f>
        <v/>
      </c>
      <c r="AB163" s="21">
        <f>[2]底表!BL163</f>
        <v>0</v>
      </c>
      <c r="AC163" s="21">
        <f>[2]底表!BM163</f>
        <v>0</v>
      </c>
      <c r="AD163" s="21" t="str">
        <f>[2]底表!BN163</f>
        <v>持平</v>
      </c>
      <c r="AE163" s="21">
        <f>[2]底表!BO163</f>
        <v>0</v>
      </c>
      <c r="AF163" s="21" t="str">
        <f>[2]底表!BP163</f>
        <v>持平</v>
      </c>
      <c r="AG163" s="21">
        <f>[2]底表!BT163</f>
        <v>0</v>
      </c>
      <c r="AH163" s="21" t="str">
        <f>[2]底表!BU163</f>
        <v>持平</v>
      </c>
      <c r="AI163" s="21" t="str">
        <f>[2]底表!BV163</f>
        <v/>
      </c>
      <c r="AJ163" s="21" t="str">
        <f>[2]底表!BW163</f>
        <v/>
      </c>
      <c r="AK163" s="21" t="str">
        <f>[2]底表!BX163</f>
        <v/>
      </c>
      <c r="AL163" s="21" t="str">
        <f>[2]底表!BY163</f>
        <v/>
      </c>
      <c r="AM163" s="21">
        <f>[2]底表!BZ163</f>
        <v>0</v>
      </c>
      <c r="AN163" s="21">
        <f>[2]底表!CA163</f>
        <v>0</v>
      </c>
      <c r="AO163" s="21" t="str">
        <f>[2]底表!CB163</f>
        <v>持平</v>
      </c>
      <c r="AP163" s="21">
        <f>[2]底表!CC163</f>
        <v>0</v>
      </c>
      <c r="AQ163" s="21" t="str">
        <f>[2]底表!CD163</f>
        <v>持平</v>
      </c>
      <c r="AR163" s="21" t="str">
        <f>[2]底表!CE163</f>
        <v/>
      </c>
      <c r="AS163" s="21" t="str">
        <f>[2]底表!CF163</f>
        <v/>
      </c>
      <c r="AT163" s="21">
        <f>[2]底表!CG163</f>
        <v>0</v>
      </c>
      <c r="AU163" s="21">
        <f>[2]底表!CH163</f>
        <v>0</v>
      </c>
      <c r="AV163" s="21" t="str">
        <f>[2]底表!CI163</f>
        <v>持平</v>
      </c>
      <c r="AW163" s="21">
        <f>[2]底表!CJ163</f>
        <v>0</v>
      </c>
      <c r="AX163" s="21" t="str">
        <f>[2]底表!CK163</f>
        <v>持平</v>
      </c>
      <c r="AY163" s="21" t="str">
        <f>[2]底表!CL163</f>
        <v/>
      </c>
      <c r="AZ163" s="21" t="str">
        <f>[2]底表!CM163</f>
        <v/>
      </c>
      <c r="BA163" s="21" t="str">
        <f>[2]底表!CN163</f>
        <v/>
      </c>
      <c r="BB163" s="21">
        <f>[2]底表!CO163</f>
        <v>0</v>
      </c>
      <c r="BC163" s="21">
        <f>[2]底表!CP163</f>
        <v>0</v>
      </c>
      <c r="BD163" s="21" t="str">
        <f>[2]底表!CQ163</f>
        <v>持平</v>
      </c>
      <c r="BE163" s="21">
        <f>[2]底表!CR163</f>
        <v>0</v>
      </c>
      <c r="BF163" s="21" t="str">
        <f>[2]底表!CS163</f>
        <v>持平</v>
      </c>
      <c r="BG163" s="21" t="str">
        <f>[2]底表!CT163</f>
        <v/>
      </c>
      <c r="BH163" s="21" t="str">
        <f>[2]底表!CU163</f>
        <v/>
      </c>
      <c r="BI163" s="21" t="str">
        <f>[2]底表!CV163</f>
        <v/>
      </c>
      <c r="BJ163" s="21" t="str">
        <f>[2]底表!CW163</f>
        <v/>
      </c>
      <c r="BK163" s="21" t="str">
        <f>[2]底表!CX163</f>
        <v/>
      </c>
      <c r="BL163" s="21">
        <f>[2]底表!CY163</f>
        <v>0</v>
      </c>
      <c r="BM163" s="21">
        <f>[2]底表!CZ163</f>
        <v>0</v>
      </c>
      <c r="BN163" s="23" t="str">
        <f>[2]底表!DA163</f>
        <v>持平</v>
      </c>
      <c r="BO163" s="21">
        <f>[2]底表!DB163</f>
        <v>0</v>
      </c>
      <c r="BP163" s="21" t="str">
        <f>[2]底表!DC163</f>
        <v>持平</v>
      </c>
      <c r="BQ163" s="21" t="str">
        <f>[2]底表!DD163</f>
        <v/>
      </c>
      <c r="BR163" s="21" t="str">
        <f>[2]底表!DE163</f>
        <v/>
      </c>
      <c r="BS163" s="21" t="str">
        <f>[2]底表!DF163</f>
        <v/>
      </c>
      <c r="BT163" s="21" t="str">
        <f>[2]底表!DG163</f>
        <v/>
      </c>
      <c r="BU163" s="21" t="str">
        <f>[2]底表!DH163</f>
        <v/>
      </c>
      <c r="BV163" s="21">
        <f>[2]底表!DI163</f>
        <v>0</v>
      </c>
      <c r="BW163" s="21">
        <f>[2]底表!DJ163</f>
        <v>0</v>
      </c>
      <c r="BX163" s="23" t="str">
        <f>[2]底表!DK163</f>
        <v>持平</v>
      </c>
      <c r="BY163" s="21">
        <f>[2]底表!DL163</f>
        <v>0</v>
      </c>
      <c r="BZ163" s="21" t="str">
        <f>[2]底表!DM163</f>
        <v>持平</v>
      </c>
      <c r="CA163" s="21">
        <f>[2]底表!DN163</f>
        <v>0</v>
      </c>
      <c r="CB163" s="21">
        <f>[2]底表!DO163</f>
        <v>0</v>
      </c>
      <c r="CC163" s="21" t="str">
        <f>[2]底表!DP163</f>
        <v>持平</v>
      </c>
      <c r="CD163" s="21">
        <f>[2]底表!DQ163</f>
        <v>0</v>
      </c>
      <c r="CE163" s="21" t="str">
        <f>[2]底表!DR163</f>
        <v>持平</v>
      </c>
      <c r="CF163" s="21">
        <f>[2]底表!DS163</f>
        <v>0</v>
      </c>
      <c r="CG163" s="21">
        <f>[2]底表!DT163</f>
        <v>0</v>
      </c>
      <c r="CH163" s="21" t="str">
        <f>[2]底表!DU163</f>
        <v>持平</v>
      </c>
      <c r="CI163" s="21">
        <f>[2]底表!DV163</f>
        <v>0</v>
      </c>
      <c r="CJ163" s="21" t="str">
        <f>[2]底表!DW163</f>
        <v>持平</v>
      </c>
      <c r="CK163" s="21">
        <f>[2]底表!DX163</f>
        <v>0</v>
      </c>
      <c r="CL163" s="21">
        <f>[2]底表!DY163</f>
        <v>0</v>
      </c>
      <c r="CM163" s="21" t="str">
        <f>[2]底表!DZ163</f>
        <v>持平</v>
      </c>
      <c r="CN163" s="21">
        <f>[2]底表!EA163</f>
        <v>0</v>
      </c>
      <c r="CO163" s="21" t="str">
        <f>[2]底表!EB163</f>
        <v>持平</v>
      </c>
      <c r="CP163" s="21">
        <f>[2]底表!EC163</f>
        <v>0</v>
      </c>
      <c r="CQ163" s="21">
        <f>[2]底表!ED163</f>
        <v>0</v>
      </c>
      <c r="CR163" s="21" t="str">
        <f>[2]底表!EE163</f>
        <v>持平</v>
      </c>
      <c r="CS163" s="21">
        <f>[2]底表!EF163</f>
        <v>0</v>
      </c>
      <c r="CT163" s="21" t="str">
        <f>[2]底表!EG163</f>
        <v>持平</v>
      </c>
      <c r="CU163" s="21" t="str">
        <f>[2]底表!EH163</f>
        <v/>
      </c>
      <c r="CV163" s="21" t="str">
        <f>[2]底表!EI163</f>
        <v/>
      </c>
      <c r="CW163" s="21" t="str">
        <f>[2]底表!EJ163</f>
        <v/>
      </c>
      <c r="CX163" s="21" t="str">
        <f>[2]底表!EK163</f>
        <v/>
      </c>
      <c r="CY163" s="21" t="str">
        <f>[2]底表!EL163</f>
        <v/>
      </c>
      <c r="CZ163" s="21">
        <f>[2]底表!EM163</f>
        <v>0</v>
      </c>
      <c r="DA163" s="21">
        <f>[2]底表!EN163</f>
        <v>0</v>
      </c>
      <c r="DB163" s="21" t="str">
        <f>[2]底表!EO163</f>
        <v>持平</v>
      </c>
      <c r="DC163" s="21">
        <f>[2]底表!EP163</f>
        <v>0</v>
      </c>
      <c r="DD163" s="21" t="str">
        <f>[2]底表!EQ163</f>
        <v>持平</v>
      </c>
      <c r="DE163" s="21">
        <f>[2]底表!ER163</f>
        <v>0</v>
      </c>
      <c r="DF163" s="21">
        <f>[2]底表!ES163</f>
        <v>0</v>
      </c>
      <c r="DG163" s="23" t="str">
        <f>[2]底表!ET163</f>
        <v>持平</v>
      </c>
      <c r="DH163" s="21">
        <f>[2]底表!EU163</f>
        <v>0</v>
      </c>
      <c r="DI163" s="21" t="str">
        <f>[2]底表!EV163</f>
        <v>持平</v>
      </c>
      <c r="DJ163" s="21" t="str">
        <f>[2]底表!EW163</f>
        <v/>
      </c>
      <c r="DK163" s="21" t="str">
        <f>[2]底表!EX163</f>
        <v/>
      </c>
      <c r="DL163" s="21" t="str">
        <f>[2]底表!EY163</f>
        <v/>
      </c>
      <c r="DM163" s="21" t="str">
        <f>[2]底表!EZ163</f>
        <v/>
      </c>
      <c r="DN163" s="21" t="str">
        <f>[2]底表!FA163</f>
        <v/>
      </c>
      <c r="DO163" s="21">
        <f>[2]底表!BQ163</f>
        <v>0</v>
      </c>
      <c r="DP163" s="21">
        <f>[2]底表!BR163</f>
        <v>0</v>
      </c>
      <c r="DQ163" s="24" t="str">
        <f>[2]底表!BS163</f>
        <v>持平</v>
      </c>
    </row>
    <row r="164" s="2" customFormat="1" ht="32" hidden="1" customHeight="1" spans="1:121">
      <c r="A164" s="27" t="str">
        <f>[2]底表!A164</f>
        <v>寻衅滋事</v>
      </c>
      <c r="B164" s="28" t="str">
        <f>[2]底表!B164</f>
        <v>罗定市</v>
      </c>
      <c r="C164" s="21">
        <f>[2]底表!AM164</f>
        <v>1</v>
      </c>
      <c r="D164" s="21">
        <f>[2]底表!AN164</f>
        <v>0</v>
      </c>
      <c r="E164" s="23" t="str">
        <f>[2]底表!AO164</f>
        <v>多1起</v>
      </c>
      <c r="F164" s="21">
        <f>[2]底表!AP164</f>
        <v>1</v>
      </c>
      <c r="G164" s="21">
        <f>[2]底表!AQ164</f>
        <v>0</v>
      </c>
      <c r="H164" s="21" t="str">
        <f>[2]底表!AR164</f>
        <v/>
      </c>
      <c r="I164" s="21" t="str">
        <f>[2]底表!AS164</f>
        <v/>
      </c>
      <c r="J164" s="21">
        <f>[2]底表!AT164</f>
        <v>0</v>
      </c>
      <c r="K164" s="21">
        <f>[2]底表!AU164</f>
        <v>0</v>
      </c>
      <c r="L164" s="21" t="str">
        <f>[2]底表!AV164</f>
        <v>持平</v>
      </c>
      <c r="M164" s="21">
        <f>[2]底表!AW164</f>
        <v>0</v>
      </c>
      <c r="N164" s="21" t="str">
        <f>[2]底表!AX164</f>
        <v>持平</v>
      </c>
      <c r="O164" s="21">
        <f>[2]底表!AY164</f>
        <v>0</v>
      </c>
      <c r="P164" s="21">
        <f>[2]底表!AZ164</f>
        <v>0</v>
      </c>
      <c r="Q164" s="21" t="str">
        <f>[2]底表!BA164</f>
        <v>持平</v>
      </c>
      <c r="R164" s="21">
        <f>[2]底表!BB164</f>
        <v>0</v>
      </c>
      <c r="S164" s="21" t="str">
        <f>[2]底表!BC164</f>
        <v>持平</v>
      </c>
      <c r="T164" s="21" t="str">
        <f>[2]底表!BD164</f>
        <v/>
      </c>
      <c r="U164" s="21" t="str">
        <f>[2]底表!BE164</f>
        <v/>
      </c>
      <c r="V164" s="21">
        <f>[2]底表!BF164</f>
        <v>0</v>
      </c>
      <c r="W164" s="21">
        <f>[2]底表!BG164</f>
        <v>0</v>
      </c>
      <c r="X164" s="21" t="str">
        <f>[2]底表!BH164</f>
        <v>持平</v>
      </c>
      <c r="Y164" s="21">
        <f>[2]底表!BI164</f>
        <v>0</v>
      </c>
      <c r="Z164" s="21" t="str">
        <f>[2]底表!BJ164</f>
        <v>持平</v>
      </c>
      <c r="AA164" s="21" t="str">
        <f>[2]底表!BK164</f>
        <v/>
      </c>
      <c r="AB164" s="21">
        <f>[2]底表!BL164</f>
        <v>1</v>
      </c>
      <c r="AC164" s="21">
        <f>[2]底表!BM164</f>
        <v>0</v>
      </c>
      <c r="AD164" s="21" t="str">
        <f>[2]底表!BN164</f>
        <v>多1起</v>
      </c>
      <c r="AE164" s="21">
        <f>[2]底表!BO164</f>
        <v>1</v>
      </c>
      <c r="AF164" s="21">
        <f>[2]底表!BP164</f>
        <v>0</v>
      </c>
      <c r="AG164" s="21">
        <f>[2]底表!BT164</f>
        <v>2</v>
      </c>
      <c r="AH164" s="21" t="str">
        <f>[2]底表!BU164</f>
        <v>少2起</v>
      </c>
      <c r="AI164" s="21" t="str">
        <f>[2]底表!BV164</f>
        <v/>
      </c>
      <c r="AJ164" s="21" t="str">
        <f>[2]底表!BW164</f>
        <v/>
      </c>
      <c r="AK164" s="21" t="str">
        <f>[2]底表!BX164</f>
        <v/>
      </c>
      <c r="AL164" s="21" t="str">
        <f>[2]底表!BY164</f>
        <v/>
      </c>
      <c r="AM164" s="21">
        <f>[2]底表!BZ164</f>
        <v>0</v>
      </c>
      <c r="AN164" s="21">
        <f>[2]底表!CA164</f>
        <v>0</v>
      </c>
      <c r="AO164" s="21" t="str">
        <f>[2]底表!CB164</f>
        <v>持平</v>
      </c>
      <c r="AP164" s="21">
        <f>[2]底表!CC164</f>
        <v>0</v>
      </c>
      <c r="AQ164" s="21" t="str">
        <f>[2]底表!CD164</f>
        <v>持平</v>
      </c>
      <c r="AR164" s="21" t="str">
        <f>[2]底表!CE164</f>
        <v/>
      </c>
      <c r="AS164" s="21" t="str">
        <f>[2]底表!CF164</f>
        <v/>
      </c>
      <c r="AT164" s="21">
        <f>[2]底表!CG164</f>
        <v>0</v>
      </c>
      <c r="AU164" s="21">
        <f>[2]底表!CH164</f>
        <v>2</v>
      </c>
      <c r="AV164" s="21" t="str">
        <f>[2]底表!CI164</f>
        <v>少2人</v>
      </c>
      <c r="AW164" s="21">
        <f>[2]底表!CJ164</f>
        <v>0</v>
      </c>
      <c r="AX164" s="21" t="str">
        <f>[2]底表!CK164</f>
        <v>持平</v>
      </c>
      <c r="AY164" s="21" t="str">
        <f>[2]底表!CL164</f>
        <v/>
      </c>
      <c r="AZ164" s="21" t="str">
        <f>[2]底表!CM164</f>
        <v/>
      </c>
      <c r="BA164" s="21" t="str">
        <f>[2]底表!CN164</f>
        <v/>
      </c>
      <c r="BB164" s="21">
        <f>[2]底表!CO164</f>
        <v>0</v>
      </c>
      <c r="BC164" s="21">
        <f>[2]底表!CP164</f>
        <v>0</v>
      </c>
      <c r="BD164" s="21" t="str">
        <f>[2]底表!CQ164</f>
        <v>持平</v>
      </c>
      <c r="BE164" s="21">
        <f>[2]底表!CR164</f>
        <v>0</v>
      </c>
      <c r="BF164" s="21" t="str">
        <f>[2]底表!CS164</f>
        <v>持平</v>
      </c>
      <c r="BG164" s="21" t="str">
        <f>[2]底表!CT164</f>
        <v/>
      </c>
      <c r="BH164" s="21" t="str">
        <f>[2]底表!CU164</f>
        <v/>
      </c>
      <c r="BI164" s="21" t="str">
        <f>[2]底表!CV164</f>
        <v/>
      </c>
      <c r="BJ164" s="21" t="str">
        <f>[2]底表!CW164</f>
        <v/>
      </c>
      <c r="BK164" s="21" t="str">
        <f>[2]底表!CX164</f>
        <v/>
      </c>
      <c r="BL164" s="21">
        <f>[2]底表!CY164</f>
        <v>0</v>
      </c>
      <c r="BM164" s="21">
        <f>[2]底表!CZ164</f>
        <v>0</v>
      </c>
      <c r="BN164" s="23" t="str">
        <f>[2]底表!DA164</f>
        <v>持平</v>
      </c>
      <c r="BO164" s="21">
        <f>[2]底表!DB164</f>
        <v>0</v>
      </c>
      <c r="BP164" s="21" t="str">
        <f>[2]底表!DC164</f>
        <v>持平</v>
      </c>
      <c r="BQ164" s="21" t="str">
        <f>[2]底表!DD164</f>
        <v/>
      </c>
      <c r="BR164" s="21" t="str">
        <f>[2]底表!DE164</f>
        <v/>
      </c>
      <c r="BS164" s="21" t="str">
        <f>[2]底表!DF164</f>
        <v/>
      </c>
      <c r="BT164" s="21" t="str">
        <f>[2]底表!DG164</f>
        <v/>
      </c>
      <c r="BU164" s="21" t="str">
        <f>[2]底表!DH164</f>
        <v/>
      </c>
      <c r="BV164" s="21">
        <f>[2]底表!DI164</f>
        <v>0</v>
      </c>
      <c r="BW164" s="21">
        <f>[2]底表!DJ164</f>
        <v>0</v>
      </c>
      <c r="BX164" s="23" t="str">
        <f>[2]底表!DK164</f>
        <v>持平</v>
      </c>
      <c r="BY164" s="21">
        <f>[2]底表!DL164</f>
        <v>0</v>
      </c>
      <c r="BZ164" s="21" t="str">
        <f>[2]底表!DM164</f>
        <v>持平</v>
      </c>
      <c r="CA164" s="21">
        <f>[2]底表!DN164</f>
        <v>0</v>
      </c>
      <c r="CB164" s="21">
        <f>[2]底表!DO164</f>
        <v>0</v>
      </c>
      <c r="CC164" s="21" t="str">
        <f>[2]底表!DP164</f>
        <v>持平</v>
      </c>
      <c r="CD164" s="21">
        <f>[2]底表!DQ164</f>
        <v>1</v>
      </c>
      <c r="CE164" s="21" t="str">
        <f>[2]底表!DR164</f>
        <v>少1人</v>
      </c>
      <c r="CF164" s="21">
        <f>[2]底表!DS164</f>
        <v>0</v>
      </c>
      <c r="CG164" s="21">
        <f>[2]底表!DT164</f>
        <v>0</v>
      </c>
      <c r="CH164" s="21" t="str">
        <f>[2]底表!DU164</f>
        <v>持平</v>
      </c>
      <c r="CI164" s="21">
        <f>[2]底表!DV164</f>
        <v>1</v>
      </c>
      <c r="CJ164" s="21" t="str">
        <f>[2]底表!DW164</f>
        <v>少1人</v>
      </c>
      <c r="CK164" s="21">
        <f>[2]底表!DX164</f>
        <v>0</v>
      </c>
      <c r="CL164" s="21">
        <f>[2]底表!DY164</f>
        <v>1</v>
      </c>
      <c r="CM164" s="21" t="str">
        <f>[2]底表!DZ164</f>
        <v>少1人</v>
      </c>
      <c r="CN164" s="21">
        <f>[2]底表!EA164</f>
        <v>4</v>
      </c>
      <c r="CO164" s="21" t="str">
        <f>[2]底表!EB164</f>
        <v>少4人</v>
      </c>
      <c r="CP164" s="21">
        <f>[2]底表!EC164</f>
        <v>0</v>
      </c>
      <c r="CQ164" s="21">
        <f>[2]底表!ED164</f>
        <v>1</v>
      </c>
      <c r="CR164" s="21" t="str">
        <f>[2]底表!EE164</f>
        <v>少1人</v>
      </c>
      <c r="CS164" s="21">
        <f>[2]底表!EF164</f>
        <v>3</v>
      </c>
      <c r="CT164" s="21" t="str">
        <f>[2]底表!EG164</f>
        <v>少3人</v>
      </c>
      <c r="CU164" s="21" t="str">
        <f>[2]底表!EH164</f>
        <v/>
      </c>
      <c r="CV164" s="21" t="str">
        <f>[2]底表!EI164</f>
        <v/>
      </c>
      <c r="CW164" s="21" t="str">
        <f>[2]底表!EJ164</f>
        <v/>
      </c>
      <c r="CX164" s="21" t="str">
        <f>[2]底表!EK164</f>
        <v/>
      </c>
      <c r="CY164" s="21" t="str">
        <f>[2]底表!EL164</f>
        <v/>
      </c>
      <c r="CZ164" s="21">
        <f>[2]底表!EM164</f>
        <v>0</v>
      </c>
      <c r="DA164" s="21">
        <f>[2]底表!EN164</f>
        <v>1</v>
      </c>
      <c r="DB164" s="21" t="str">
        <f>[2]底表!EO164</f>
        <v>少1人</v>
      </c>
      <c r="DC164" s="21">
        <f>[2]底表!EP164</f>
        <v>3</v>
      </c>
      <c r="DD164" s="21" t="str">
        <f>[2]底表!EQ164</f>
        <v>少3人</v>
      </c>
      <c r="DE164" s="21">
        <f>[2]底表!ER164</f>
        <v>0</v>
      </c>
      <c r="DF164" s="21">
        <f>[2]底表!ES164</f>
        <v>0</v>
      </c>
      <c r="DG164" s="23" t="str">
        <f>[2]底表!ET164</f>
        <v>持平</v>
      </c>
      <c r="DH164" s="21">
        <f>[2]底表!EU164</f>
        <v>3</v>
      </c>
      <c r="DI164" s="21" t="str">
        <f>[2]底表!EV164</f>
        <v>少3人</v>
      </c>
      <c r="DJ164" s="21" t="str">
        <f>[2]底表!EW164</f>
        <v/>
      </c>
      <c r="DK164" s="21" t="str">
        <f>[2]底表!EX164</f>
        <v/>
      </c>
      <c r="DL164" s="21" t="str">
        <f>[2]底表!EY164</f>
        <v/>
      </c>
      <c r="DM164" s="21" t="str">
        <f>[2]底表!EZ164</f>
        <v/>
      </c>
      <c r="DN164" s="21" t="str">
        <f>[2]底表!FA164</f>
        <v/>
      </c>
      <c r="DO164" s="21">
        <f>[2]底表!BQ164</f>
        <v>0</v>
      </c>
      <c r="DP164" s="21">
        <f>[2]底表!BR164</f>
        <v>0</v>
      </c>
      <c r="DQ164" s="24" t="str">
        <f>[2]底表!BS164</f>
        <v>持平</v>
      </c>
    </row>
    <row r="165" s="2" customFormat="1" ht="32" hidden="1" customHeight="1" spans="1:121">
      <c r="A165" s="27" t="str">
        <f>[2]底表!A165</f>
        <v>敲诈勒索</v>
      </c>
      <c r="B165" s="28" t="str">
        <f>[2]底表!B165</f>
        <v>全省</v>
      </c>
      <c r="C165" s="21">
        <f>[2]底表!AM165</f>
        <v>124</v>
      </c>
      <c r="D165" s="21">
        <f>[2]底表!AN165</f>
        <v>65</v>
      </c>
      <c r="E165" s="23">
        <f>[2]底表!AO165</f>
        <v>0.9077</v>
      </c>
      <c r="F165" s="21">
        <f>[2]底表!AP165</f>
        <v>288</v>
      </c>
      <c r="G165" s="21">
        <f>[2]底表!AQ165</f>
        <v>-0.5694</v>
      </c>
      <c r="H165" s="21">
        <f>[2]底表!AR165</f>
        <v>0.6966</v>
      </c>
      <c r="I165" s="21">
        <f>[2]底表!AS165</f>
        <v>0.1966</v>
      </c>
      <c r="J165" s="21">
        <f>[2]底表!AT165</f>
        <v>98</v>
      </c>
      <c r="K165" s="21">
        <f>[2]底表!AU165</f>
        <v>66</v>
      </c>
      <c r="L165" s="21">
        <f>[2]底表!AV165</f>
        <v>0.4848</v>
      </c>
      <c r="M165" s="21">
        <f>[2]底表!AW165</f>
        <v>161</v>
      </c>
      <c r="N165" s="21">
        <f>[2]底表!AX165</f>
        <v>-0.3913</v>
      </c>
      <c r="O165" s="21">
        <f>[2]底表!AY165</f>
        <v>51</v>
      </c>
      <c r="P165" s="21">
        <f>[2]底表!AZ165</f>
        <v>24</v>
      </c>
      <c r="Q165" s="21">
        <f>[2]底表!BA165</f>
        <v>1.125</v>
      </c>
      <c r="R165" s="21">
        <f>[2]底表!BB165</f>
        <v>154</v>
      </c>
      <c r="S165" s="21">
        <f>[2]底表!BC165</f>
        <v>-0.6688</v>
      </c>
      <c r="T165" s="21">
        <f>[2]底表!BD165</f>
        <v>0.5204</v>
      </c>
      <c r="U165" s="21">
        <f>[2]底表!BE165</f>
        <v>0.1568</v>
      </c>
      <c r="V165" s="21">
        <f>[2]底表!BF165</f>
        <v>80</v>
      </c>
      <c r="W165" s="21">
        <f>[2]底表!BG165</f>
        <v>64</v>
      </c>
      <c r="X165" s="21">
        <f>[2]底表!BH165</f>
        <v>0.25</v>
      </c>
      <c r="Y165" s="21">
        <f>[2]底表!BI165</f>
        <v>28</v>
      </c>
      <c r="Z165" s="21">
        <f>[2]底表!BJ165</f>
        <v>1.8571</v>
      </c>
      <c r="AA165" s="21">
        <f>[2]底表!BK165</f>
        <v>0.4494</v>
      </c>
      <c r="AB165" s="21">
        <f>[2]底表!BL165</f>
        <v>73</v>
      </c>
      <c r="AC165" s="21">
        <f>[2]底表!BM165</f>
        <v>41</v>
      </c>
      <c r="AD165" s="21">
        <f>[2]底表!BN165</f>
        <v>0.7805</v>
      </c>
      <c r="AE165" s="21">
        <f>[2]底表!BO165</f>
        <v>134</v>
      </c>
      <c r="AF165" s="21">
        <f>[2]底表!BP165</f>
        <v>-0.4552</v>
      </c>
      <c r="AG165" s="21">
        <f>[2]底表!BT165</f>
        <v>86</v>
      </c>
      <c r="AH165" s="21">
        <f>[2]底表!BU165</f>
        <v>-0.5349</v>
      </c>
      <c r="AI165" s="21">
        <f>[2]底表!BV165</f>
        <v>0.2247</v>
      </c>
      <c r="AJ165" s="21">
        <f>[2]底表!BW165</f>
        <v>-0.0984</v>
      </c>
      <c r="AK165" s="21">
        <f>[2]底表!BX165</f>
        <v>0.4082</v>
      </c>
      <c r="AL165" s="21">
        <f>[2]底表!BY165</f>
        <v>-0.2282</v>
      </c>
      <c r="AM165" s="21">
        <f>[2]底表!BZ165</f>
        <v>1</v>
      </c>
      <c r="AN165" s="21">
        <f>[2]底表!CA165</f>
        <v>0</v>
      </c>
      <c r="AO165" s="21" t="str">
        <f>[2]底表!CB165</f>
        <v>多1起</v>
      </c>
      <c r="AP165" s="21">
        <f>[2]底表!CC165</f>
        <v>3</v>
      </c>
      <c r="AQ165" s="21">
        <f>[2]底表!CD165</f>
        <v>-0.6667</v>
      </c>
      <c r="AR165" s="21" t="str">
        <f>[2]底表!CE165</f>
        <v/>
      </c>
      <c r="AS165" s="21" t="str">
        <f>[2]底表!CF165</f>
        <v/>
      </c>
      <c r="AT165" s="21">
        <f>[2]底表!CG165</f>
        <v>299</v>
      </c>
      <c r="AU165" s="21">
        <f>[2]底表!CH165</f>
        <v>147</v>
      </c>
      <c r="AV165" s="21">
        <f>[2]底表!CI165</f>
        <v>1.034</v>
      </c>
      <c r="AW165" s="21">
        <f>[2]底表!CJ165</f>
        <v>264</v>
      </c>
      <c r="AX165" s="21">
        <f>[2]底表!CK165</f>
        <v>0.1326</v>
      </c>
      <c r="AY165" s="21">
        <f>[2]底表!CL165</f>
        <v>168</v>
      </c>
      <c r="AZ165" s="21">
        <f>[2]底表!CM165</f>
        <v>55</v>
      </c>
      <c r="BA165" s="21">
        <f>[2]底表!CN165</f>
        <v>0.4855</v>
      </c>
      <c r="BB165" s="21">
        <f>[2]底表!CO165</f>
        <v>265</v>
      </c>
      <c r="BC165" s="21">
        <f>[2]底表!CP165</f>
        <v>95</v>
      </c>
      <c r="BD165" s="21">
        <f>[2]底表!CQ165</f>
        <v>1.7895</v>
      </c>
      <c r="BE165" s="21">
        <f>[2]底表!CR165</f>
        <v>173</v>
      </c>
      <c r="BF165" s="21">
        <f>[2]底表!CS165</f>
        <v>0.5318</v>
      </c>
      <c r="BG165" s="21">
        <f>[2]底表!CT165</f>
        <v>0.8863</v>
      </c>
      <c r="BH165" s="21">
        <f>[2]底表!CU165</f>
        <v>0.24</v>
      </c>
      <c r="BI165" s="21">
        <f>[2]底表!CV165</f>
        <v>149</v>
      </c>
      <c r="BJ165" s="21">
        <f>[2]底表!CW165</f>
        <v>76</v>
      </c>
      <c r="BK165" s="21">
        <f>[2]底表!CX165</f>
        <v>1.0373</v>
      </c>
      <c r="BL165" s="21">
        <f>[2]底表!CY165</f>
        <v>283</v>
      </c>
      <c r="BM165" s="21">
        <f>[2]底表!CZ165</f>
        <v>106</v>
      </c>
      <c r="BN165" s="23">
        <f>[2]底表!DA165</f>
        <v>1.6698</v>
      </c>
      <c r="BO165" s="21">
        <f>[2]底表!DB165</f>
        <v>187</v>
      </c>
      <c r="BP165" s="21">
        <f>[2]底表!DC165</f>
        <v>0.5134</v>
      </c>
      <c r="BQ165" s="21">
        <f>[2]底表!DD165</f>
        <v>0.9465</v>
      </c>
      <c r="BR165" s="21">
        <f>[2]底表!DE165</f>
        <v>0.2254</v>
      </c>
      <c r="BS165" s="21">
        <f>[2]底表!DF165</f>
        <v>159</v>
      </c>
      <c r="BT165" s="21">
        <f>[2]底表!DG165</f>
        <v>77</v>
      </c>
      <c r="BU165" s="21">
        <f>[2]底表!DH165</f>
        <v>0.9499</v>
      </c>
      <c r="BV165" s="21">
        <f>[2]底表!DI165</f>
        <v>258</v>
      </c>
      <c r="BW165" s="21">
        <f>[2]底表!DJ165</f>
        <v>136</v>
      </c>
      <c r="BX165" s="23">
        <f>[2]底表!DK165</f>
        <v>0.8971</v>
      </c>
      <c r="BY165" s="21">
        <f>[2]底表!DL165</f>
        <v>188</v>
      </c>
      <c r="BZ165" s="21">
        <f>[2]底表!DM165</f>
        <v>0.3723</v>
      </c>
      <c r="CA165" s="21">
        <f>[2]底表!DN165</f>
        <v>101</v>
      </c>
      <c r="CB165" s="21">
        <f>[2]底表!DO165</f>
        <v>79</v>
      </c>
      <c r="CC165" s="21">
        <f>[2]底表!DP165</f>
        <v>0.2785</v>
      </c>
      <c r="CD165" s="21">
        <f>[2]底表!DQ165</f>
        <v>89</v>
      </c>
      <c r="CE165" s="21">
        <f>[2]底表!DR165</f>
        <v>0.1348</v>
      </c>
      <c r="CF165" s="21">
        <f>[2]底表!DS165</f>
        <v>101</v>
      </c>
      <c r="CG165" s="21">
        <f>[2]底表!DT165</f>
        <v>79</v>
      </c>
      <c r="CH165" s="21">
        <f>[2]底表!DU165</f>
        <v>0.2785</v>
      </c>
      <c r="CI165" s="21">
        <f>[2]底表!DV165</f>
        <v>89</v>
      </c>
      <c r="CJ165" s="21">
        <f>[2]底表!DW165</f>
        <v>0.1348</v>
      </c>
      <c r="CK165" s="21">
        <f>[2]底表!DX165</f>
        <v>168</v>
      </c>
      <c r="CL165" s="21">
        <f>[2]底表!DY165</f>
        <v>109</v>
      </c>
      <c r="CM165" s="21">
        <f>[2]底表!DZ165</f>
        <v>0.5413</v>
      </c>
      <c r="CN165" s="21">
        <f>[2]底表!EA165</f>
        <v>153</v>
      </c>
      <c r="CO165" s="21">
        <f>[2]底表!EB165</f>
        <v>0.098</v>
      </c>
      <c r="CP165" s="21">
        <f>[2]底表!EC165</f>
        <v>75</v>
      </c>
      <c r="CQ165" s="21">
        <f>[2]底表!ED165</f>
        <v>91</v>
      </c>
      <c r="CR165" s="21">
        <f>[2]底表!EE165</f>
        <v>-0.1758</v>
      </c>
      <c r="CS165" s="21">
        <f>[2]底表!EF165</f>
        <v>84</v>
      </c>
      <c r="CT165" s="21">
        <f>[2]底表!EG165</f>
        <v>-0.1071</v>
      </c>
      <c r="CU165" s="21">
        <f>[2]底表!EH165</f>
        <v>0.283</v>
      </c>
      <c r="CV165" s="21">
        <f>[2]底表!EI165</f>
        <v>-0.6749</v>
      </c>
      <c r="CW165" s="21">
        <f>[2]底表!EJ165</f>
        <v>42</v>
      </c>
      <c r="CX165" s="21">
        <f>[2]底表!EK165</f>
        <v>-28</v>
      </c>
      <c r="CY165" s="21">
        <f>[2]底表!EL165</f>
        <v>-0.3981</v>
      </c>
      <c r="CZ165" s="21">
        <f>[2]底表!EM165</f>
        <v>75</v>
      </c>
      <c r="DA165" s="21">
        <f>[2]底表!EN165</f>
        <v>91</v>
      </c>
      <c r="DB165" s="21">
        <f>[2]底表!EO165</f>
        <v>-0.1758</v>
      </c>
      <c r="DC165" s="21">
        <f>[2]底表!EP165</f>
        <v>83</v>
      </c>
      <c r="DD165" s="21">
        <f>[2]底表!EQ165</f>
        <v>-0.0964</v>
      </c>
      <c r="DE165" s="21">
        <f>[2]底表!ER165</f>
        <v>76</v>
      </c>
      <c r="DF165" s="21">
        <f>[2]底表!ES165</f>
        <v>158</v>
      </c>
      <c r="DG165" s="23">
        <f>[2]底表!ET165</f>
        <v>-0.519</v>
      </c>
      <c r="DH165" s="21">
        <f>[2]底表!EU165</f>
        <v>180</v>
      </c>
      <c r="DI165" s="21">
        <f>[2]底表!EV165</f>
        <v>-0.5778</v>
      </c>
      <c r="DJ165" s="21">
        <f>[2]底表!EW165</f>
        <v>0.2868</v>
      </c>
      <c r="DK165" s="21">
        <f>[2]底表!EX165</f>
        <v>-1.3764</v>
      </c>
      <c r="DL165" s="21">
        <f>[2]底表!EY165</f>
        <v>43</v>
      </c>
      <c r="DM165" s="21">
        <f>[2]底表!EZ165</f>
        <v>-79</v>
      </c>
      <c r="DN165" s="21">
        <f>[2]底表!FA165</f>
        <v>-0.6487</v>
      </c>
      <c r="DO165" s="21">
        <f>[2]底表!BQ165</f>
        <v>40</v>
      </c>
      <c r="DP165" s="21">
        <f>[2]底表!BR165</f>
        <v>42</v>
      </c>
      <c r="DQ165" s="24">
        <f>[2]底表!BS165</f>
        <v>-0.0476</v>
      </c>
    </row>
    <row r="166" s="2" customFormat="1" ht="32" hidden="1" customHeight="1" spans="1:121">
      <c r="A166" s="27" t="str">
        <f>[2]底表!A166</f>
        <v>敲诈勒索</v>
      </c>
      <c r="B166" s="28" t="str">
        <f>[2]底表!B166</f>
        <v>云浮</v>
      </c>
      <c r="C166" s="21">
        <f>[2]底表!AM166</f>
        <v>1</v>
      </c>
      <c r="D166" s="21">
        <f>[2]底表!AN166</f>
        <v>0</v>
      </c>
      <c r="E166" s="23" t="str">
        <f>[2]底表!AO166</f>
        <v>多1起</v>
      </c>
      <c r="F166" s="21">
        <f>[2]底表!AP166</f>
        <v>1</v>
      </c>
      <c r="G166" s="21">
        <f>[2]底表!AQ166</f>
        <v>0</v>
      </c>
      <c r="H166" s="21">
        <f>[2]底表!AR166</f>
        <v>0.5</v>
      </c>
      <c r="I166" s="21" t="str">
        <f>[2]底表!AS166</f>
        <v/>
      </c>
      <c r="J166" s="21">
        <f>[2]底表!AT166</f>
        <v>1</v>
      </c>
      <c r="K166" s="21">
        <f>[2]底表!AU166</f>
        <v>0</v>
      </c>
      <c r="L166" s="21" t="str">
        <f>[2]底表!AV166</f>
        <v>多1起</v>
      </c>
      <c r="M166" s="21">
        <f>[2]底表!AW166</f>
        <v>0</v>
      </c>
      <c r="N166" s="21" t="str">
        <f>[2]底表!AX166</f>
        <v>多1起</v>
      </c>
      <c r="O166" s="21">
        <f>[2]底表!AY166</f>
        <v>1</v>
      </c>
      <c r="P166" s="21">
        <f>[2]底表!AZ166</f>
        <v>0</v>
      </c>
      <c r="Q166" s="21" t="str">
        <f>[2]底表!BA166</f>
        <v>多1起</v>
      </c>
      <c r="R166" s="21">
        <f>[2]底表!BB166</f>
        <v>1</v>
      </c>
      <c r="S166" s="21">
        <f>[2]底表!BC166</f>
        <v>0</v>
      </c>
      <c r="T166" s="21">
        <f>[2]底表!BD166</f>
        <v>1</v>
      </c>
      <c r="U166" s="21" t="str">
        <f>[2]底表!BE166</f>
        <v/>
      </c>
      <c r="V166" s="21">
        <f>[2]底表!BF166</f>
        <v>1</v>
      </c>
      <c r="W166" s="21">
        <f>[2]底表!BG166</f>
        <v>0</v>
      </c>
      <c r="X166" s="21" t="str">
        <f>[2]底表!BH166</f>
        <v>多1起</v>
      </c>
      <c r="Y166" s="21">
        <f>[2]底表!BI166</f>
        <v>0</v>
      </c>
      <c r="Z166" s="21" t="str">
        <f>[2]底表!BJ166</f>
        <v>多1起</v>
      </c>
      <c r="AA166" s="21">
        <f>[2]底表!BK166</f>
        <v>0.5</v>
      </c>
      <c r="AB166" s="21">
        <f>[2]底表!BL166</f>
        <v>0</v>
      </c>
      <c r="AC166" s="21">
        <f>[2]底表!BM166</f>
        <v>0</v>
      </c>
      <c r="AD166" s="21" t="str">
        <f>[2]底表!BN166</f>
        <v>持平</v>
      </c>
      <c r="AE166" s="21">
        <f>[2]底表!BO166</f>
        <v>0</v>
      </c>
      <c r="AF166" s="21" t="str">
        <f>[2]底表!BP166</f>
        <v>持平</v>
      </c>
      <c r="AG166" s="21">
        <f>[2]底表!BT166</f>
        <v>2</v>
      </c>
      <c r="AH166" s="21" t="str">
        <f>[2]底表!BU166</f>
        <v>少2起</v>
      </c>
      <c r="AI166" s="21">
        <f>[2]底表!BV166</f>
        <v>0</v>
      </c>
      <c r="AJ166" s="21" t="str">
        <f>[2]底表!BW166</f>
        <v/>
      </c>
      <c r="AK166" s="21">
        <f>[2]底表!BX166</f>
        <v>0</v>
      </c>
      <c r="AL166" s="21" t="str">
        <f>[2]底表!BY166</f>
        <v/>
      </c>
      <c r="AM166" s="21">
        <f>[2]底表!BZ166</f>
        <v>0</v>
      </c>
      <c r="AN166" s="21">
        <f>[2]底表!CA166</f>
        <v>0</v>
      </c>
      <c r="AO166" s="21" t="str">
        <f>[2]底表!CB166</f>
        <v>持平</v>
      </c>
      <c r="AP166" s="21">
        <f>[2]底表!CC166</f>
        <v>0</v>
      </c>
      <c r="AQ166" s="21" t="str">
        <f>[2]底表!CD166</f>
        <v>持平</v>
      </c>
      <c r="AR166" s="21" t="str">
        <f>[2]底表!CE166</f>
        <v/>
      </c>
      <c r="AS166" s="21" t="str">
        <f>[2]底表!CF166</f>
        <v/>
      </c>
      <c r="AT166" s="21">
        <f>[2]底表!CG166</f>
        <v>0</v>
      </c>
      <c r="AU166" s="21">
        <f>[2]底表!CH166</f>
        <v>0</v>
      </c>
      <c r="AV166" s="21" t="str">
        <f>[2]底表!CI166</f>
        <v>持平</v>
      </c>
      <c r="AW166" s="21">
        <f>[2]底表!CJ166</f>
        <v>0</v>
      </c>
      <c r="AX166" s="21" t="str">
        <f>[2]底表!CK166</f>
        <v>持平</v>
      </c>
      <c r="AY166" s="21">
        <f>[2]底表!CL166</f>
        <v>0</v>
      </c>
      <c r="AZ166" s="21" t="str">
        <f>[2]底表!CM166</f>
        <v/>
      </c>
      <c r="BA166" s="21" t="str">
        <f>[2]底表!CN166</f>
        <v/>
      </c>
      <c r="BB166" s="21">
        <f>[2]底表!CO166</f>
        <v>1</v>
      </c>
      <c r="BC166" s="21">
        <f>[2]底表!CP166</f>
        <v>0</v>
      </c>
      <c r="BD166" s="21" t="str">
        <f>[2]底表!CQ166</f>
        <v>多1人</v>
      </c>
      <c r="BE166" s="21">
        <f>[2]底表!CR166</f>
        <v>0</v>
      </c>
      <c r="BF166" s="21" t="str">
        <f>[2]底表!CS166</f>
        <v>多1人</v>
      </c>
      <c r="BG166" s="21" t="str">
        <f>[2]底表!CT166</f>
        <v/>
      </c>
      <c r="BH166" s="21" t="str">
        <f>[2]底表!CU166</f>
        <v/>
      </c>
      <c r="BI166" s="21">
        <f>[2]底表!CV166</f>
        <v>50</v>
      </c>
      <c r="BJ166" s="21" t="str">
        <f>[2]底表!CW166</f>
        <v/>
      </c>
      <c r="BK166" s="21" t="str">
        <f>[2]底表!CX166</f>
        <v/>
      </c>
      <c r="BL166" s="21">
        <f>[2]底表!CY166</f>
        <v>1</v>
      </c>
      <c r="BM166" s="21">
        <f>[2]底表!CZ166</f>
        <v>0</v>
      </c>
      <c r="BN166" s="23" t="str">
        <f>[2]底表!DA166</f>
        <v>多1人</v>
      </c>
      <c r="BO166" s="21">
        <f>[2]底表!DB166</f>
        <v>0</v>
      </c>
      <c r="BP166" s="21" t="str">
        <f>[2]底表!DC166</f>
        <v>多1人</v>
      </c>
      <c r="BQ166" s="21" t="str">
        <f>[2]底表!DD166</f>
        <v/>
      </c>
      <c r="BR166" s="21" t="str">
        <f>[2]底表!DE166</f>
        <v/>
      </c>
      <c r="BS166" s="21">
        <f>[2]底表!DF166</f>
        <v>50</v>
      </c>
      <c r="BT166" s="21" t="str">
        <f>[2]底表!DG166</f>
        <v/>
      </c>
      <c r="BU166" s="21" t="str">
        <f>[2]底表!DH166</f>
        <v/>
      </c>
      <c r="BV166" s="21">
        <f>[2]底表!DI166</f>
        <v>0</v>
      </c>
      <c r="BW166" s="21">
        <f>[2]底表!DJ166</f>
        <v>0</v>
      </c>
      <c r="BX166" s="23" t="str">
        <f>[2]底表!DK166</f>
        <v>持平</v>
      </c>
      <c r="BY166" s="21">
        <f>[2]底表!DL166</f>
        <v>0</v>
      </c>
      <c r="BZ166" s="21" t="str">
        <f>[2]底表!DM166</f>
        <v>持平</v>
      </c>
      <c r="CA166" s="21">
        <f>[2]底表!DN166</f>
        <v>0</v>
      </c>
      <c r="CB166" s="21">
        <f>[2]底表!DO166</f>
        <v>0</v>
      </c>
      <c r="CC166" s="21" t="str">
        <f>[2]底表!DP166</f>
        <v>持平</v>
      </c>
      <c r="CD166" s="21">
        <f>[2]底表!DQ166</f>
        <v>0</v>
      </c>
      <c r="CE166" s="21" t="str">
        <f>[2]底表!DR166</f>
        <v>持平</v>
      </c>
      <c r="CF166" s="21">
        <f>[2]底表!DS166</f>
        <v>0</v>
      </c>
      <c r="CG166" s="21">
        <f>[2]底表!DT166</f>
        <v>0</v>
      </c>
      <c r="CH166" s="21" t="str">
        <f>[2]底表!DU166</f>
        <v>持平</v>
      </c>
      <c r="CI166" s="21">
        <f>[2]底表!DV166</f>
        <v>0</v>
      </c>
      <c r="CJ166" s="21" t="str">
        <f>[2]底表!DW166</f>
        <v>持平</v>
      </c>
      <c r="CK166" s="21">
        <f>[2]底表!DX166</f>
        <v>0</v>
      </c>
      <c r="CL166" s="21">
        <f>[2]底表!DY166</f>
        <v>0</v>
      </c>
      <c r="CM166" s="21" t="str">
        <f>[2]底表!DZ166</f>
        <v>持平</v>
      </c>
      <c r="CN166" s="21">
        <f>[2]底表!EA166</f>
        <v>0</v>
      </c>
      <c r="CO166" s="21" t="str">
        <f>[2]底表!EB166</f>
        <v>持平</v>
      </c>
      <c r="CP166" s="21">
        <f>[2]底表!EC166</f>
        <v>0</v>
      </c>
      <c r="CQ166" s="21">
        <f>[2]底表!ED166</f>
        <v>0</v>
      </c>
      <c r="CR166" s="21" t="str">
        <f>[2]底表!EE166</f>
        <v>持平</v>
      </c>
      <c r="CS166" s="21">
        <f>[2]底表!EF166</f>
        <v>0</v>
      </c>
      <c r="CT166" s="21" t="str">
        <f>[2]底表!EG166</f>
        <v>持平</v>
      </c>
      <c r="CU166" s="21">
        <f>[2]底表!EH166</f>
        <v>0</v>
      </c>
      <c r="CV166" s="21" t="str">
        <f>[2]底表!EI166</f>
        <v/>
      </c>
      <c r="CW166" s="21">
        <f>[2]底表!EJ166</f>
        <v>0</v>
      </c>
      <c r="CX166" s="21" t="str">
        <f>[2]底表!EK166</f>
        <v/>
      </c>
      <c r="CY166" s="21" t="str">
        <f>[2]底表!EL166</f>
        <v/>
      </c>
      <c r="CZ166" s="21">
        <f>[2]底表!EM166</f>
        <v>0</v>
      </c>
      <c r="DA166" s="21">
        <f>[2]底表!EN166</f>
        <v>0</v>
      </c>
      <c r="DB166" s="21" t="str">
        <f>[2]底表!EO166</f>
        <v>持平</v>
      </c>
      <c r="DC166" s="21">
        <f>[2]底表!EP166</f>
        <v>0</v>
      </c>
      <c r="DD166" s="21" t="str">
        <f>[2]底表!EQ166</f>
        <v>持平</v>
      </c>
      <c r="DE166" s="21">
        <f>[2]底表!ER166</f>
        <v>0</v>
      </c>
      <c r="DF166" s="21">
        <f>[2]底表!ES166</f>
        <v>0</v>
      </c>
      <c r="DG166" s="23" t="str">
        <f>[2]底表!ET166</f>
        <v>持平</v>
      </c>
      <c r="DH166" s="21">
        <f>[2]底表!EU166</f>
        <v>2</v>
      </c>
      <c r="DI166" s="21" t="str">
        <f>[2]底表!EV166</f>
        <v>少2人</v>
      </c>
      <c r="DJ166" s="21">
        <f>[2]底表!EW166</f>
        <v>0</v>
      </c>
      <c r="DK166" s="21" t="str">
        <f>[2]底表!EX166</f>
        <v/>
      </c>
      <c r="DL166" s="21">
        <f>[2]底表!EY166</f>
        <v>0</v>
      </c>
      <c r="DM166" s="21" t="str">
        <f>[2]底表!EZ166</f>
        <v/>
      </c>
      <c r="DN166" s="21" t="str">
        <f>[2]底表!FA166</f>
        <v/>
      </c>
      <c r="DO166" s="21">
        <f>[2]底表!BQ166</f>
        <v>0</v>
      </c>
      <c r="DP166" s="21">
        <f>[2]底表!BR166</f>
        <v>0</v>
      </c>
      <c r="DQ166" s="24" t="str">
        <f>[2]底表!BS166</f>
        <v>持平</v>
      </c>
    </row>
    <row r="167" s="2" customFormat="1" ht="32" hidden="1" customHeight="1" spans="1:121">
      <c r="A167" s="27" t="str">
        <f>[2]底表!A167</f>
        <v>敲诈勒索</v>
      </c>
      <c r="B167" s="28" t="str">
        <f>[2]底表!B167</f>
        <v>云城区</v>
      </c>
      <c r="C167" s="21">
        <f>[2]底表!AM167</f>
        <v>0</v>
      </c>
      <c r="D167" s="21">
        <f>[2]底表!AN167</f>
        <v>0</v>
      </c>
      <c r="E167" s="23" t="str">
        <f>[2]底表!AO167</f>
        <v>持平</v>
      </c>
      <c r="F167" s="21">
        <f>[2]底表!AP167</f>
        <v>0</v>
      </c>
      <c r="G167" s="21" t="str">
        <f>[2]底表!AQ167</f>
        <v>持平</v>
      </c>
      <c r="H167" s="21">
        <f>[2]底表!AR167</f>
        <v>0</v>
      </c>
      <c r="I167" s="21" t="str">
        <f>[2]底表!AS167</f>
        <v/>
      </c>
      <c r="J167" s="21">
        <f>[2]底表!AT167</f>
        <v>0</v>
      </c>
      <c r="K167" s="21">
        <f>[2]底表!AU167</f>
        <v>0</v>
      </c>
      <c r="L167" s="21" t="str">
        <f>[2]底表!AV167</f>
        <v>持平</v>
      </c>
      <c r="M167" s="21">
        <f>[2]底表!AW167</f>
        <v>0</v>
      </c>
      <c r="N167" s="21" t="str">
        <f>[2]底表!AX167</f>
        <v>持平</v>
      </c>
      <c r="O167" s="21">
        <f>[2]底表!AY167</f>
        <v>0</v>
      </c>
      <c r="P167" s="21">
        <f>[2]底表!AZ167</f>
        <v>0</v>
      </c>
      <c r="Q167" s="21" t="str">
        <f>[2]底表!BA167</f>
        <v>持平</v>
      </c>
      <c r="R167" s="21">
        <f>[2]底表!BB167</f>
        <v>0</v>
      </c>
      <c r="S167" s="21" t="str">
        <f>[2]底表!BC167</f>
        <v>持平</v>
      </c>
      <c r="T167" s="21" t="str">
        <f>[2]底表!BD167</f>
        <v/>
      </c>
      <c r="U167" s="21" t="str">
        <f>[2]底表!BE167</f>
        <v/>
      </c>
      <c r="V167" s="21">
        <f>[2]底表!BF167</f>
        <v>1</v>
      </c>
      <c r="W167" s="21">
        <f>[2]底表!BG167</f>
        <v>0</v>
      </c>
      <c r="X167" s="21" t="str">
        <f>[2]底表!BH167</f>
        <v>多1起</v>
      </c>
      <c r="Y167" s="21">
        <f>[2]底表!BI167</f>
        <v>0</v>
      </c>
      <c r="Z167" s="21" t="str">
        <f>[2]底表!BJ167</f>
        <v>多1起</v>
      </c>
      <c r="AA167" s="21">
        <f>[2]底表!BK167</f>
        <v>1</v>
      </c>
      <c r="AB167" s="21">
        <f>[2]底表!BL167</f>
        <v>0</v>
      </c>
      <c r="AC167" s="21">
        <f>[2]底表!BM167</f>
        <v>0</v>
      </c>
      <c r="AD167" s="21" t="str">
        <f>[2]底表!BN167</f>
        <v>持平</v>
      </c>
      <c r="AE167" s="21">
        <f>[2]底表!BO167</f>
        <v>0</v>
      </c>
      <c r="AF167" s="21" t="str">
        <f>[2]底表!BP167</f>
        <v>持平</v>
      </c>
      <c r="AG167" s="21">
        <f>[2]底表!BT167</f>
        <v>1</v>
      </c>
      <c r="AH167" s="21" t="str">
        <f>[2]底表!BU167</f>
        <v>少1起</v>
      </c>
      <c r="AI167" s="21">
        <f>[2]底表!BV167</f>
        <v>0</v>
      </c>
      <c r="AJ167" s="21" t="str">
        <f>[2]底表!BW167</f>
        <v/>
      </c>
      <c r="AK167" s="21" t="str">
        <f>[2]底表!BX167</f>
        <v/>
      </c>
      <c r="AL167" s="21" t="str">
        <f>[2]底表!BY167</f>
        <v/>
      </c>
      <c r="AM167" s="21">
        <f>[2]底表!BZ167</f>
        <v>0</v>
      </c>
      <c r="AN167" s="21">
        <f>[2]底表!CA167</f>
        <v>0</v>
      </c>
      <c r="AO167" s="21" t="str">
        <f>[2]底表!CB167</f>
        <v>持平</v>
      </c>
      <c r="AP167" s="21">
        <f>[2]底表!CC167</f>
        <v>0</v>
      </c>
      <c r="AQ167" s="21" t="str">
        <f>[2]底表!CD167</f>
        <v>持平</v>
      </c>
      <c r="AR167" s="21" t="str">
        <f>[2]底表!CE167</f>
        <v/>
      </c>
      <c r="AS167" s="21" t="str">
        <f>[2]底表!CF167</f>
        <v/>
      </c>
      <c r="AT167" s="21">
        <f>[2]底表!CG167</f>
        <v>0</v>
      </c>
      <c r="AU167" s="21">
        <f>[2]底表!CH167</f>
        <v>0</v>
      </c>
      <c r="AV167" s="21" t="str">
        <f>[2]底表!CI167</f>
        <v>持平</v>
      </c>
      <c r="AW167" s="21">
        <f>[2]底表!CJ167</f>
        <v>0</v>
      </c>
      <c r="AX167" s="21" t="str">
        <f>[2]底表!CK167</f>
        <v>持平</v>
      </c>
      <c r="AY167" s="21">
        <f>[2]底表!CL167</f>
        <v>0</v>
      </c>
      <c r="AZ167" s="21" t="str">
        <f>[2]底表!CM167</f>
        <v/>
      </c>
      <c r="BA167" s="21" t="str">
        <f>[2]底表!CN167</f>
        <v/>
      </c>
      <c r="BB167" s="21">
        <f>[2]底表!CO167</f>
        <v>0</v>
      </c>
      <c r="BC167" s="21">
        <f>[2]底表!CP167</f>
        <v>0</v>
      </c>
      <c r="BD167" s="21" t="str">
        <f>[2]底表!CQ167</f>
        <v>持平</v>
      </c>
      <c r="BE167" s="21">
        <f>[2]底表!CR167</f>
        <v>0</v>
      </c>
      <c r="BF167" s="21" t="str">
        <f>[2]底表!CS167</f>
        <v>持平</v>
      </c>
      <c r="BG167" s="21" t="str">
        <f>[2]底表!CT167</f>
        <v/>
      </c>
      <c r="BH167" s="21" t="str">
        <f>[2]底表!CU167</f>
        <v/>
      </c>
      <c r="BI167" s="21">
        <f>[2]底表!CV167</f>
        <v>0</v>
      </c>
      <c r="BJ167" s="21" t="str">
        <f>[2]底表!CW167</f>
        <v/>
      </c>
      <c r="BK167" s="21" t="str">
        <f>[2]底表!CX167</f>
        <v/>
      </c>
      <c r="BL167" s="21">
        <f>[2]底表!CY167</f>
        <v>0</v>
      </c>
      <c r="BM167" s="21">
        <f>[2]底表!CZ167</f>
        <v>0</v>
      </c>
      <c r="BN167" s="23" t="str">
        <f>[2]底表!DA167</f>
        <v>持平</v>
      </c>
      <c r="BO167" s="21">
        <f>[2]底表!DB167</f>
        <v>0</v>
      </c>
      <c r="BP167" s="21" t="str">
        <f>[2]底表!DC167</f>
        <v>持平</v>
      </c>
      <c r="BQ167" s="21" t="str">
        <f>[2]底表!DD167</f>
        <v/>
      </c>
      <c r="BR167" s="21" t="str">
        <f>[2]底表!DE167</f>
        <v/>
      </c>
      <c r="BS167" s="21">
        <f>[2]底表!DF167</f>
        <v>0</v>
      </c>
      <c r="BT167" s="21" t="str">
        <f>[2]底表!DG167</f>
        <v/>
      </c>
      <c r="BU167" s="21" t="str">
        <f>[2]底表!DH167</f>
        <v/>
      </c>
      <c r="BV167" s="21">
        <f>[2]底表!DI167</f>
        <v>0</v>
      </c>
      <c r="BW167" s="21">
        <f>[2]底表!DJ167</f>
        <v>0</v>
      </c>
      <c r="BX167" s="23" t="str">
        <f>[2]底表!DK167</f>
        <v>持平</v>
      </c>
      <c r="BY167" s="21">
        <f>[2]底表!DL167</f>
        <v>0</v>
      </c>
      <c r="BZ167" s="21" t="str">
        <f>[2]底表!DM167</f>
        <v>持平</v>
      </c>
      <c r="CA167" s="21">
        <f>[2]底表!DN167</f>
        <v>0</v>
      </c>
      <c r="CB167" s="21">
        <f>[2]底表!DO167</f>
        <v>0</v>
      </c>
      <c r="CC167" s="21" t="str">
        <f>[2]底表!DP167</f>
        <v>持平</v>
      </c>
      <c r="CD167" s="21">
        <f>[2]底表!DQ167</f>
        <v>0</v>
      </c>
      <c r="CE167" s="21" t="str">
        <f>[2]底表!DR167</f>
        <v>持平</v>
      </c>
      <c r="CF167" s="21">
        <f>[2]底表!DS167</f>
        <v>0</v>
      </c>
      <c r="CG167" s="21">
        <f>[2]底表!DT167</f>
        <v>0</v>
      </c>
      <c r="CH167" s="21" t="str">
        <f>[2]底表!DU167</f>
        <v>持平</v>
      </c>
      <c r="CI167" s="21">
        <f>[2]底表!DV167</f>
        <v>0</v>
      </c>
      <c r="CJ167" s="21" t="str">
        <f>[2]底表!DW167</f>
        <v>持平</v>
      </c>
      <c r="CK167" s="21">
        <f>[2]底表!DX167</f>
        <v>0</v>
      </c>
      <c r="CL167" s="21">
        <f>[2]底表!DY167</f>
        <v>0</v>
      </c>
      <c r="CM167" s="21" t="str">
        <f>[2]底表!DZ167</f>
        <v>持平</v>
      </c>
      <c r="CN167" s="21">
        <f>[2]底表!EA167</f>
        <v>0</v>
      </c>
      <c r="CO167" s="21" t="str">
        <f>[2]底表!EB167</f>
        <v>持平</v>
      </c>
      <c r="CP167" s="21">
        <f>[2]底表!EC167</f>
        <v>0</v>
      </c>
      <c r="CQ167" s="21">
        <f>[2]底表!ED167</f>
        <v>0</v>
      </c>
      <c r="CR167" s="21" t="str">
        <f>[2]底表!EE167</f>
        <v>持平</v>
      </c>
      <c r="CS167" s="21">
        <f>[2]底表!EF167</f>
        <v>0</v>
      </c>
      <c r="CT167" s="21" t="str">
        <f>[2]底表!EG167</f>
        <v>持平</v>
      </c>
      <c r="CU167" s="21" t="str">
        <f>[2]底表!EH167</f>
        <v/>
      </c>
      <c r="CV167" s="21" t="str">
        <f>[2]底表!EI167</f>
        <v/>
      </c>
      <c r="CW167" s="21">
        <f>[2]底表!EJ167</f>
        <v>0</v>
      </c>
      <c r="CX167" s="21" t="str">
        <f>[2]底表!EK167</f>
        <v/>
      </c>
      <c r="CY167" s="21" t="str">
        <f>[2]底表!EL167</f>
        <v/>
      </c>
      <c r="CZ167" s="21">
        <f>[2]底表!EM167</f>
        <v>0</v>
      </c>
      <c r="DA167" s="21">
        <f>[2]底表!EN167</f>
        <v>0</v>
      </c>
      <c r="DB167" s="21" t="str">
        <f>[2]底表!EO167</f>
        <v>持平</v>
      </c>
      <c r="DC167" s="21">
        <f>[2]底表!EP167</f>
        <v>0</v>
      </c>
      <c r="DD167" s="21" t="str">
        <f>[2]底表!EQ167</f>
        <v>持平</v>
      </c>
      <c r="DE167" s="21">
        <f>[2]底表!ER167</f>
        <v>0</v>
      </c>
      <c r="DF167" s="21">
        <f>[2]底表!ES167</f>
        <v>0</v>
      </c>
      <c r="DG167" s="23" t="str">
        <f>[2]底表!ET167</f>
        <v>持平</v>
      </c>
      <c r="DH167" s="21">
        <f>[2]底表!EU167</f>
        <v>1</v>
      </c>
      <c r="DI167" s="21" t="str">
        <f>[2]底表!EV167</f>
        <v>少1人</v>
      </c>
      <c r="DJ167" s="21" t="str">
        <f>[2]底表!EW167</f>
        <v/>
      </c>
      <c r="DK167" s="21" t="str">
        <f>[2]底表!EX167</f>
        <v/>
      </c>
      <c r="DL167" s="21">
        <f>[2]底表!EY167</f>
        <v>0</v>
      </c>
      <c r="DM167" s="21" t="str">
        <f>[2]底表!EZ167</f>
        <v/>
      </c>
      <c r="DN167" s="21" t="str">
        <f>[2]底表!FA167</f>
        <v/>
      </c>
      <c r="DO167" s="21">
        <f>[2]底表!BQ167</f>
        <v>0</v>
      </c>
      <c r="DP167" s="21">
        <f>[2]底表!BR167</f>
        <v>0</v>
      </c>
      <c r="DQ167" s="24" t="str">
        <f>[2]底表!BS167</f>
        <v>持平</v>
      </c>
    </row>
    <row r="168" s="2" customFormat="1" ht="32" hidden="1" customHeight="1" spans="1:121">
      <c r="A168" s="27" t="str">
        <f>[2]底表!A168</f>
        <v>敲诈勒索</v>
      </c>
      <c r="B168" s="28" t="str">
        <f>[2]底表!B168</f>
        <v>云安区</v>
      </c>
      <c r="C168" s="21">
        <f>[2]底表!AM168</f>
        <v>0</v>
      </c>
      <c r="D168" s="21">
        <f>[2]底表!AN168</f>
        <v>0</v>
      </c>
      <c r="E168" s="23" t="str">
        <f>[2]底表!AO168</f>
        <v>持平</v>
      </c>
      <c r="F168" s="21">
        <f>[2]底表!AP168</f>
        <v>0</v>
      </c>
      <c r="G168" s="21" t="str">
        <f>[2]底表!AQ168</f>
        <v>持平</v>
      </c>
      <c r="H168" s="21" t="str">
        <f>[2]底表!AR168</f>
        <v/>
      </c>
      <c r="I168" s="21" t="str">
        <f>[2]底表!AS168</f>
        <v/>
      </c>
      <c r="J168" s="21">
        <f>[2]底表!AT168</f>
        <v>0</v>
      </c>
      <c r="K168" s="21">
        <f>[2]底表!AU168</f>
        <v>0</v>
      </c>
      <c r="L168" s="21" t="str">
        <f>[2]底表!AV168</f>
        <v>持平</v>
      </c>
      <c r="M168" s="21">
        <f>[2]底表!AW168</f>
        <v>0</v>
      </c>
      <c r="N168" s="21" t="str">
        <f>[2]底表!AX168</f>
        <v>持平</v>
      </c>
      <c r="O168" s="21">
        <f>[2]底表!AY168</f>
        <v>0</v>
      </c>
      <c r="P168" s="21">
        <f>[2]底表!AZ168</f>
        <v>0</v>
      </c>
      <c r="Q168" s="21" t="str">
        <f>[2]底表!BA168</f>
        <v>持平</v>
      </c>
      <c r="R168" s="21">
        <f>[2]底表!BB168</f>
        <v>0</v>
      </c>
      <c r="S168" s="21" t="str">
        <f>[2]底表!BC168</f>
        <v>持平</v>
      </c>
      <c r="T168" s="21" t="str">
        <f>[2]底表!BD168</f>
        <v/>
      </c>
      <c r="U168" s="21" t="str">
        <f>[2]底表!BE168</f>
        <v/>
      </c>
      <c r="V168" s="21">
        <f>[2]底表!BF168</f>
        <v>0</v>
      </c>
      <c r="W168" s="21">
        <f>[2]底表!BG168</f>
        <v>0</v>
      </c>
      <c r="X168" s="21" t="str">
        <f>[2]底表!BH168</f>
        <v>持平</v>
      </c>
      <c r="Y168" s="21">
        <f>[2]底表!BI168</f>
        <v>0</v>
      </c>
      <c r="Z168" s="21" t="str">
        <f>[2]底表!BJ168</f>
        <v>持平</v>
      </c>
      <c r="AA168" s="21" t="str">
        <f>[2]底表!BK168</f>
        <v/>
      </c>
      <c r="AB168" s="21">
        <f>[2]底表!BL168</f>
        <v>0</v>
      </c>
      <c r="AC168" s="21">
        <f>[2]底表!BM168</f>
        <v>0</v>
      </c>
      <c r="AD168" s="21" t="str">
        <f>[2]底表!BN168</f>
        <v>持平</v>
      </c>
      <c r="AE168" s="21">
        <f>[2]底表!BO168</f>
        <v>0</v>
      </c>
      <c r="AF168" s="21" t="str">
        <f>[2]底表!BP168</f>
        <v>持平</v>
      </c>
      <c r="AG168" s="21">
        <f>[2]底表!BT168</f>
        <v>0</v>
      </c>
      <c r="AH168" s="21" t="str">
        <f>[2]底表!BU168</f>
        <v>持平</v>
      </c>
      <c r="AI168" s="21" t="str">
        <f>[2]底表!BV168</f>
        <v/>
      </c>
      <c r="AJ168" s="21" t="str">
        <f>[2]底表!BW168</f>
        <v/>
      </c>
      <c r="AK168" s="21" t="str">
        <f>[2]底表!BX168</f>
        <v/>
      </c>
      <c r="AL168" s="21" t="str">
        <f>[2]底表!BY168</f>
        <v/>
      </c>
      <c r="AM168" s="21">
        <f>[2]底表!BZ168</f>
        <v>0</v>
      </c>
      <c r="AN168" s="21">
        <f>[2]底表!CA168</f>
        <v>0</v>
      </c>
      <c r="AO168" s="21" t="str">
        <f>[2]底表!CB168</f>
        <v>持平</v>
      </c>
      <c r="AP168" s="21">
        <f>[2]底表!CC168</f>
        <v>0</v>
      </c>
      <c r="AQ168" s="21" t="str">
        <f>[2]底表!CD168</f>
        <v>持平</v>
      </c>
      <c r="AR168" s="21" t="str">
        <f>[2]底表!CE168</f>
        <v/>
      </c>
      <c r="AS168" s="21" t="str">
        <f>[2]底表!CF168</f>
        <v/>
      </c>
      <c r="AT168" s="21">
        <f>[2]底表!CG168</f>
        <v>0</v>
      </c>
      <c r="AU168" s="21">
        <f>[2]底表!CH168</f>
        <v>0</v>
      </c>
      <c r="AV168" s="21" t="str">
        <f>[2]底表!CI168</f>
        <v>持平</v>
      </c>
      <c r="AW168" s="21">
        <f>[2]底表!CJ168</f>
        <v>0</v>
      </c>
      <c r="AX168" s="21" t="str">
        <f>[2]底表!CK168</f>
        <v>持平</v>
      </c>
      <c r="AY168" s="21" t="str">
        <f>[2]底表!CL168</f>
        <v/>
      </c>
      <c r="AZ168" s="21" t="str">
        <f>[2]底表!CM168</f>
        <v/>
      </c>
      <c r="BA168" s="21" t="str">
        <f>[2]底表!CN168</f>
        <v/>
      </c>
      <c r="BB168" s="21">
        <f>[2]底表!CO168</f>
        <v>0</v>
      </c>
      <c r="BC168" s="21">
        <f>[2]底表!CP168</f>
        <v>0</v>
      </c>
      <c r="BD168" s="21" t="str">
        <f>[2]底表!CQ168</f>
        <v>持平</v>
      </c>
      <c r="BE168" s="21">
        <f>[2]底表!CR168</f>
        <v>0</v>
      </c>
      <c r="BF168" s="21" t="str">
        <f>[2]底表!CS168</f>
        <v>持平</v>
      </c>
      <c r="BG168" s="21" t="str">
        <f>[2]底表!CT168</f>
        <v/>
      </c>
      <c r="BH168" s="21" t="str">
        <f>[2]底表!CU168</f>
        <v/>
      </c>
      <c r="BI168" s="21" t="str">
        <f>[2]底表!CV168</f>
        <v/>
      </c>
      <c r="BJ168" s="21" t="str">
        <f>[2]底表!CW168</f>
        <v/>
      </c>
      <c r="BK168" s="21" t="str">
        <f>[2]底表!CX168</f>
        <v/>
      </c>
      <c r="BL168" s="21">
        <f>[2]底表!CY168</f>
        <v>0</v>
      </c>
      <c r="BM168" s="21">
        <f>[2]底表!CZ168</f>
        <v>0</v>
      </c>
      <c r="BN168" s="23" t="str">
        <f>[2]底表!DA168</f>
        <v>持平</v>
      </c>
      <c r="BO168" s="21">
        <f>[2]底表!DB168</f>
        <v>0</v>
      </c>
      <c r="BP168" s="21" t="str">
        <f>[2]底表!DC168</f>
        <v>持平</v>
      </c>
      <c r="BQ168" s="21" t="str">
        <f>[2]底表!DD168</f>
        <v/>
      </c>
      <c r="BR168" s="21" t="str">
        <f>[2]底表!DE168</f>
        <v/>
      </c>
      <c r="BS168" s="21" t="str">
        <f>[2]底表!DF168</f>
        <v/>
      </c>
      <c r="BT168" s="21" t="str">
        <f>[2]底表!DG168</f>
        <v/>
      </c>
      <c r="BU168" s="21" t="str">
        <f>[2]底表!DH168</f>
        <v/>
      </c>
      <c r="BV168" s="21">
        <f>[2]底表!DI168</f>
        <v>0</v>
      </c>
      <c r="BW168" s="21">
        <f>[2]底表!DJ168</f>
        <v>0</v>
      </c>
      <c r="BX168" s="23" t="str">
        <f>[2]底表!DK168</f>
        <v>持平</v>
      </c>
      <c r="BY168" s="21">
        <f>[2]底表!DL168</f>
        <v>0</v>
      </c>
      <c r="BZ168" s="21" t="str">
        <f>[2]底表!DM168</f>
        <v>持平</v>
      </c>
      <c r="CA168" s="21">
        <f>[2]底表!DN168</f>
        <v>0</v>
      </c>
      <c r="CB168" s="21">
        <f>[2]底表!DO168</f>
        <v>0</v>
      </c>
      <c r="CC168" s="21" t="str">
        <f>[2]底表!DP168</f>
        <v>持平</v>
      </c>
      <c r="CD168" s="21">
        <f>[2]底表!DQ168</f>
        <v>0</v>
      </c>
      <c r="CE168" s="21" t="str">
        <f>[2]底表!DR168</f>
        <v>持平</v>
      </c>
      <c r="CF168" s="21">
        <f>[2]底表!DS168</f>
        <v>0</v>
      </c>
      <c r="CG168" s="21">
        <f>[2]底表!DT168</f>
        <v>0</v>
      </c>
      <c r="CH168" s="21" t="str">
        <f>[2]底表!DU168</f>
        <v>持平</v>
      </c>
      <c r="CI168" s="21">
        <f>[2]底表!DV168</f>
        <v>0</v>
      </c>
      <c r="CJ168" s="21" t="str">
        <f>[2]底表!DW168</f>
        <v>持平</v>
      </c>
      <c r="CK168" s="21">
        <f>[2]底表!DX168</f>
        <v>0</v>
      </c>
      <c r="CL168" s="21">
        <f>[2]底表!DY168</f>
        <v>0</v>
      </c>
      <c r="CM168" s="21" t="str">
        <f>[2]底表!DZ168</f>
        <v>持平</v>
      </c>
      <c r="CN168" s="21">
        <f>[2]底表!EA168</f>
        <v>0</v>
      </c>
      <c r="CO168" s="21" t="str">
        <f>[2]底表!EB168</f>
        <v>持平</v>
      </c>
      <c r="CP168" s="21">
        <f>[2]底表!EC168</f>
        <v>0</v>
      </c>
      <c r="CQ168" s="21">
        <f>[2]底表!ED168</f>
        <v>0</v>
      </c>
      <c r="CR168" s="21" t="str">
        <f>[2]底表!EE168</f>
        <v>持平</v>
      </c>
      <c r="CS168" s="21">
        <f>[2]底表!EF168</f>
        <v>0</v>
      </c>
      <c r="CT168" s="21" t="str">
        <f>[2]底表!EG168</f>
        <v>持平</v>
      </c>
      <c r="CU168" s="21" t="str">
        <f>[2]底表!EH168</f>
        <v/>
      </c>
      <c r="CV168" s="21" t="str">
        <f>[2]底表!EI168</f>
        <v/>
      </c>
      <c r="CW168" s="21" t="str">
        <f>[2]底表!EJ168</f>
        <v/>
      </c>
      <c r="CX168" s="21" t="str">
        <f>[2]底表!EK168</f>
        <v/>
      </c>
      <c r="CY168" s="21" t="str">
        <f>[2]底表!EL168</f>
        <v/>
      </c>
      <c r="CZ168" s="21">
        <f>[2]底表!EM168</f>
        <v>0</v>
      </c>
      <c r="DA168" s="21">
        <f>[2]底表!EN168</f>
        <v>0</v>
      </c>
      <c r="DB168" s="21" t="str">
        <f>[2]底表!EO168</f>
        <v>持平</v>
      </c>
      <c r="DC168" s="21">
        <f>[2]底表!EP168</f>
        <v>0</v>
      </c>
      <c r="DD168" s="21" t="str">
        <f>[2]底表!EQ168</f>
        <v>持平</v>
      </c>
      <c r="DE168" s="21">
        <f>[2]底表!ER168</f>
        <v>0</v>
      </c>
      <c r="DF168" s="21">
        <f>[2]底表!ES168</f>
        <v>0</v>
      </c>
      <c r="DG168" s="23" t="str">
        <f>[2]底表!ET168</f>
        <v>持平</v>
      </c>
      <c r="DH168" s="21">
        <f>[2]底表!EU168</f>
        <v>0</v>
      </c>
      <c r="DI168" s="21" t="str">
        <f>[2]底表!EV168</f>
        <v>持平</v>
      </c>
      <c r="DJ168" s="21" t="str">
        <f>[2]底表!EW168</f>
        <v/>
      </c>
      <c r="DK168" s="21" t="str">
        <f>[2]底表!EX168</f>
        <v/>
      </c>
      <c r="DL168" s="21" t="str">
        <f>[2]底表!EY168</f>
        <v/>
      </c>
      <c r="DM168" s="21" t="str">
        <f>[2]底表!EZ168</f>
        <v/>
      </c>
      <c r="DN168" s="21" t="str">
        <f>[2]底表!FA168</f>
        <v/>
      </c>
      <c r="DO168" s="21">
        <f>[2]底表!BQ168</f>
        <v>0</v>
      </c>
      <c r="DP168" s="21">
        <f>[2]底表!BR168</f>
        <v>0</v>
      </c>
      <c r="DQ168" s="24" t="str">
        <f>[2]底表!BS168</f>
        <v>持平</v>
      </c>
    </row>
    <row r="169" s="2" customFormat="1" ht="32" hidden="1" customHeight="1" spans="1:121">
      <c r="A169" s="27" t="str">
        <f>[2]底表!A169</f>
        <v>敲诈勒索</v>
      </c>
      <c r="B169" s="28" t="str">
        <f>[2]底表!B169</f>
        <v>新兴县</v>
      </c>
      <c r="C169" s="21">
        <f>[2]底表!AM169</f>
        <v>0</v>
      </c>
      <c r="D169" s="21">
        <f>[2]底表!AN169</f>
        <v>0</v>
      </c>
      <c r="E169" s="23" t="str">
        <f>[2]底表!AO169</f>
        <v>持平</v>
      </c>
      <c r="F169" s="21">
        <f>[2]底表!AP169</f>
        <v>0</v>
      </c>
      <c r="G169" s="21" t="str">
        <f>[2]底表!AQ169</f>
        <v>持平</v>
      </c>
      <c r="H169" s="21" t="str">
        <f>[2]底表!AR169</f>
        <v/>
      </c>
      <c r="I169" s="21" t="str">
        <f>[2]底表!AS169</f>
        <v/>
      </c>
      <c r="J169" s="21">
        <f>[2]底表!AT169</f>
        <v>0</v>
      </c>
      <c r="K169" s="21">
        <f>[2]底表!AU169</f>
        <v>0</v>
      </c>
      <c r="L169" s="21" t="str">
        <f>[2]底表!AV169</f>
        <v>持平</v>
      </c>
      <c r="M169" s="21">
        <f>[2]底表!AW169</f>
        <v>0</v>
      </c>
      <c r="N169" s="21" t="str">
        <f>[2]底表!AX169</f>
        <v>持平</v>
      </c>
      <c r="O169" s="21">
        <f>[2]底表!AY169</f>
        <v>0</v>
      </c>
      <c r="P169" s="21">
        <f>[2]底表!AZ169</f>
        <v>0</v>
      </c>
      <c r="Q169" s="21" t="str">
        <f>[2]底表!BA169</f>
        <v>持平</v>
      </c>
      <c r="R169" s="21">
        <f>[2]底表!BB169</f>
        <v>0</v>
      </c>
      <c r="S169" s="21" t="str">
        <f>[2]底表!BC169</f>
        <v>持平</v>
      </c>
      <c r="T169" s="21" t="str">
        <f>[2]底表!BD169</f>
        <v/>
      </c>
      <c r="U169" s="21" t="str">
        <f>[2]底表!BE169</f>
        <v/>
      </c>
      <c r="V169" s="21">
        <f>[2]底表!BF169</f>
        <v>0</v>
      </c>
      <c r="W169" s="21">
        <f>[2]底表!BG169</f>
        <v>0</v>
      </c>
      <c r="X169" s="21" t="str">
        <f>[2]底表!BH169</f>
        <v>持平</v>
      </c>
      <c r="Y169" s="21">
        <f>[2]底表!BI169</f>
        <v>0</v>
      </c>
      <c r="Z169" s="21" t="str">
        <f>[2]底表!BJ169</f>
        <v>持平</v>
      </c>
      <c r="AA169" s="21" t="str">
        <f>[2]底表!BK169</f>
        <v/>
      </c>
      <c r="AB169" s="21">
        <f>[2]底表!BL169</f>
        <v>0</v>
      </c>
      <c r="AC169" s="21">
        <f>[2]底表!BM169</f>
        <v>0</v>
      </c>
      <c r="AD169" s="21" t="str">
        <f>[2]底表!BN169</f>
        <v>持平</v>
      </c>
      <c r="AE169" s="21">
        <f>[2]底表!BO169</f>
        <v>0</v>
      </c>
      <c r="AF169" s="21" t="str">
        <f>[2]底表!BP169</f>
        <v>持平</v>
      </c>
      <c r="AG169" s="21">
        <f>[2]底表!BT169</f>
        <v>0</v>
      </c>
      <c r="AH169" s="21" t="str">
        <f>[2]底表!BU169</f>
        <v>持平</v>
      </c>
      <c r="AI169" s="21" t="str">
        <f>[2]底表!BV169</f>
        <v/>
      </c>
      <c r="AJ169" s="21" t="str">
        <f>[2]底表!BW169</f>
        <v/>
      </c>
      <c r="AK169" s="21" t="str">
        <f>[2]底表!BX169</f>
        <v/>
      </c>
      <c r="AL169" s="21" t="str">
        <f>[2]底表!BY169</f>
        <v/>
      </c>
      <c r="AM169" s="21">
        <f>[2]底表!BZ169</f>
        <v>0</v>
      </c>
      <c r="AN169" s="21">
        <f>[2]底表!CA169</f>
        <v>0</v>
      </c>
      <c r="AO169" s="21" t="str">
        <f>[2]底表!CB169</f>
        <v>持平</v>
      </c>
      <c r="AP169" s="21">
        <f>[2]底表!CC169</f>
        <v>0</v>
      </c>
      <c r="AQ169" s="21" t="str">
        <f>[2]底表!CD169</f>
        <v>持平</v>
      </c>
      <c r="AR169" s="21" t="str">
        <f>[2]底表!CE169</f>
        <v/>
      </c>
      <c r="AS169" s="21" t="str">
        <f>[2]底表!CF169</f>
        <v/>
      </c>
      <c r="AT169" s="21">
        <f>[2]底表!CG169</f>
        <v>0</v>
      </c>
      <c r="AU169" s="21">
        <f>[2]底表!CH169</f>
        <v>0</v>
      </c>
      <c r="AV169" s="21" t="str">
        <f>[2]底表!CI169</f>
        <v>持平</v>
      </c>
      <c r="AW169" s="21">
        <f>[2]底表!CJ169</f>
        <v>0</v>
      </c>
      <c r="AX169" s="21" t="str">
        <f>[2]底表!CK169</f>
        <v>持平</v>
      </c>
      <c r="AY169" s="21" t="str">
        <f>[2]底表!CL169</f>
        <v/>
      </c>
      <c r="AZ169" s="21" t="str">
        <f>[2]底表!CM169</f>
        <v/>
      </c>
      <c r="BA169" s="21" t="str">
        <f>[2]底表!CN169</f>
        <v/>
      </c>
      <c r="BB169" s="21">
        <f>[2]底表!CO169</f>
        <v>0</v>
      </c>
      <c r="BC169" s="21">
        <f>[2]底表!CP169</f>
        <v>0</v>
      </c>
      <c r="BD169" s="21" t="str">
        <f>[2]底表!CQ169</f>
        <v>持平</v>
      </c>
      <c r="BE169" s="21">
        <f>[2]底表!CR169</f>
        <v>0</v>
      </c>
      <c r="BF169" s="21" t="str">
        <f>[2]底表!CS169</f>
        <v>持平</v>
      </c>
      <c r="BG169" s="21" t="str">
        <f>[2]底表!CT169</f>
        <v/>
      </c>
      <c r="BH169" s="21" t="str">
        <f>[2]底表!CU169</f>
        <v/>
      </c>
      <c r="BI169" s="21" t="str">
        <f>[2]底表!CV169</f>
        <v/>
      </c>
      <c r="BJ169" s="21" t="str">
        <f>[2]底表!CW169</f>
        <v/>
      </c>
      <c r="BK169" s="21" t="str">
        <f>[2]底表!CX169</f>
        <v/>
      </c>
      <c r="BL169" s="21">
        <f>[2]底表!CY169</f>
        <v>0</v>
      </c>
      <c r="BM169" s="21">
        <f>[2]底表!CZ169</f>
        <v>0</v>
      </c>
      <c r="BN169" s="23" t="str">
        <f>[2]底表!DA169</f>
        <v>持平</v>
      </c>
      <c r="BO169" s="21">
        <f>[2]底表!DB169</f>
        <v>0</v>
      </c>
      <c r="BP169" s="21" t="str">
        <f>[2]底表!DC169</f>
        <v>持平</v>
      </c>
      <c r="BQ169" s="21" t="str">
        <f>[2]底表!DD169</f>
        <v/>
      </c>
      <c r="BR169" s="21" t="str">
        <f>[2]底表!DE169</f>
        <v/>
      </c>
      <c r="BS169" s="21" t="str">
        <f>[2]底表!DF169</f>
        <v/>
      </c>
      <c r="BT169" s="21" t="str">
        <f>[2]底表!DG169</f>
        <v/>
      </c>
      <c r="BU169" s="21" t="str">
        <f>[2]底表!DH169</f>
        <v/>
      </c>
      <c r="BV169" s="21">
        <f>[2]底表!DI169</f>
        <v>0</v>
      </c>
      <c r="BW169" s="21">
        <f>[2]底表!DJ169</f>
        <v>0</v>
      </c>
      <c r="BX169" s="23" t="str">
        <f>[2]底表!DK169</f>
        <v>持平</v>
      </c>
      <c r="BY169" s="21">
        <f>[2]底表!DL169</f>
        <v>0</v>
      </c>
      <c r="BZ169" s="21" t="str">
        <f>[2]底表!DM169</f>
        <v>持平</v>
      </c>
      <c r="CA169" s="21">
        <f>[2]底表!DN169</f>
        <v>0</v>
      </c>
      <c r="CB169" s="21">
        <f>[2]底表!DO169</f>
        <v>0</v>
      </c>
      <c r="CC169" s="21" t="str">
        <f>[2]底表!DP169</f>
        <v>持平</v>
      </c>
      <c r="CD169" s="21">
        <f>[2]底表!DQ169</f>
        <v>0</v>
      </c>
      <c r="CE169" s="21" t="str">
        <f>[2]底表!DR169</f>
        <v>持平</v>
      </c>
      <c r="CF169" s="21">
        <f>[2]底表!DS169</f>
        <v>0</v>
      </c>
      <c r="CG169" s="21">
        <f>[2]底表!DT169</f>
        <v>0</v>
      </c>
      <c r="CH169" s="21" t="str">
        <f>[2]底表!DU169</f>
        <v>持平</v>
      </c>
      <c r="CI169" s="21">
        <f>[2]底表!DV169</f>
        <v>0</v>
      </c>
      <c r="CJ169" s="21" t="str">
        <f>[2]底表!DW169</f>
        <v>持平</v>
      </c>
      <c r="CK169" s="21">
        <f>[2]底表!DX169</f>
        <v>0</v>
      </c>
      <c r="CL169" s="21">
        <f>[2]底表!DY169</f>
        <v>0</v>
      </c>
      <c r="CM169" s="21" t="str">
        <f>[2]底表!DZ169</f>
        <v>持平</v>
      </c>
      <c r="CN169" s="21">
        <f>[2]底表!EA169</f>
        <v>0</v>
      </c>
      <c r="CO169" s="21" t="str">
        <f>[2]底表!EB169</f>
        <v>持平</v>
      </c>
      <c r="CP169" s="21">
        <f>[2]底表!EC169</f>
        <v>0</v>
      </c>
      <c r="CQ169" s="21">
        <f>[2]底表!ED169</f>
        <v>0</v>
      </c>
      <c r="CR169" s="21" t="str">
        <f>[2]底表!EE169</f>
        <v>持平</v>
      </c>
      <c r="CS169" s="21">
        <f>[2]底表!EF169</f>
        <v>0</v>
      </c>
      <c r="CT169" s="21" t="str">
        <f>[2]底表!EG169</f>
        <v>持平</v>
      </c>
      <c r="CU169" s="21" t="str">
        <f>[2]底表!EH169</f>
        <v/>
      </c>
      <c r="CV169" s="21" t="str">
        <f>[2]底表!EI169</f>
        <v/>
      </c>
      <c r="CW169" s="21" t="str">
        <f>[2]底表!EJ169</f>
        <v/>
      </c>
      <c r="CX169" s="21" t="str">
        <f>[2]底表!EK169</f>
        <v/>
      </c>
      <c r="CY169" s="21" t="str">
        <f>[2]底表!EL169</f>
        <v/>
      </c>
      <c r="CZ169" s="21">
        <f>[2]底表!EM169</f>
        <v>0</v>
      </c>
      <c r="DA169" s="21">
        <f>[2]底表!EN169</f>
        <v>0</v>
      </c>
      <c r="DB169" s="21" t="str">
        <f>[2]底表!EO169</f>
        <v>持平</v>
      </c>
      <c r="DC169" s="21">
        <f>[2]底表!EP169</f>
        <v>0</v>
      </c>
      <c r="DD169" s="21" t="str">
        <f>[2]底表!EQ169</f>
        <v>持平</v>
      </c>
      <c r="DE169" s="21">
        <f>[2]底表!ER169</f>
        <v>0</v>
      </c>
      <c r="DF169" s="21">
        <f>[2]底表!ES169</f>
        <v>0</v>
      </c>
      <c r="DG169" s="23" t="str">
        <f>[2]底表!ET169</f>
        <v>持平</v>
      </c>
      <c r="DH169" s="21">
        <f>[2]底表!EU169</f>
        <v>0</v>
      </c>
      <c r="DI169" s="21" t="str">
        <f>[2]底表!EV169</f>
        <v>持平</v>
      </c>
      <c r="DJ169" s="21" t="str">
        <f>[2]底表!EW169</f>
        <v/>
      </c>
      <c r="DK169" s="21" t="str">
        <f>[2]底表!EX169</f>
        <v/>
      </c>
      <c r="DL169" s="21" t="str">
        <f>[2]底表!EY169</f>
        <v/>
      </c>
      <c r="DM169" s="21" t="str">
        <f>[2]底表!EZ169</f>
        <v/>
      </c>
      <c r="DN169" s="21" t="str">
        <f>[2]底表!FA169</f>
        <v/>
      </c>
      <c r="DO169" s="21">
        <f>[2]底表!BQ169</f>
        <v>0</v>
      </c>
      <c r="DP169" s="21">
        <f>[2]底表!BR169</f>
        <v>0</v>
      </c>
      <c r="DQ169" s="24" t="str">
        <f>[2]底表!BS169</f>
        <v>持平</v>
      </c>
    </row>
    <row r="170" s="2" customFormat="1" ht="32" hidden="1" customHeight="1" spans="1:121">
      <c r="A170" s="27" t="str">
        <f>[2]底表!A170</f>
        <v>敲诈勒索</v>
      </c>
      <c r="B170" s="28" t="str">
        <f>[2]底表!B170</f>
        <v>郁南县</v>
      </c>
      <c r="C170" s="21">
        <f>[2]底表!AM170</f>
        <v>1</v>
      </c>
      <c r="D170" s="21">
        <f>[2]底表!AN170</f>
        <v>0</v>
      </c>
      <c r="E170" s="23" t="str">
        <f>[2]底表!AO170</f>
        <v>多1起</v>
      </c>
      <c r="F170" s="21">
        <f>[2]底表!AP170</f>
        <v>0</v>
      </c>
      <c r="G170" s="21" t="str">
        <f>[2]底表!AQ170</f>
        <v>多1起</v>
      </c>
      <c r="H170" s="21">
        <f>[2]底表!AR170</f>
        <v>1</v>
      </c>
      <c r="I170" s="21" t="str">
        <f>[2]底表!AS170</f>
        <v/>
      </c>
      <c r="J170" s="21">
        <f>[2]底表!AT170</f>
        <v>1</v>
      </c>
      <c r="K170" s="21">
        <f>[2]底表!AU170</f>
        <v>0</v>
      </c>
      <c r="L170" s="21" t="str">
        <f>[2]底表!AV170</f>
        <v>多1起</v>
      </c>
      <c r="M170" s="21">
        <f>[2]底表!AW170</f>
        <v>0</v>
      </c>
      <c r="N170" s="21" t="str">
        <f>[2]底表!AX170</f>
        <v>多1起</v>
      </c>
      <c r="O170" s="21">
        <f>[2]底表!AY170</f>
        <v>1</v>
      </c>
      <c r="P170" s="21">
        <f>[2]底表!AZ170</f>
        <v>0</v>
      </c>
      <c r="Q170" s="21" t="str">
        <f>[2]底表!BA170</f>
        <v>多1起</v>
      </c>
      <c r="R170" s="21">
        <f>[2]底表!BB170</f>
        <v>0</v>
      </c>
      <c r="S170" s="21" t="str">
        <f>[2]底表!BC170</f>
        <v>多1起</v>
      </c>
      <c r="T170" s="21">
        <f>[2]底表!BD170</f>
        <v>1</v>
      </c>
      <c r="U170" s="21" t="str">
        <f>[2]底表!BE170</f>
        <v/>
      </c>
      <c r="V170" s="21">
        <f>[2]底表!BF170</f>
        <v>0</v>
      </c>
      <c r="W170" s="21">
        <f>[2]底表!BG170</f>
        <v>0</v>
      </c>
      <c r="X170" s="21" t="str">
        <f>[2]底表!BH170</f>
        <v>持平</v>
      </c>
      <c r="Y170" s="21">
        <f>[2]底表!BI170</f>
        <v>0</v>
      </c>
      <c r="Z170" s="21" t="str">
        <f>[2]底表!BJ170</f>
        <v>持平</v>
      </c>
      <c r="AA170" s="21">
        <f>[2]底表!BK170</f>
        <v>0</v>
      </c>
      <c r="AB170" s="21">
        <f>[2]底表!BL170</f>
        <v>0</v>
      </c>
      <c r="AC170" s="21">
        <f>[2]底表!BM170</f>
        <v>0</v>
      </c>
      <c r="AD170" s="21" t="str">
        <f>[2]底表!BN170</f>
        <v>持平</v>
      </c>
      <c r="AE170" s="21">
        <f>[2]底表!BO170</f>
        <v>0</v>
      </c>
      <c r="AF170" s="21" t="str">
        <f>[2]底表!BP170</f>
        <v>持平</v>
      </c>
      <c r="AG170" s="21">
        <f>[2]底表!BT170</f>
        <v>0</v>
      </c>
      <c r="AH170" s="21" t="str">
        <f>[2]底表!BU170</f>
        <v>持平</v>
      </c>
      <c r="AI170" s="21">
        <f>[2]底表!BV170</f>
        <v>0</v>
      </c>
      <c r="AJ170" s="21" t="str">
        <f>[2]底表!BW170</f>
        <v/>
      </c>
      <c r="AK170" s="21">
        <f>[2]底表!BX170</f>
        <v>0</v>
      </c>
      <c r="AL170" s="21" t="str">
        <f>[2]底表!BY170</f>
        <v/>
      </c>
      <c r="AM170" s="21">
        <f>[2]底表!BZ170</f>
        <v>0</v>
      </c>
      <c r="AN170" s="21">
        <f>[2]底表!CA170</f>
        <v>0</v>
      </c>
      <c r="AO170" s="21" t="str">
        <f>[2]底表!CB170</f>
        <v>持平</v>
      </c>
      <c r="AP170" s="21">
        <f>[2]底表!CC170</f>
        <v>0</v>
      </c>
      <c r="AQ170" s="21" t="str">
        <f>[2]底表!CD170</f>
        <v>持平</v>
      </c>
      <c r="AR170" s="21" t="str">
        <f>[2]底表!CE170</f>
        <v/>
      </c>
      <c r="AS170" s="21" t="str">
        <f>[2]底表!CF170</f>
        <v/>
      </c>
      <c r="AT170" s="21">
        <f>[2]底表!CG170</f>
        <v>0</v>
      </c>
      <c r="AU170" s="21">
        <f>[2]底表!CH170</f>
        <v>0</v>
      </c>
      <c r="AV170" s="21" t="str">
        <f>[2]底表!CI170</f>
        <v>持平</v>
      </c>
      <c r="AW170" s="21">
        <f>[2]底表!CJ170</f>
        <v>0</v>
      </c>
      <c r="AX170" s="21" t="str">
        <f>[2]底表!CK170</f>
        <v>持平</v>
      </c>
      <c r="AY170" s="21">
        <f>[2]底表!CL170</f>
        <v>0</v>
      </c>
      <c r="AZ170" s="21" t="str">
        <f>[2]底表!CM170</f>
        <v/>
      </c>
      <c r="BA170" s="21" t="str">
        <f>[2]底表!CN170</f>
        <v/>
      </c>
      <c r="BB170" s="21">
        <f>[2]底表!CO170</f>
        <v>1</v>
      </c>
      <c r="BC170" s="21">
        <f>[2]底表!CP170</f>
        <v>0</v>
      </c>
      <c r="BD170" s="21" t="str">
        <f>[2]底表!CQ170</f>
        <v>多1人</v>
      </c>
      <c r="BE170" s="21">
        <f>[2]底表!CR170</f>
        <v>0</v>
      </c>
      <c r="BF170" s="21" t="str">
        <f>[2]底表!CS170</f>
        <v>多1人</v>
      </c>
      <c r="BG170" s="21" t="str">
        <f>[2]底表!CT170</f>
        <v/>
      </c>
      <c r="BH170" s="21" t="str">
        <f>[2]底表!CU170</f>
        <v/>
      </c>
      <c r="BI170" s="21">
        <f>[2]底表!CV170</f>
        <v>100</v>
      </c>
      <c r="BJ170" s="21" t="str">
        <f>[2]底表!CW170</f>
        <v/>
      </c>
      <c r="BK170" s="21" t="str">
        <f>[2]底表!CX170</f>
        <v/>
      </c>
      <c r="BL170" s="21">
        <f>[2]底表!CY170</f>
        <v>1</v>
      </c>
      <c r="BM170" s="21">
        <f>[2]底表!CZ170</f>
        <v>0</v>
      </c>
      <c r="BN170" s="23" t="str">
        <f>[2]底表!DA170</f>
        <v>多1人</v>
      </c>
      <c r="BO170" s="21">
        <f>[2]底表!DB170</f>
        <v>0</v>
      </c>
      <c r="BP170" s="21" t="str">
        <f>[2]底表!DC170</f>
        <v>多1人</v>
      </c>
      <c r="BQ170" s="21" t="str">
        <f>[2]底表!DD170</f>
        <v/>
      </c>
      <c r="BR170" s="21" t="str">
        <f>[2]底表!DE170</f>
        <v/>
      </c>
      <c r="BS170" s="21">
        <f>[2]底表!DF170</f>
        <v>100</v>
      </c>
      <c r="BT170" s="21" t="str">
        <f>[2]底表!DG170</f>
        <v/>
      </c>
      <c r="BU170" s="21" t="str">
        <f>[2]底表!DH170</f>
        <v/>
      </c>
      <c r="BV170" s="21">
        <f>[2]底表!DI170</f>
        <v>0</v>
      </c>
      <c r="BW170" s="21">
        <f>[2]底表!DJ170</f>
        <v>0</v>
      </c>
      <c r="BX170" s="23" t="str">
        <f>[2]底表!DK170</f>
        <v>持平</v>
      </c>
      <c r="BY170" s="21">
        <f>[2]底表!DL170</f>
        <v>0</v>
      </c>
      <c r="BZ170" s="21" t="str">
        <f>[2]底表!DM170</f>
        <v>持平</v>
      </c>
      <c r="CA170" s="21">
        <f>[2]底表!DN170</f>
        <v>0</v>
      </c>
      <c r="CB170" s="21">
        <f>[2]底表!DO170</f>
        <v>0</v>
      </c>
      <c r="CC170" s="21" t="str">
        <f>[2]底表!DP170</f>
        <v>持平</v>
      </c>
      <c r="CD170" s="21">
        <f>[2]底表!DQ170</f>
        <v>0</v>
      </c>
      <c r="CE170" s="21" t="str">
        <f>[2]底表!DR170</f>
        <v>持平</v>
      </c>
      <c r="CF170" s="21">
        <f>[2]底表!DS170</f>
        <v>0</v>
      </c>
      <c r="CG170" s="21">
        <f>[2]底表!DT170</f>
        <v>0</v>
      </c>
      <c r="CH170" s="21" t="str">
        <f>[2]底表!DU170</f>
        <v>持平</v>
      </c>
      <c r="CI170" s="21">
        <f>[2]底表!DV170</f>
        <v>0</v>
      </c>
      <c r="CJ170" s="21" t="str">
        <f>[2]底表!DW170</f>
        <v>持平</v>
      </c>
      <c r="CK170" s="21">
        <f>[2]底表!DX170</f>
        <v>0</v>
      </c>
      <c r="CL170" s="21">
        <f>[2]底表!DY170</f>
        <v>0</v>
      </c>
      <c r="CM170" s="21" t="str">
        <f>[2]底表!DZ170</f>
        <v>持平</v>
      </c>
      <c r="CN170" s="21">
        <f>[2]底表!EA170</f>
        <v>0</v>
      </c>
      <c r="CO170" s="21" t="str">
        <f>[2]底表!EB170</f>
        <v>持平</v>
      </c>
      <c r="CP170" s="21">
        <f>[2]底表!EC170</f>
        <v>0</v>
      </c>
      <c r="CQ170" s="21">
        <f>[2]底表!ED170</f>
        <v>0</v>
      </c>
      <c r="CR170" s="21" t="str">
        <f>[2]底表!EE170</f>
        <v>持平</v>
      </c>
      <c r="CS170" s="21">
        <f>[2]底表!EF170</f>
        <v>0</v>
      </c>
      <c r="CT170" s="21" t="str">
        <f>[2]底表!EG170</f>
        <v>持平</v>
      </c>
      <c r="CU170" s="21">
        <f>[2]底表!EH170</f>
        <v>0</v>
      </c>
      <c r="CV170" s="21" t="str">
        <f>[2]底表!EI170</f>
        <v/>
      </c>
      <c r="CW170" s="21">
        <f>[2]底表!EJ170</f>
        <v>0</v>
      </c>
      <c r="CX170" s="21" t="str">
        <f>[2]底表!EK170</f>
        <v/>
      </c>
      <c r="CY170" s="21" t="str">
        <f>[2]底表!EL170</f>
        <v/>
      </c>
      <c r="CZ170" s="21">
        <f>[2]底表!EM170</f>
        <v>0</v>
      </c>
      <c r="DA170" s="21">
        <f>[2]底表!EN170</f>
        <v>0</v>
      </c>
      <c r="DB170" s="21" t="str">
        <f>[2]底表!EO170</f>
        <v>持平</v>
      </c>
      <c r="DC170" s="21">
        <f>[2]底表!EP170</f>
        <v>0</v>
      </c>
      <c r="DD170" s="21" t="str">
        <f>[2]底表!EQ170</f>
        <v>持平</v>
      </c>
      <c r="DE170" s="21">
        <f>[2]底表!ER170</f>
        <v>0</v>
      </c>
      <c r="DF170" s="21">
        <f>[2]底表!ES170</f>
        <v>0</v>
      </c>
      <c r="DG170" s="23" t="str">
        <f>[2]底表!ET170</f>
        <v>持平</v>
      </c>
      <c r="DH170" s="21">
        <f>[2]底表!EU170</f>
        <v>0</v>
      </c>
      <c r="DI170" s="21" t="str">
        <f>[2]底表!EV170</f>
        <v>持平</v>
      </c>
      <c r="DJ170" s="21">
        <f>[2]底表!EW170</f>
        <v>0</v>
      </c>
      <c r="DK170" s="21" t="str">
        <f>[2]底表!EX170</f>
        <v/>
      </c>
      <c r="DL170" s="21">
        <f>[2]底表!EY170</f>
        <v>0</v>
      </c>
      <c r="DM170" s="21" t="str">
        <f>[2]底表!EZ170</f>
        <v/>
      </c>
      <c r="DN170" s="21" t="str">
        <f>[2]底表!FA170</f>
        <v/>
      </c>
      <c r="DO170" s="21">
        <f>[2]底表!BQ170</f>
        <v>0</v>
      </c>
      <c r="DP170" s="21">
        <f>[2]底表!BR170</f>
        <v>0</v>
      </c>
      <c r="DQ170" s="24" t="str">
        <f>[2]底表!BS170</f>
        <v>持平</v>
      </c>
    </row>
    <row r="171" s="2" customFormat="1" ht="32" hidden="1" customHeight="1" spans="1:121">
      <c r="A171" s="27" t="str">
        <f>[2]底表!A171</f>
        <v>敲诈勒索</v>
      </c>
      <c r="B171" s="28" t="str">
        <f>[2]底表!B171</f>
        <v>罗定市</v>
      </c>
      <c r="C171" s="21">
        <f>[2]底表!AM171</f>
        <v>0</v>
      </c>
      <c r="D171" s="21">
        <f>[2]底表!AN171</f>
        <v>0</v>
      </c>
      <c r="E171" s="23" t="str">
        <f>[2]底表!AO171</f>
        <v>持平</v>
      </c>
      <c r="F171" s="21">
        <f>[2]底表!AP171</f>
        <v>1</v>
      </c>
      <c r="G171" s="21" t="str">
        <f>[2]底表!AQ171</f>
        <v>少1起</v>
      </c>
      <c r="H171" s="21" t="str">
        <f>[2]底表!AR171</f>
        <v/>
      </c>
      <c r="I171" s="21" t="str">
        <f>[2]底表!AS171</f>
        <v/>
      </c>
      <c r="J171" s="21">
        <f>[2]底表!AT171</f>
        <v>0</v>
      </c>
      <c r="K171" s="21">
        <f>[2]底表!AU171</f>
        <v>0</v>
      </c>
      <c r="L171" s="21" t="str">
        <f>[2]底表!AV171</f>
        <v>持平</v>
      </c>
      <c r="M171" s="21">
        <f>[2]底表!AW171</f>
        <v>0</v>
      </c>
      <c r="N171" s="21" t="str">
        <f>[2]底表!AX171</f>
        <v>持平</v>
      </c>
      <c r="O171" s="21">
        <f>[2]底表!AY171</f>
        <v>0</v>
      </c>
      <c r="P171" s="21">
        <f>[2]底表!AZ171</f>
        <v>0</v>
      </c>
      <c r="Q171" s="21" t="str">
        <f>[2]底表!BA171</f>
        <v>持平</v>
      </c>
      <c r="R171" s="21">
        <f>[2]底表!BB171</f>
        <v>1</v>
      </c>
      <c r="S171" s="21" t="str">
        <f>[2]底表!BC171</f>
        <v>少1起</v>
      </c>
      <c r="T171" s="21" t="str">
        <f>[2]底表!BD171</f>
        <v/>
      </c>
      <c r="U171" s="21" t="str">
        <f>[2]底表!BE171</f>
        <v/>
      </c>
      <c r="V171" s="21">
        <f>[2]底表!BF171</f>
        <v>0</v>
      </c>
      <c r="W171" s="21">
        <f>[2]底表!BG171</f>
        <v>0</v>
      </c>
      <c r="X171" s="21" t="str">
        <f>[2]底表!BH171</f>
        <v>持平</v>
      </c>
      <c r="Y171" s="21">
        <f>[2]底表!BI171</f>
        <v>0</v>
      </c>
      <c r="Z171" s="21" t="str">
        <f>[2]底表!BJ171</f>
        <v>持平</v>
      </c>
      <c r="AA171" s="21" t="str">
        <f>[2]底表!BK171</f>
        <v/>
      </c>
      <c r="AB171" s="21">
        <f>[2]底表!BL171</f>
        <v>0</v>
      </c>
      <c r="AC171" s="21">
        <f>[2]底表!BM171</f>
        <v>0</v>
      </c>
      <c r="AD171" s="21" t="str">
        <f>[2]底表!BN171</f>
        <v>持平</v>
      </c>
      <c r="AE171" s="21">
        <f>[2]底表!BO171</f>
        <v>0</v>
      </c>
      <c r="AF171" s="21" t="str">
        <f>[2]底表!BP171</f>
        <v>持平</v>
      </c>
      <c r="AG171" s="21">
        <f>[2]底表!BT171</f>
        <v>1</v>
      </c>
      <c r="AH171" s="21" t="str">
        <f>[2]底表!BU171</f>
        <v>少1起</v>
      </c>
      <c r="AI171" s="21" t="str">
        <f>[2]底表!BV171</f>
        <v/>
      </c>
      <c r="AJ171" s="21" t="str">
        <f>[2]底表!BW171</f>
        <v/>
      </c>
      <c r="AK171" s="21" t="str">
        <f>[2]底表!BX171</f>
        <v/>
      </c>
      <c r="AL171" s="21" t="str">
        <f>[2]底表!BY171</f>
        <v/>
      </c>
      <c r="AM171" s="21">
        <f>[2]底表!BZ171</f>
        <v>0</v>
      </c>
      <c r="AN171" s="21">
        <f>[2]底表!CA171</f>
        <v>0</v>
      </c>
      <c r="AO171" s="21" t="str">
        <f>[2]底表!CB171</f>
        <v>持平</v>
      </c>
      <c r="AP171" s="21">
        <f>[2]底表!CC171</f>
        <v>0</v>
      </c>
      <c r="AQ171" s="21" t="str">
        <f>[2]底表!CD171</f>
        <v>持平</v>
      </c>
      <c r="AR171" s="21" t="str">
        <f>[2]底表!CE171</f>
        <v/>
      </c>
      <c r="AS171" s="21" t="str">
        <f>[2]底表!CF171</f>
        <v/>
      </c>
      <c r="AT171" s="21">
        <f>[2]底表!CG171</f>
        <v>0</v>
      </c>
      <c r="AU171" s="21">
        <f>[2]底表!CH171</f>
        <v>0</v>
      </c>
      <c r="AV171" s="21" t="str">
        <f>[2]底表!CI171</f>
        <v>持平</v>
      </c>
      <c r="AW171" s="21">
        <f>[2]底表!CJ171</f>
        <v>0</v>
      </c>
      <c r="AX171" s="21" t="str">
        <f>[2]底表!CK171</f>
        <v>持平</v>
      </c>
      <c r="AY171" s="21" t="str">
        <f>[2]底表!CL171</f>
        <v/>
      </c>
      <c r="AZ171" s="21" t="str">
        <f>[2]底表!CM171</f>
        <v/>
      </c>
      <c r="BA171" s="21" t="str">
        <f>[2]底表!CN171</f>
        <v/>
      </c>
      <c r="BB171" s="21">
        <f>[2]底表!CO171</f>
        <v>0</v>
      </c>
      <c r="BC171" s="21">
        <f>[2]底表!CP171</f>
        <v>0</v>
      </c>
      <c r="BD171" s="21" t="str">
        <f>[2]底表!CQ171</f>
        <v>持平</v>
      </c>
      <c r="BE171" s="21">
        <f>[2]底表!CR171</f>
        <v>0</v>
      </c>
      <c r="BF171" s="21" t="str">
        <f>[2]底表!CS171</f>
        <v>持平</v>
      </c>
      <c r="BG171" s="21" t="str">
        <f>[2]底表!CT171</f>
        <v/>
      </c>
      <c r="BH171" s="21" t="str">
        <f>[2]底表!CU171</f>
        <v/>
      </c>
      <c r="BI171" s="21" t="str">
        <f>[2]底表!CV171</f>
        <v/>
      </c>
      <c r="BJ171" s="21" t="str">
        <f>[2]底表!CW171</f>
        <v/>
      </c>
      <c r="BK171" s="21" t="str">
        <f>[2]底表!CX171</f>
        <v/>
      </c>
      <c r="BL171" s="21">
        <f>[2]底表!CY171</f>
        <v>0</v>
      </c>
      <c r="BM171" s="21">
        <f>[2]底表!CZ171</f>
        <v>0</v>
      </c>
      <c r="BN171" s="23" t="str">
        <f>[2]底表!DA171</f>
        <v>持平</v>
      </c>
      <c r="BO171" s="21">
        <f>[2]底表!DB171</f>
        <v>0</v>
      </c>
      <c r="BP171" s="21" t="str">
        <f>[2]底表!DC171</f>
        <v>持平</v>
      </c>
      <c r="BQ171" s="21" t="str">
        <f>[2]底表!DD171</f>
        <v/>
      </c>
      <c r="BR171" s="21" t="str">
        <f>[2]底表!DE171</f>
        <v/>
      </c>
      <c r="BS171" s="21" t="str">
        <f>[2]底表!DF171</f>
        <v/>
      </c>
      <c r="BT171" s="21" t="str">
        <f>[2]底表!DG171</f>
        <v/>
      </c>
      <c r="BU171" s="21" t="str">
        <f>[2]底表!DH171</f>
        <v/>
      </c>
      <c r="BV171" s="21">
        <f>[2]底表!DI171</f>
        <v>0</v>
      </c>
      <c r="BW171" s="21">
        <f>[2]底表!DJ171</f>
        <v>0</v>
      </c>
      <c r="BX171" s="23" t="str">
        <f>[2]底表!DK171</f>
        <v>持平</v>
      </c>
      <c r="BY171" s="21">
        <f>[2]底表!DL171</f>
        <v>0</v>
      </c>
      <c r="BZ171" s="21" t="str">
        <f>[2]底表!DM171</f>
        <v>持平</v>
      </c>
      <c r="CA171" s="21">
        <f>[2]底表!DN171</f>
        <v>0</v>
      </c>
      <c r="CB171" s="21">
        <f>[2]底表!DO171</f>
        <v>0</v>
      </c>
      <c r="CC171" s="21" t="str">
        <f>[2]底表!DP171</f>
        <v>持平</v>
      </c>
      <c r="CD171" s="21">
        <f>[2]底表!DQ171</f>
        <v>0</v>
      </c>
      <c r="CE171" s="21" t="str">
        <f>[2]底表!DR171</f>
        <v>持平</v>
      </c>
      <c r="CF171" s="21">
        <f>[2]底表!DS171</f>
        <v>0</v>
      </c>
      <c r="CG171" s="21">
        <f>[2]底表!DT171</f>
        <v>0</v>
      </c>
      <c r="CH171" s="21" t="str">
        <f>[2]底表!DU171</f>
        <v>持平</v>
      </c>
      <c r="CI171" s="21">
        <f>[2]底表!DV171</f>
        <v>0</v>
      </c>
      <c r="CJ171" s="21" t="str">
        <f>[2]底表!DW171</f>
        <v>持平</v>
      </c>
      <c r="CK171" s="21">
        <f>[2]底表!DX171</f>
        <v>0</v>
      </c>
      <c r="CL171" s="21">
        <f>[2]底表!DY171</f>
        <v>0</v>
      </c>
      <c r="CM171" s="21" t="str">
        <f>[2]底表!DZ171</f>
        <v>持平</v>
      </c>
      <c r="CN171" s="21">
        <f>[2]底表!EA171</f>
        <v>0</v>
      </c>
      <c r="CO171" s="21" t="str">
        <f>[2]底表!EB171</f>
        <v>持平</v>
      </c>
      <c r="CP171" s="21">
        <f>[2]底表!EC171</f>
        <v>0</v>
      </c>
      <c r="CQ171" s="21">
        <f>[2]底表!ED171</f>
        <v>0</v>
      </c>
      <c r="CR171" s="21" t="str">
        <f>[2]底表!EE171</f>
        <v>持平</v>
      </c>
      <c r="CS171" s="21">
        <f>[2]底表!EF171</f>
        <v>0</v>
      </c>
      <c r="CT171" s="21" t="str">
        <f>[2]底表!EG171</f>
        <v>持平</v>
      </c>
      <c r="CU171" s="21" t="str">
        <f>[2]底表!EH171</f>
        <v/>
      </c>
      <c r="CV171" s="21" t="str">
        <f>[2]底表!EI171</f>
        <v/>
      </c>
      <c r="CW171" s="21" t="str">
        <f>[2]底表!EJ171</f>
        <v/>
      </c>
      <c r="CX171" s="21" t="str">
        <f>[2]底表!EK171</f>
        <v/>
      </c>
      <c r="CY171" s="21" t="str">
        <f>[2]底表!EL171</f>
        <v/>
      </c>
      <c r="CZ171" s="21">
        <f>[2]底表!EM171</f>
        <v>0</v>
      </c>
      <c r="DA171" s="21">
        <f>[2]底表!EN171</f>
        <v>0</v>
      </c>
      <c r="DB171" s="21" t="str">
        <f>[2]底表!EO171</f>
        <v>持平</v>
      </c>
      <c r="DC171" s="21">
        <f>[2]底表!EP171</f>
        <v>0</v>
      </c>
      <c r="DD171" s="21" t="str">
        <f>[2]底表!EQ171</f>
        <v>持平</v>
      </c>
      <c r="DE171" s="21">
        <f>[2]底表!ER171</f>
        <v>0</v>
      </c>
      <c r="DF171" s="21">
        <f>[2]底表!ES171</f>
        <v>0</v>
      </c>
      <c r="DG171" s="23" t="str">
        <f>[2]底表!ET171</f>
        <v>持平</v>
      </c>
      <c r="DH171" s="21">
        <f>[2]底表!EU171</f>
        <v>1</v>
      </c>
      <c r="DI171" s="21" t="str">
        <f>[2]底表!EV171</f>
        <v>少1人</v>
      </c>
      <c r="DJ171" s="21" t="str">
        <f>[2]底表!EW171</f>
        <v/>
      </c>
      <c r="DK171" s="21" t="str">
        <f>[2]底表!EX171</f>
        <v/>
      </c>
      <c r="DL171" s="21" t="str">
        <f>[2]底表!EY171</f>
        <v/>
      </c>
      <c r="DM171" s="21" t="str">
        <f>[2]底表!EZ171</f>
        <v/>
      </c>
      <c r="DN171" s="21" t="str">
        <f>[2]底表!FA171</f>
        <v/>
      </c>
      <c r="DO171" s="21">
        <f>[2]底表!BQ171</f>
        <v>0</v>
      </c>
      <c r="DP171" s="21">
        <f>[2]底表!BR171</f>
        <v>0</v>
      </c>
      <c r="DQ171" s="24" t="str">
        <f>[2]底表!BS171</f>
        <v>持平</v>
      </c>
    </row>
    <row r="172" s="2" customFormat="1" ht="32" hidden="1" customHeight="1" spans="1:121">
      <c r="A172" s="27" t="str">
        <f>[2]底表!A172</f>
        <v>两抢</v>
      </c>
      <c r="B172" s="28" t="str">
        <f>[2]底表!B172</f>
        <v>全省</v>
      </c>
      <c r="C172" s="21">
        <f>[2]底表!AM172</f>
        <v>71</v>
      </c>
      <c r="D172" s="21">
        <f>[2]底表!AN172</f>
        <v>67</v>
      </c>
      <c r="E172" s="23">
        <f>[2]底表!AO172</f>
        <v>0.0597</v>
      </c>
      <c r="F172" s="21">
        <f>[2]底表!AP172</f>
        <v>81</v>
      </c>
      <c r="G172" s="21">
        <f>[2]底表!AQ172</f>
        <v>-0.1235</v>
      </c>
      <c r="H172" s="21">
        <f>[2]底表!AR172</f>
        <v>1.1094</v>
      </c>
      <c r="I172" s="21">
        <f>[2]底表!AS172</f>
        <v>0.1522</v>
      </c>
      <c r="J172" s="21">
        <f>[2]底表!AT172</f>
        <v>57</v>
      </c>
      <c r="K172" s="21">
        <f>[2]底表!AU172</f>
        <v>55</v>
      </c>
      <c r="L172" s="21">
        <f>[2]底表!AV172</f>
        <v>0.0364</v>
      </c>
      <c r="M172" s="21">
        <f>[2]底表!AW172</f>
        <v>61</v>
      </c>
      <c r="N172" s="21">
        <f>[2]底表!AX172</f>
        <v>-0.0656</v>
      </c>
      <c r="O172" s="21">
        <f>[2]底表!AY172</f>
        <v>56</v>
      </c>
      <c r="P172" s="21">
        <f>[2]底表!AZ172</f>
        <v>50</v>
      </c>
      <c r="Q172" s="21">
        <f>[2]底表!BA172</f>
        <v>0.12</v>
      </c>
      <c r="R172" s="21">
        <f>[2]底表!BB172</f>
        <v>65</v>
      </c>
      <c r="S172" s="21">
        <f>[2]底表!BC172</f>
        <v>-0.1385</v>
      </c>
      <c r="T172" s="21">
        <f>[2]底表!BD172</f>
        <v>0.9825</v>
      </c>
      <c r="U172" s="21">
        <f>[2]底表!BE172</f>
        <v>0.0734</v>
      </c>
      <c r="V172" s="21">
        <f>[2]底表!BF172</f>
        <v>7</v>
      </c>
      <c r="W172" s="21">
        <f>[2]底表!BG172</f>
        <v>15</v>
      </c>
      <c r="X172" s="21">
        <f>[2]底表!BH172</f>
        <v>-0.5333</v>
      </c>
      <c r="Y172" s="21">
        <f>[2]底表!BI172</f>
        <v>5</v>
      </c>
      <c r="Z172" s="21">
        <f>[2]底表!BJ172</f>
        <v>0.4</v>
      </c>
      <c r="AA172" s="21">
        <f>[2]底表!BK172</f>
        <v>0.1094</v>
      </c>
      <c r="AB172" s="21">
        <f>[2]底表!BL172</f>
        <v>15</v>
      </c>
      <c r="AC172" s="21">
        <f>[2]底表!BM172</f>
        <v>17</v>
      </c>
      <c r="AD172" s="21">
        <f>[2]底表!BN172</f>
        <v>-0.1176</v>
      </c>
      <c r="AE172" s="21">
        <f>[2]底表!BO172</f>
        <v>16</v>
      </c>
      <c r="AF172" s="21">
        <f>[2]底表!BP172</f>
        <v>-0.0625</v>
      </c>
      <c r="AG172" s="21">
        <f>[2]底表!BT172</f>
        <v>60</v>
      </c>
      <c r="AH172" s="21">
        <f>[2]底表!BU172</f>
        <v>-0.3</v>
      </c>
      <c r="AI172" s="21">
        <f>[2]底表!BV172</f>
        <v>0.6563</v>
      </c>
      <c r="AJ172" s="21">
        <f>[2]底表!BW172</f>
        <v>0.0848</v>
      </c>
      <c r="AK172" s="21">
        <f>[2]底表!BX172</f>
        <v>0.7368</v>
      </c>
      <c r="AL172" s="21">
        <f>[2]底表!BY172</f>
        <v>0.0096</v>
      </c>
      <c r="AM172" s="21">
        <f>[2]底表!BZ172</f>
        <v>0</v>
      </c>
      <c r="AN172" s="21">
        <f>[2]底表!CA172</f>
        <v>1</v>
      </c>
      <c r="AO172" s="21" t="str">
        <f>[2]底表!CB172</f>
        <v>少1起</v>
      </c>
      <c r="AP172" s="21">
        <f>[2]底表!CC172</f>
        <v>2</v>
      </c>
      <c r="AQ172" s="21" t="str">
        <f>[2]底表!CD172</f>
        <v>少2起</v>
      </c>
      <c r="AR172" s="21" t="str">
        <f>[2]底表!CE172</f>
        <v/>
      </c>
      <c r="AS172" s="21" t="str">
        <f>[2]底表!CF172</f>
        <v/>
      </c>
      <c r="AT172" s="21">
        <f>[2]底表!CG172</f>
        <v>144</v>
      </c>
      <c r="AU172" s="21">
        <f>[2]底表!CH172</f>
        <v>141</v>
      </c>
      <c r="AV172" s="21">
        <f>[2]底表!CI172</f>
        <v>0.0213</v>
      </c>
      <c r="AW172" s="21">
        <f>[2]底表!CJ172</f>
        <v>140</v>
      </c>
      <c r="AX172" s="21">
        <f>[2]底表!CK172</f>
        <v>0.0286</v>
      </c>
      <c r="AY172" s="21">
        <f>[2]底表!CL172</f>
        <v>225</v>
      </c>
      <c r="AZ172" s="21">
        <f>[2]底表!CM172</f>
        <v>24</v>
      </c>
      <c r="BA172" s="21">
        <f>[2]底表!CN172</f>
        <v>0.117</v>
      </c>
      <c r="BB172" s="21">
        <f>[2]底表!CO172</f>
        <v>144</v>
      </c>
      <c r="BC172" s="21">
        <f>[2]底表!CP172</f>
        <v>118</v>
      </c>
      <c r="BD172" s="21">
        <f>[2]底表!CQ172</f>
        <v>0.2203</v>
      </c>
      <c r="BE172" s="21">
        <f>[2]底表!CR172</f>
        <v>134</v>
      </c>
      <c r="BF172" s="21">
        <f>[2]底表!CS172</f>
        <v>0.0746</v>
      </c>
      <c r="BG172" s="21">
        <f>[2]底表!CT172</f>
        <v>1</v>
      </c>
      <c r="BH172" s="21">
        <f>[2]底表!CU172</f>
        <v>0.1631</v>
      </c>
      <c r="BI172" s="21">
        <f>[2]底表!CV172</f>
        <v>225</v>
      </c>
      <c r="BJ172" s="21">
        <f>[2]底表!CW172</f>
        <v>56</v>
      </c>
      <c r="BK172" s="21">
        <f>[2]底表!CX172</f>
        <v>0.3347</v>
      </c>
      <c r="BL172" s="21">
        <f>[2]底表!CY172</f>
        <v>153</v>
      </c>
      <c r="BM172" s="21">
        <f>[2]底表!CZ172</f>
        <v>125</v>
      </c>
      <c r="BN172" s="23">
        <f>[2]底表!DA172</f>
        <v>0.224</v>
      </c>
      <c r="BO172" s="21">
        <f>[2]底表!DB172</f>
        <v>148</v>
      </c>
      <c r="BP172" s="21">
        <f>[2]底表!DC172</f>
        <v>0.0338</v>
      </c>
      <c r="BQ172" s="21">
        <f>[2]底表!DD172</f>
        <v>1.0625</v>
      </c>
      <c r="BR172" s="21">
        <f>[2]底表!DE172</f>
        <v>0.176</v>
      </c>
      <c r="BS172" s="21">
        <f>[2]底表!DF172</f>
        <v>239</v>
      </c>
      <c r="BT172" s="21">
        <f>[2]底表!DG172</f>
        <v>60</v>
      </c>
      <c r="BU172" s="21">
        <f>[2]底表!DH172</f>
        <v>0.3388</v>
      </c>
      <c r="BV172" s="21">
        <f>[2]底表!DI172</f>
        <v>138</v>
      </c>
      <c r="BW172" s="21">
        <f>[2]底表!DJ172</f>
        <v>130</v>
      </c>
      <c r="BX172" s="23">
        <f>[2]底表!DK172</f>
        <v>0.0615</v>
      </c>
      <c r="BY172" s="21">
        <f>[2]底表!DL172</f>
        <v>154</v>
      </c>
      <c r="BZ172" s="21">
        <f>[2]底表!DM172</f>
        <v>-0.1039</v>
      </c>
      <c r="CA172" s="21">
        <f>[2]底表!DN172</f>
        <v>51</v>
      </c>
      <c r="CB172" s="21">
        <f>[2]底表!DO172</f>
        <v>42</v>
      </c>
      <c r="CC172" s="21">
        <f>[2]底表!DP172</f>
        <v>0.2143</v>
      </c>
      <c r="CD172" s="21">
        <f>[2]底表!DQ172</f>
        <v>47</v>
      </c>
      <c r="CE172" s="21">
        <f>[2]底表!DR172</f>
        <v>0.0851</v>
      </c>
      <c r="CF172" s="21">
        <f>[2]底表!DS172</f>
        <v>51</v>
      </c>
      <c r="CG172" s="21">
        <f>[2]底表!DT172</f>
        <v>42</v>
      </c>
      <c r="CH172" s="21">
        <f>[2]底表!DU172</f>
        <v>0.2143</v>
      </c>
      <c r="CI172" s="21">
        <f>[2]底表!DV172</f>
        <v>47</v>
      </c>
      <c r="CJ172" s="21">
        <f>[2]底表!DW172</f>
        <v>0.0851</v>
      </c>
      <c r="CK172" s="21">
        <f>[2]底表!DX172</f>
        <v>133</v>
      </c>
      <c r="CL172" s="21">
        <f>[2]底表!DY172</f>
        <v>118</v>
      </c>
      <c r="CM172" s="21">
        <f>[2]底表!DZ172</f>
        <v>0.1271</v>
      </c>
      <c r="CN172" s="21">
        <f>[2]底表!EA172</f>
        <v>141</v>
      </c>
      <c r="CO172" s="21">
        <f>[2]底表!EB172</f>
        <v>-0.0567</v>
      </c>
      <c r="CP172" s="21">
        <f>[2]底表!EC172</f>
        <v>81</v>
      </c>
      <c r="CQ172" s="21">
        <f>[2]底表!ED172</f>
        <v>67</v>
      </c>
      <c r="CR172" s="21">
        <f>[2]底表!EE172</f>
        <v>0.209</v>
      </c>
      <c r="CS172" s="21">
        <f>[2]底表!EF172</f>
        <v>97</v>
      </c>
      <c r="CT172" s="21">
        <f>[2]底表!EG172</f>
        <v>-0.1649</v>
      </c>
      <c r="CU172" s="21">
        <f>[2]底表!EH172</f>
        <v>0.5625</v>
      </c>
      <c r="CV172" s="21">
        <f>[2]底表!EI172</f>
        <v>-0.0053</v>
      </c>
      <c r="CW172" s="21">
        <f>[2]底表!EJ172</f>
        <v>127</v>
      </c>
      <c r="CX172" s="21">
        <f>[2]底表!EK172</f>
        <v>31</v>
      </c>
      <c r="CY172" s="21">
        <f>[2]底表!EL172</f>
        <v>0.3223</v>
      </c>
      <c r="CZ172" s="21">
        <f>[2]底表!EM172</f>
        <v>82</v>
      </c>
      <c r="DA172" s="21">
        <f>[2]底表!EN172</f>
        <v>69</v>
      </c>
      <c r="DB172" s="21">
        <f>[2]底表!EO172</f>
        <v>0.1884</v>
      </c>
      <c r="DC172" s="21">
        <f>[2]底表!EP172</f>
        <v>96</v>
      </c>
      <c r="DD172" s="21">
        <f>[2]底表!EQ172</f>
        <v>-0.1458</v>
      </c>
      <c r="DE172" s="21">
        <f>[2]底表!ER172</f>
        <v>79</v>
      </c>
      <c r="DF172" s="21">
        <f>[2]底表!ES172</f>
        <v>69</v>
      </c>
      <c r="DG172" s="23">
        <f>[2]底表!ET172</f>
        <v>0.1449</v>
      </c>
      <c r="DH172" s="21">
        <f>[2]底表!EU172</f>
        <v>117</v>
      </c>
      <c r="DI172" s="21">
        <f>[2]底表!EV172</f>
        <v>-0.3248</v>
      </c>
      <c r="DJ172" s="21">
        <f>[2]底表!EW172</f>
        <v>0.5486</v>
      </c>
      <c r="DK172" s="21">
        <f>[2]底表!EX172</f>
        <v>-0.0361</v>
      </c>
      <c r="DL172" s="21">
        <f>[2]底表!EY172</f>
        <v>123</v>
      </c>
      <c r="DM172" s="21">
        <f>[2]底表!EZ172</f>
        <v>25</v>
      </c>
      <c r="DN172" s="21">
        <f>[2]底表!FA172</f>
        <v>0.2523</v>
      </c>
      <c r="DO172" s="21">
        <f>[2]底表!BQ172</f>
        <v>42</v>
      </c>
      <c r="DP172" s="21">
        <f>[2]底表!BR172</f>
        <v>40</v>
      </c>
      <c r="DQ172" s="24">
        <f>[2]底表!BS172</f>
        <v>0.05</v>
      </c>
    </row>
    <row r="173" s="2" customFormat="1" ht="32" hidden="1" customHeight="1" spans="1:121">
      <c r="A173" s="27" t="str">
        <f>[2]底表!A173</f>
        <v>两抢</v>
      </c>
      <c r="B173" s="28" t="str">
        <f>[2]底表!B173</f>
        <v>云浮</v>
      </c>
      <c r="C173" s="21">
        <f>[2]底表!AM173</f>
        <v>3</v>
      </c>
      <c r="D173" s="21">
        <f>[2]底表!AN173</f>
        <v>2</v>
      </c>
      <c r="E173" s="23">
        <f>[2]底表!AO173</f>
        <v>0.5</v>
      </c>
      <c r="F173" s="21">
        <f>[2]底表!AP173</f>
        <v>0</v>
      </c>
      <c r="G173" s="21" t="str">
        <f>[2]底表!AQ173</f>
        <v>多3起</v>
      </c>
      <c r="H173" s="21">
        <f>[2]底表!AR173</f>
        <v>1</v>
      </c>
      <c r="I173" s="21">
        <f>[2]底表!AS173</f>
        <v>0</v>
      </c>
      <c r="J173" s="21">
        <f>[2]底表!AT173</f>
        <v>3</v>
      </c>
      <c r="K173" s="21">
        <f>[2]底表!AU173</f>
        <v>2</v>
      </c>
      <c r="L173" s="21">
        <f>[2]底表!AV173</f>
        <v>0.5</v>
      </c>
      <c r="M173" s="21">
        <f>[2]底表!AW173</f>
        <v>0</v>
      </c>
      <c r="N173" s="21" t="str">
        <f>[2]底表!AX173</f>
        <v>多3起</v>
      </c>
      <c r="O173" s="21">
        <f>[2]底表!AY173</f>
        <v>3</v>
      </c>
      <c r="P173" s="21">
        <f>[2]底表!AZ173</f>
        <v>2</v>
      </c>
      <c r="Q173" s="21">
        <f>[2]底表!BA173</f>
        <v>0.5</v>
      </c>
      <c r="R173" s="21">
        <f>[2]底表!BB173</f>
        <v>0</v>
      </c>
      <c r="S173" s="21" t="str">
        <f>[2]底表!BC173</f>
        <v>多3起</v>
      </c>
      <c r="T173" s="21">
        <f>[2]底表!BD173</f>
        <v>1</v>
      </c>
      <c r="U173" s="21">
        <f>[2]底表!BE173</f>
        <v>0</v>
      </c>
      <c r="V173" s="21">
        <f>[2]底表!BF173</f>
        <v>0</v>
      </c>
      <c r="W173" s="21">
        <f>[2]底表!BG173</f>
        <v>0</v>
      </c>
      <c r="X173" s="21" t="str">
        <f>[2]底表!BH173</f>
        <v>持平</v>
      </c>
      <c r="Y173" s="21">
        <f>[2]底表!BI173</f>
        <v>0</v>
      </c>
      <c r="Z173" s="21" t="str">
        <f>[2]底表!BJ173</f>
        <v>持平</v>
      </c>
      <c r="AA173" s="21">
        <f>[2]底表!BK173</f>
        <v>0</v>
      </c>
      <c r="AB173" s="21">
        <f>[2]底表!BL173</f>
        <v>0</v>
      </c>
      <c r="AC173" s="21">
        <f>[2]底表!BM173</f>
        <v>0</v>
      </c>
      <c r="AD173" s="21" t="str">
        <f>[2]底表!BN173</f>
        <v>持平</v>
      </c>
      <c r="AE173" s="21">
        <f>[2]底表!BO173</f>
        <v>0</v>
      </c>
      <c r="AF173" s="21" t="str">
        <f>[2]底表!BP173</f>
        <v>持平</v>
      </c>
      <c r="AG173" s="21">
        <f>[2]底表!BT173</f>
        <v>3</v>
      </c>
      <c r="AH173" s="21" t="str">
        <f>[2]底表!BU173</f>
        <v>少3起</v>
      </c>
      <c r="AI173" s="21">
        <f>[2]底表!BV173</f>
        <v>0</v>
      </c>
      <c r="AJ173" s="21">
        <f>[2]底表!BW173</f>
        <v>0</v>
      </c>
      <c r="AK173" s="21">
        <f>[2]底表!BX173</f>
        <v>0</v>
      </c>
      <c r="AL173" s="21">
        <f>[2]底表!BY173</f>
        <v>0</v>
      </c>
      <c r="AM173" s="21">
        <f>[2]底表!BZ173</f>
        <v>0</v>
      </c>
      <c r="AN173" s="21">
        <f>[2]底表!CA173</f>
        <v>0</v>
      </c>
      <c r="AO173" s="21" t="str">
        <f>[2]底表!CB173</f>
        <v>持平</v>
      </c>
      <c r="AP173" s="21">
        <f>[2]底表!CC173</f>
        <v>0</v>
      </c>
      <c r="AQ173" s="21" t="str">
        <f>[2]底表!CD173</f>
        <v>持平</v>
      </c>
      <c r="AR173" s="21" t="str">
        <f>[2]底表!CE173</f>
        <v/>
      </c>
      <c r="AS173" s="21" t="str">
        <f>[2]底表!CF173</f>
        <v/>
      </c>
      <c r="AT173" s="21">
        <f>[2]底表!CG173</f>
        <v>2</v>
      </c>
      <c r="AU173" s="21">
        <f>[2]底表!CH173</f>
        <v>3</v>
      </c>
      <c r="AV173" s="21">
        <f>[2]底表!CI173</f>
        <v>-0.3333</v>
      </c>
      <c r="AW173" s="21">
        <f>[2]底表!CJ173</f>
        <v>0</v>
      </c>
      <c r="AX173" s="21" t="str">
        <f>[2]底表!CK173</f>
        <v>多2人</v>
      </c>
      <c r="AY173" s="21">
        <f>[2]底表!CL173</f>
        <v>67</v>
      </c>
      <c r="AZ173" s="21">
        <f>[2]底表!CM173</f>
        <v>-83</v>
      </c>
      <c r="BA173" s="21">
        <f>[2]底表!CN173</f>
        <v>-0.5556</v>
      </c>
      <c r="BB173" s="21">
        <f>[2]底表!CO173</f>
        <v>4</v>
      </c>
      <c r="BC173" s="21">
        <f>[2]底表!CP173</f>
        <v>2</v>
      </c>
      <c r="BD173" s="21">
        <f>[2]底表!CQ173</f>
        <v>1</v>
      </c>
      <c r="BE173" s="21">
        <f>[2]底表!CR173</f>
        <v>1</v>
      </c>
      <c r="BF173" s="21">
        <f>[2]底表!CS173</f>
        <v>3</v>
      </c>
      <c r="BG173" s="21">
        <f>[2]底表!CT173</f>
        <v>2</v>
      </c>
      <c r="BH173" s="21">
        <f>[2]底表!CU173</f>
        <v>1.3333</v>
      </c>
      <c r="BI173" s="21">
        <f>[2]底表!CV173</f>
        <v>133</v>
      </c>
      <c r="BJ173" s="21">
        <f>[2]底表!CW173</f>
        <v>33</v>
      </c>
      <c r="BK173" s="21">
        <f>[2]底表!CX173</f>
        <v>0.3333</v>
      </c>
      <c r="BL173" s="21">
        <f>[2]底表!CY173</f>
        <v>4</v>
      </c>
      <c r="BM173" s="21">
        <f>[2]底表!CZ173</f>
        <v>2</v>
      </c>
      <c r="BN173" s="23">
        <f>[2]底表!DA173</f>
        <v>1</v>
      </c>
      <c r="BO173" s="21">
        <f>[2]底表!DB173</f>
        <v>1</v>
      </c>
      <c r="BP173" s="21">
        <f>[2]底表!DC173</f>
        <v>3</v>
      </c>
      <c r="BQ173" s="21">
        <f>[2]底表!DD173</f>
        <v>2</v>
      </c>
      <c r="BR173" s="21">
        <f>[2]底表!DE173</f>
        <v>1.3333</v>
      </c>
      <c r="BS173" s="21">
        <f>[2]底表!DF173</f>
        <v>133</v>
      </c>
      <c r="BT173" s="21">
        <f>[2]底表!DG173</f>
        <v>33</v>
      </c>
      <c r="BU173" s="21">
        <f>[2]底表!DH173</f>
        <v>0.3333</v>
      </c>
      <c r="BV173" s="21">
        <f>[2]底表!DI173</f>
        <v>4</v>
      </c>
      <c r="BW173" s="21">
        <f>[2]底表!DJ173</f>
        <v>2</v>
      </c>
      <c r="BX173" s="23">
        <f>[2]底表!DK173</f>
        <v>1</v>
      </c>
      <c r="BY173" s="21">
        <f>[2]底表!DL173</f>
        <v>0</v>
      </c>
      <c r="BZ173" s="21" t="str">
        <f>[2]底表!DM173</f>
        <v>多4人</v>
      </c>
      <c r="CA173" s="21">
        <f>[2]底表!DN173</f>
        <v>0</v>
      </c>
      <c r="CB173" s="21">
        <f>[2]底表!DO173</f>
        <v>1</v>
      </c>
      <c r="CC173" s="21" t="str">
        <f>[2]底表!DP173</f>
        <v>少1人</v>
      </c>
      <c r="CD173" s="21">
        <f>[2]底表!DQ173</f>
        <v>0</v>
      </c>
      <c r="CE173" s="21" t="str">
        <f>[2]底表!DR173</f>
        <v>持平</v>
      </c>
      <c r="CF173" s="21">
        <f>[2]底表!DS173</f>
        <v>0</v>
      </c>
      <c r="CG173" s="21">
        <f>[2]底表!DT173</f>
        <v>1</v>
      </c>
      <c r="CH173" s="21" t="str">
        <f>[2]底表!DU173</f>
        <v>少1人</v>
      </c>
      <c r="CI173" s="21">
        <f>[2]底表!DV173</f>
        <v>0</v>
      </c>
      <c r="CJ173" s="21" t="str">
        <f>[2]底表!DW173</f>
        <v>持平</v>
      </c>
      <c r="CK173" s="21">
        <f>[2]底表!DX173</f>
        <v>1</v>
      </c>
      <c r="CL173" s="21">
        <f>[2]底表!DY173</f>
        <v>1</v>
      </c>
      <c r="CM173" s="21">
        <f>[2]底表!DZ173</f>
        <v>0</v>
      </c>
      <c r="CN173" s="21">
        <f>[2]底表!EA173</f>
        <v>4</v>
      </c>
      <c r="CO173" s="21">
        <f>[2]底表!EB173</f>
        <v>-0.75</v>
      </c>
      <c r="CP173" s="21">
        <f>[2]底表!EC173</f>
        <v>0</v>
      </c>
      <c r="CQ173" s="21">
        <f>[2]底表!ED173</f>
        <v>1</v>
      </c>
      <c r="CR173" s="21" t="str">
        <f>[2]底表!EE173</f>
        <v>少1人</v>
      </c>
      <c r="CS173" s="21">
        <f>[2]底表!EF173</f>
        <v>5</v>
      </c>
      <c r="CT173" s="21" t="str">
        <f>[2]底表!EG173</f>
        <v>少5人</v>
      </c>
      <c r="CU173" s="21">
        <f>[2]底表!EH173</f>
        <v>0</v>
      </c>
      <c r="CV173" s="21">
        <f>[2]底表!EI173</f>
        <v>-0.5</v>
      </c>
      <c r="CW173" s="21">
        <f>[2]底表!EJ173</f>
        <v>0</v>
      </c>
      <c r="CX173" s="21">
        <f>[2]底表!EK173</f>
        <v>-50</v>
      </c>
      <c r="CY173" s="21">
        <f>[2]底表!EL173</f>
        <v>-1</v>
      </c>
      <c r="CZ173" s="21">
        <f>[2]底表!EM173</f>
        <v>0</v>
      </c>
      <c r="DA173" s="21">
        <f>[2]底表!EN173</f>
        <v>1</v>
      </c>
      <c r="DB173" s="21" t="str">
        <f>[2]底表!EO173</f>
        <v>少1人</v>
      </c>
      <c r="DC173" s="21">
        <f>[2]底表!EP173</f>
        <v>5</v>
      </c>
      <c r="DD173" s="21" t="str">
        <f>[2]底表!EQ173</f>
        <v>少5人</v>
      </c>
      <c r="DE173" s="21">
        <f>[2]底表!ER173</f>
        <v>0</v>
      </c>
      <c r="DF173" s="21">
        <f>[2]底表!ES173</f>
        <v>0</v>
      </c>
      <c r="DG173" s="23" t="str">
        <f>[2]底表!ET173</f>
        <v>持平</v>
      </c>
      <c r="DH173" s="21">
        <f>[2]底表!EU173</f>
        <v>7</v>
      </c>
      <c r="DI173" s="21" t="str">
        <f>[2]底表!EV173</f>
        <v>少7人</v>
      </c>
      <c r="DJ173" s="21">
        <f>[2]底表!EW173</f>
        <v>0</v>
      </c>
      <c r="DK173" s="21">
        <f>[2]底表!EX173</f>
        <v>0</v>
      </c>
      <c r="DL173" s="21">
        <f>[2]底表!EY173</f>
        <v>0</v>
      </c>
      <c r="DM173" s="21">
        <f>[2]底表!EZ173</f>
        <v>0</v>
      </c>
      <c r="DN173" s="21" t="str">
        <f>[2]底表!FA173</f>
        <v/>
      </c>
      <c r="DO173" s="21">
        <f>[2]底表!BQ173</f>
        <v>0</v>
      </c>
      <c r="DP173" s="21">
        <f>[2]底表!BR173</f>
        <v>0</v>
      </c>
      <c r="DQ173" s="24" t="str">
        <f>[2]底表!BS173</f>
        <v>持平</v>
      </c>
    </row>
    <row r="174" s="2" customFormat="1" ht="32" hidden="1" customHeight="1" spans="1:121">
      <c r="A174" s="27" t="str">
        <f>[2]底表!A174</f>
        <v>两抢</v>
      </c>
      <c r="B174" s="28" t="str">
        <f>[2]底表!B174</f>
        <v>云城区</v>
      </c>
      <c r="C174" s="21">
        <f>[2]底表!AM174</f>
        <v>1</v>
      </c>
      <c r="D174" s="21">
        <f>[2]底表!AN174</f>
        <v>2</v>
      </c>
      <c r="E174" s="23">
        <f>[2]底表!AO174</f>
        <v>-0.5</v>
      </c>
      <c r="F174" s="21">
        <f>[2]底表!AP174</f>
        <v>0</v>
      </c>
      <c r="G174" s="21" t="str">
        <f>[2]底表!AQ174</f>
        <v>多1起</v>
      </c>
      <c r="H174" s="21">
        <f>[2]底表!AR174</f>
        <v>1</v>
      </c>
      <c r="I174" s="21">
        <f>[2]底表!AS174</f>
        <v>0</v>
      </c>
      <c r="J174" s="21">
        <f>[2]底表!AT174</f>
        <v>1</v>
      </c>
      <c r="K174" s="21">
        <f>[2]底表!AU174</f>
        <v>2</v>
      </c>
      <c r="L174" s="21">
        <f>[2]底表!AV174</f>
        <v>-0.5</v>
      </c>
      <c r="M174" s="21">
        <f>[2]底表!AW174</f>
        <v>0</v>
      </c>
      <c r="N174" s="21" t="str">
        <f>[2]底表!AX174</f>
        <v>多1起</v>
      </c>
      <c r="O174" s="21">
        <f>[2]底表!AY174</f>
        <v>1</v>
      </c>
      <c r="P174" s="21">
        <f>[2]底表!AZ174</f>
        <v>2</v>
      </c>
      <c r="Q174" s="21">
        <f>[2]底表!BA174</f>
        <v>-0.5</v>
      </c>
      <c r="R174" s="21">
        <f>[2]底表!BB174</f>
        <v>0</v>
      </c>
      <c r="S174" s="21" t="str">
        <f>[2]底表!BC174</f>
        <v>多1起</v>
      </c>
      <c r="T174" s="21">
        <f>[2]底表!BD174</f>
        <v>1</v>
      </c>
      <c r="U174" s="21">
        <f>[2]底表!BE174</f>
        <v>0</v>
      </c>
      <c r="V174" s="21">
        <f>[2]底表!BF174</f>
        <v>0</v>
      </c>
      <c r="W174" s="21">
        <f>[2]底表!BG174</f>
        <v>0</v>
      </c>
      <c r="X174" s="21" t="str">
        <f>[2]底表!BH174</f>
        <v>持平</v>
      </c>
      <c r="Y174" s="21">
        <f>[2]底表!BI174</f>
        <v>0</v>
      </c>
      <c r="Z174" s="21" t="str">
        <f>[2]底表!BJ174</f>
        <v>持平</v>
      </c>
      <c r="AA174" s="21">
        <f>[2]底表!BK174</f>
        <v>0</v>
      </c>
      <c r="AB174" s="21">
        <f>[2]底表!BL174</f>
        <v>0</v>
      </c>
      <c r="AC174" s="21">
        <f>[2]底表!BM174</f>
        <v>0</v>
      </c>
      <c r="AD174" s="21" t="str">
        <f>[2]底表!BN174</f>
        <v>持平</v>
      </c>
      <c r="AE174" s="21">
        <f>[2]底表!BO174</f>
        <v>0</v>
      </c>
      <c r="AF174" s="21" t="str">
        <f>[2]底表!BP174</f>
        <v>持平</v>
      </c>
      <c r="AG174" s="21">
        <f>[2]底表!BT174</f>
        <v>1</v>
      </c>
      <c r="AH174" s="21" t="str">
        <f>[2]底表!BU174</f>
        <v>少1起</v>
      </c>
      <c r="AI174" s="21">
        <f>[2]底表!BV174</f>
        <v>0</v>
      </c>
      <c r="AJ174" s="21">
        <f>[2]底表!BW174</f>
        <v>0</v>
      </c>
      <c r="AK174" s="21">
        <f>[2]底表!BX174</f>
        <v>0</v>
      </c>
      <c r="AL174" s="21">
        <f>[2]底表!BY174</f>
        <v>0</v>
      </c>
      <c r="AM174" s="21">
        <f>[2]底表!BZ174</f>
        <v>0</v>
      </c>
      <c r="AN174" s="21">
        <f>[2]底表!CA174</f>
        <v>0</v>
      </c>
      <c r="AO174" s="21" t="str">
        <f>[2]底表!CB174</f>
        <v>持平</v>
      </c>
      <c r="AP174" s="21">
        <f>[2]底表!CC174</f>
        <v>0</v>
      </c>
      <c r="AQ174" s="21" t="str">
        <f>[2]底表!CD174</f>
        <v>持平</v>
      </c>
      <c r="AR174" s="21" t="str">
        <f>[2]底表!CE174</f>
        <v/>
      </c>
      <c r="AS174" s="21" t="str">
        <f>[2]底表!CF174</f>
        <v/>
      </c>
      <c r="AT174" s="21">
        <f>[2]底表!CG174</f>
        <v>1</v>
      </c>
      <c r="AU174" s="21">
        <f>[2]底表!CH174</f>
        <v>3</v>
      </c>
      <c r="AV174" s="21">
        <f>[2]底表!CI174</f>
        <v>-0.6667</v>
      </c>
      <c r="AW174" s="21">
        <f>[2]底表!CJ174</f>
        <v>0</v>
      </c>
      <c r="AX174" s="21" t="str">
        <f>[2]底表!CK174</f>
        <v>多1人</v>
      </c>
      <c r="AY174" s="21">
        <f>[2]底表!CL174</f>
        <v>100</v>
      </c>
      <c r="AZ174" s="21">
        <f>[2]底表!CM174</f>
        <v>-50</v>
      </c>
      <c r="BA174" s="21">
        <f>[2]底表!CN174</f>
        <v>-0.3333</v>
      </c>
      <c r="BB174" s="21">
        <f>[2]底表!CO174</f>
        <v>1</v>
      </c>
      <c r="BC174" s="21">
        <f>[2]底表!CP174</f>
        <v>2</v>
      </c>
      <c r="BD174" s="21">
        <f>[2]底表!CQ174</f>
        <v>-0.5</v>
      </c>
      <c r="BE174" s="21">
        <f>[2]底表!CR174</f>
        <v>1</v>
      </c>
      <c r="BF174" s="21">
        <f>[2]底表!CS174</f>
        <v>0</v>
      </c>
      <c r="BG174" s="21">
        <f>[2]底表!CT174</f>
        <v>1</v>
      </c>
      <c r="BH174" s="21">
        <f>[2]底表!CU174</f>
        <v>0.3333</v>
      </c>
      <c r="BI174" s="21">
        <f>[2]底表!CV174</f>
        <v>100</v>
      </c>
      <c r="BJ174" s="21">
        <f>[2]底表!CW174</f>
        <v>0</v>
      </c>
      <c r="BK174" s="21">
        <f>[2]底表!CX174</f>
        <v>0</v>
      </c>
      <c r="BL174" s="21">
        <f>[2]底表!CY174</f>
        <v>1</v>
      </c>
      <c r="BM174" s="21">
        <f>[2]底表!CZ174</f>
        <v>2</v>
      </c>
      <c r="BN174" s="23">
        <f>[2]底表!DA174</f>
        <v>-0.5</v>
      </c>
      <c r="BO174" s="21">
        <f>[2]底表!DB174</f>
        <v>1</v>
      </c>
      <c r="BP174" s="21">
        <f>[2]底表!DC174</f>
        <v>0</v>
      </c>
      <c r="BQ174" s="21">
        <f>[2]底表!DD174</f>
        <v>1</v>
      </c>
      <c r="BR174" s="21">
        <f>[2]底表!DE174</f>
        <v>0.3333</v>
      </c>
      <c r="BS174" s="21">
        <f>[2]底表!DF174</f>
        <v>100</v>
      </c>
      <c r="BT174" s="21">
        <f>[2]底表!DG174</f>
        <v>0</v>
      </c>
      <c r="BU174" s="21">
        <f>[2]底表!DH174</f>
        <v>0</v>
      </c>
      <c r="BV174" s="21">
        <f>[2]底表!DI174</f>
        <v>0</v>
      </c>
      <c r="BW174" s="21">
        <f>[2]底表!DJ174</f>
        <v>0</v>
      </c>
      <c r="BX174" s="23" t="str">
        <f>[2]底表!DK174</f>
        <v>持平</v>
      </c>
      <c r="BY174" s="21">
        <f>[2]底表!DL174</f>
        <v>0</v>
      </c>
      <c r="BZ174" s="21" t="str">
        <f>[2]底表!DM174</f>
        <v>持平</v>
      </c>
      <c r="CA174" s="21">
        <f>[2]底表!DN174</f>
        <v>0</v>
      </c>
      <c r="CB174" s="21">
        <f>[2]底表!DO174</f>
        <v>1</v>
      </c>
      <c r="CC174" s="21" t="str">
        <f>[2]底表!DP174</f>
        <v>少1人</v>
      </c>
      <c r="CD174" s="21">
        <f>[2]底表!DQ174</f>
        <v>0</v>
      </c>
      <c r="CE174" s="21" t="str">
        <f>[2]底表!DR174</f>
        <v>持平</v>
      </c>
      <c r="CF174" s="21">
        <f>[2]底表!DS174</f>
        <v>0</v>
      </c>
      <c r="CG174" s="21">
        <f>[2]底表!DT174</f>
        <v>1</v>
      </c>
      <c r="CH174" s="21" t="str">
        <f>[2]底表!DU174</f>
        <v>少1人</v>
      </c>
      <c r="CI174" s="21">
        <f>[2]底表!DV174</f>
        <v>0</v>
      </c>
      <c r="CJ174" s="21" t="str">
        <f>[2]底表!DW174</f>
        <v>持平</v>
      </c>
      <c r="CK174" s="21">
        <f>[2]底表!DX174</f>
        <v>1</v>
      </c>
      <c r="CL174" s="21">
        <f>[2]底表!DY174</f>
        <v>1</v>
      </c>
      <c r="CM174" s="21">
        <f>[2]底表!DZ174</f>
        <v>0</v>
      </c>
      <c r="CN174" s="21">
        <f>[2]底表!EA174</f>
        <v>4</v>
      </c>
      <c r="CO174" s="21">
        <f>[2]底表!EB174</f>
        <v>-0.75</v>
      </c>
      <c r="CP174" s="21">
        <f>[2]底表!EC174</f>
        <v>0</v>
      </c>
      <c r="CQ174" s="21">
        <f>[2]底表!ED174</f>
        <v>1</v>
      </c>
      <c r="CR174" s="21" t="str">
        <f>[2]底表!EE174</f>
        <v>少1人</v>
      </c>
      <c r="CS174" s="21">
        <f>[2]底表!EF174</f>
        <v>4</v>
      </c>
      <c r="CT174" s="21" t="str">
        <f>[2]底表!EG174</f>
        <v>少4人</v>
      </c>
      <c r="CU174" s="21">
        <f>[2]底表!EH174</f>
        <v>0</v>
      </c>
      <c r="CV174" s="21">
        <f>[2]底表!EI174</f>
        <v>-0.5</v>
      </c>
      <c r="CW174" s="21">
        <f>[2]底表!EJ174</f>
        <v>0</v>
      </c>
      <c r="CX174" s="21">
        <f>[2]底表!EK174</f>
        <v>-50</v>
      </c>
      <c r="CY174" s="21">
        <f>[2]底表!EL174</f>
        <v>-1</v>
      </c>
      <c r="CZ174" s="21">
        <f>[2]底表!EM174</f>
        <v>0</v>
      </c>
      <c r="DA174" s="21">
        <f>[2]底表!EN174</f>
        <v>1</v>
      </c>
      <c r="DB174" s="21" t="str">
        <f>[2]底表!EO174</f>
        <v>少1人</v>
      </c>
      <c r="DC174" s="21">
        <f>[2]底表!EP174</f>
        <v>4</v>
      </c>
      <c r="DD174" s="21" t="str">
        <f>[2]底表!EQ174</f>
        <v>少4人</v>
      </c>
      <c r="DE174" s="21">
        <f>[2]底表!ER174</f>
        <v>0</v>
      </c>
      <c r="DF174" s="21">
        <f>[2]底表!ES174</f>
        <v>0</v>
      </c>
      <c r="DG174" s="23" t="str">
        <f>[2]底表!ET174</f>
        <v>持平</v>
      </c>
      <c r="DH174" s="21">
        <f>[2]底表!EU174</f>
        <v>4</v>
      </c>
      <c r="DI174" s="21" t="str">
        <f>[2]底表!EV174</f>
        <v>少4人</v>
      </c>
      <c r="DJ174" s="21">
        <f>[2]底表!EW174</f>
        <v>0</v>
      </c>
      <c r="DK174" s="21">
        <f>[2]底表!EX174</f>
        <v>0</v>
      </c>
      <c r="DL174" s="21">
        <f>[2]底表!EY174</f>
        <v>0</v>
      </c>
      <c r="DM174" s="21">
        <f>[2]底表!EZ174</f>
        <v>0</v>
      </c>
      <c r="DN174" s="21" t="str">
        <f>[2]底表!FA174</f>
        <v/>
      </c>
      <c r="DO174" s="21">
        <f>[2]底表!BQ174</f>
        <v>0</v>
      </c>
      <c r="DP174" s="21">
        <f>[2]底表!BR174</f>
        <v>0</v>
      </c>
      <c r="DQ174" s="24" t="str">
        <f>[2]底表!BS174</f>
        <v>持平</v>
      </c>
    </row>
    <row r="175" s="2" customFormat="1" ht="32" hidden="1" customHeight="1" spans="1:121">
      <c r="A175" s="27" t="str">
        <f>[2]底表!A175</f>
        <v>两抢</v>
      </c>
      <c r="B175" s="28" t="str">
        <f>[2]底表!B175</f>
        <v>云安区</v>
      </c>
      <c r="C175" s="21">
        <f>[2]底表!AM175</f>
        <v>0</v>
      </c>
      <c r="D175" s="21">
        <f>[2]底表!AN175</f>
        <v>0</v>
      </c>
      <c r="E175" s="23" t="str">
        <f>[2]底表!AO175</f>
        <v>持平</v>
      </c>
      <c r="F175" s="21">
        <f>[2]底表!AP175</f>
        <v>0</v>
      </c>
      <c r="G175" s="21" t="str">
        <f>[2]底表!AQ175</f>
        <v>持平</v>
      </c>
      <c r="H175" s="21" t="str">
        <f>[2]底表!AR175</f>
        <v/>
      </c>
      <c r="I175" s="21" t="str">
        <f>[2]底表!AS175</f>
        <v/>
      </c>
      <c r="J175" s="21">
        <f>[2]底表!AT175</f>
        <v>0</v>
      </c>
      <c r="K175" s="21">
        <f>[2]底表!AU175</f>
        <v>0</v>
      </c>
      <c r="L175" s="21" t="str">
        <f>[2]底表!AV175</f>
        <v>持平</v>
      </c>
      <c r="M175" s="21">
        <f>[2]底表!AW175</f>
        <v>0</v>
      </c>
      <c r="N175" s="21" t="str">
        <f>[2]底表!AX175</f>
        <v>持平</v>
      </c>
      <c r="O175" s="21">
        <f>[2]底表!AY175</f>
        <v>0</v>
      </c>
      <c r="P175" s="21">
        <f>[2]底表!AZ175</f>
        <v>0</v>
      </c>
      <c r="Q175" s="21" t="str">
        <f>[2]底表!BA175</f>
        <v>持平</v>
      </c>
      <c r="R175" s="21">
        <f>[2]底表!BB175</f>
        <v>0</v>
      </c>
      <c r="S175" s="21" t="str">
        <f>[2]底表!BC175</f>
        <v>持平</v>
      </c>
      <c r="T175" s="21" t="str">
        <f>[2]底表!BD175</f>
        <v/>
      </c>
      <c r="U175" s="21" t="str">
        <f>[2]底表!BE175</f>
        <v/>
      </c>
      <c r="V175" s="21">
        <f>[2]底表!BF175</f>
        <v>0</v>
      </c>
      <c r="W175" s="21">
        <f>[2]底表!BG175</f>
        <v>0</v>
      </c>
      <c r="X175" s="21" t="str">
        <f>[2]底表!BH175</f>
        <v>持平</v>
      </c>
      <c r="Y175" s="21">
        <f>[2]底表!BI175</f>
        <v>0</v>
      </c>
      <c r="Z175" s="21" t="str">
        <f>[2]底表!BJ175</f>
        <v>持平</v>
      </c>
      <c r="AA175" s="21" t="str">
        <f>[2]底表!BK175</f>
        <v/>
      </c>
      <c r="AB175" s="21">
        <f>[2]底表!BL175</f>
        <v>0</v>
      </c>
      <c r="AC175" s="21">
        <f>[2]底表!BM175</f>
        <v>0</v>
      </c>
      <c r="AD175" s="21" t="str">
        <f>[2]底表!BN175</f>
        <v>持平</v>
      </c>
      <c r="AE175" s="21">
        <f>[2]底表!BO175</f>
        <v>0</v>
      </c>
      <c r="AF175" s="21" t="str">
        <f>[2]底表!BP175</f>
        <v>持平</v>
      </c>
      <c r="AG175" s="21">
        <f>[2]底表!BT175</f>
        <v>0</v>
      </c>
      <c r="AH175" s="21" t="str">
        <f>[2]底表!BU175</f>
        <v>持平</v>
      </c>
      <c r="AI175" s="21" t="str">
        <f>[2]底表!BV175</f>
        <v/>
      </c>
      <c r="AJ175" s="21" t="str">
        <f>[2]底表!BW175</f>
        <v/>
      </c>
      <c r="AK175" s="21" t="str">
        <f>[2]底表!BX175</f>
        <v/>
      </c>
      <c r="AL175" s="21" t="str">
        <f>[2]底表!BY175</f>
        <v/>
      </c>
      <c r="AM175" s="21">
        <f>[2]底表!BZ175</f>
        <v>0</v>
      </c>
      <c r="AN175" s="21">
        <f>[2]底表!CA175</f>
        <v>0</v>
      </c>
      <c r="AO175" s="21" t="str">
        <f>[2]底表!CB175</f>
        <v>持平</v>
      </c>
      <c r="AP175" s="21">
        <f>[2]底表!CC175</f>
        <v>0</v>
      </c>
      <c r="AQ175" s="21" t="str">
        <f>[2]底表!CD175</f>
        <v>持平</v>
      </c>
      <c r="AR175" s="21" t="str">
        <f>[2]底表!CE175</f>
        <v/>
      </c>
      <c r="AS175" s="21" t="str">
        <f>[2]底表!CF175</f>
        <v/>
      </c>
      <c r="AT175" s="21">
        <f>[2]底表!CG175</f>
        <v>0</v>
      </c>
      <c r="AU175" s="21">
        <f>[2]底表!CH175</f>
        <v>0</v>
      </c>
      <c r="AV175" s="21" t="str">
        <f>[2]底表!CI175</f>
        <v>持平</v>
      </c>
      <c r="AW175" s="21">
        <f>[2]底表!CJ175</f>
        <v>0</v>
      </c>
      <c r="AX175" s="21" t="str">
        <f>[2]底表!CK175</f>
        <v>持平</v>
      </c>
      <c r="AY175" s="21" t="str">
        <f>[2]底表!CL175</f>
        <v/>
      </c>
      <c r="AZ175" s="21" t="str">
        <f>[2]底表!CM175</f>
        <v/>
      </c>
      <c r="BA175" s="21" t="str">
        <f>[2]底表!CN175</f>
        <v/>
      </c>
      <c r="BB175" s="21">
        <f>[2]底表!CO175</f>
        <v>0</v>
      </c>
      <c r="BC175" s="21">
        <f>[2]底表!CP175</f>
        <v>0</v>
      </c>
      <c r="BD175" s="21" t="str">
        <f>[2]底表!CQ175</f>
        <v>持平</v>
      </c>
      <c r="BE175" s="21">
        <f>[2]底表!CR175</f>
        <v>0</v>
      </c>
      <c r="BF175" s="21" t="str">
        <f>[2]底表!CS175</f>
        <v>持平</v>
      </c>
      <c r="BG175" s="21" t="str">
        <f>[2]底表!CT175</f>
        <v/>
      </c>
      <c r="BH175" s="21" t="str">
        <f>[2]底表!CU175</f>
        <v/>
      </c>
      <c r="BI175" s="21" t="str">
        <f>[2]底表!CV175</f>
        <v/>
      </c>
      <c r="BJ175" s="21" t="str">
        <f>[2]底表!CW175</f>
        <v/>
      </c>
      <c r="BK175" s="21" t="str">
        <f>[2]底表!CX175</f>
        <v/>
      </c>
      <c r="BL175" s="21">
        <f>[2]底表!CY175</f>
        <v>0</v>
      </c>
      <c r="BM175" s="21">
        <f>[2]底表!CZ175</f>
        <v>0</v>
      </c>
      <c r="BN175" s="23" t="str">
        <f>[2]底表!DA175</f>
        <v>持平</v>
      </c>
      <c r="BO175" s="21">
        <f>[2]底表!DB175</f>
        <v>0</v>
      </c>
      <c r="BP175" s="21" t="str">
        <f>[2]底表!DC175</f>
        <v>持平</v>
      </c>
      <c r="BQ175" s="21" t="str">
        <f>[2]底表!DD175</f>
        <v/>
      </c>
      <c r="BR175" s="21" t="str">
        <f>[2]底表!DE175</f>
        <v/>
      </c>
      <c r="BS175" s="21" t="str">
        <f>[2]底表!DF175</f>
        <v/>
      </c>
      <c r="BT175" s="21" t="str">
        <f>[2]底表!DG175</f>
        <v/>
      </c>
      <c r="BU175" s="21" t="str">
        <f>[2]底表!DH175</f>
        <v/>
      </c>
      <c r="BV175" s="21">
        <f>[2]底表!DI175</f>
        <v>0</v>
      </c>
      <c r="BW175" s="21">
        <f>[2]底表!DJ175</f>
        <v>0</v>
      </c>
      <c r="BX175" s="23" t="str">
        <f>[2]底表!DK175</f>
        <v>持平</v>
      </c>
      <c r="BY175" s="21">
        <f>[2]底表!DL175</f>
        <v>0</v>
      </c>
      <c r="BZ175" s="21" t="str">
        <f>[2]底表!DM175</f>
        <v>持平</v>
      </c>
      <c r="CA175" s="21">
        <f>[2]底表!DN175</f>
        <v>0</v>
      </c>
      <c r="CB175" s="21">
        <f>[2]底表!DO175</f>
        <v>0</v>
      </c>
      <c r="CC175" s="21" t="str">
        <f>[2]底表!DP175</f>
        <v>持平</v>
      </c>
      <c r="CD175" s="21">
        <f>[2]底表!DQ175</f>
        <v>0</v>
      </c>
      <c r="CE175" s="21" t="str">
        <f>[2]底表!DR175</f>
        <v>持平</v>
      </c>
      <c r="CF175" s="21">
        <f>[2]底表!DS175</f>
        <v>0</v>
      </c>
      <c r="CG175" s="21">
        <f>[2]底表!DT175</f>
        <v>0</v>
      </c>
      <c r="CH175" s="21" t="str">
        <f>[2]底表!DU175</f>
        <v>持平</v>
      </c>
      <c r="CI175" s="21">
        <f>[2]底表!DV175</f>
        <v>0</v>
      </c>
      <c r="CJ175" s="21" t="str">
        <f>[2]底表!DW175</f>
        <v>持平</v>
      </c>
      <c r="CK175" s="21">
        <f>[2]底表!DX175</f>
        <v>0</v>
      </c>
      <c r="CL175" s="21">
        <f>[2]底表!DY175</f>
        <v>0</v>
      </c>
      <c r="CM175" s="21" t="str">
        <f>[2]底表!DZ175</f>
        <v>持平</v>
      </c>
      <c r="CN175" s="21">
        <f>[2]底表!EA175</f>
        <v>0</v>
      </c>
      <c r="CO175" s="21" t="str">
        <f>[2]底表!EB175</f>
        <v>持平</v>
      </c>
      <c r="CP175" s="21">
        <f>[2]底表!EC175</f>
        <v>0</v>
      </c>
      <c r="CQ175" s="21">
        <f>[2]底表!ED175</f>
        <v>0</v>
      </c>
      <c r="CR175" s="21" t="str">
        <f>[2]底表!EE175</f>
        <v>持平</v>
      </c>
      <c r="CS175" s="21">
        <f>[2]底表!EF175</f>
        <v>0</v>
      </c>
      <c r="CT175" s="21" t="str">
        <f>[2]底表!EG175</f>
        <v>持平</v>
      </c>
      <c r="CU175" s="21" t="str">
        <f>[2]底表!EH175</f>
        <v/>
      </c>
      <c r="CV175" s="21" t="str">
        <f>[2]底表!EI175</f>
        <v/>
      </c>
      <c r="CW175" s="21" t="str">
        <f>[2]底表!EJ175</f>
        <v/>
      </c>
      <c r="CX175" s="21" t="str">
        <f>[2]底表!EK175</f>
        <v/>
      </c>
      <c r="CY175" s="21" t="str">
        <f>[2]底表!EL175</f>
        <v/>
      </c>
      <c r="CZ175" s="21">
        <f>[2]底表!EM175</f>
        <v>0</v>
      </c>
      <c r="DA175" s="21">
        <f>[2]底表!EN175</f>
        <v>0</v>
      </c>
      <c r="DB175" s="21" t="str">
        <f>[2]底表!EO175</f>
        <v>持平</v>
      </c>
      <c r="DC175" s="21">
        <f>[2]底表!EP175</f>
        <v>0</v>
      </c>
      <c r="DD175" s="21" t="str">
        <f>[2]底表!EQ175</f>
        <v>持平</v>
      </c>
      <c r="DE175" s="21">
        <f>[2]底表!ER175</f>
        <v>0</v>
      </c>
      <c r="DF175" s="21">
        <f>[2]底表!ES175</f>
        <v>0</v>
      </c>
      <c r="DG175" s="23" t="str">
        <f>[2]底表!ET175</f>
        <v>持平</v>
      </c>
      <c r="DH175" s="21">
        <f>[2]底表!EU175</f>
        <v>0</v>
      </c>
      <c r="DI175" s="21" t="str">
        <f>[2]底表!EV175</f>
        <v>持平</v>
      </c>
      <c r="DJ175" s="21" t="str">
        <f>[2]底表!EW175</f>
        <v/>
      </c>
      <c r="DK175" s="21" t="str">
        <f>[2]底表!EX175</f>
        <v/>
      </c>
      <c r="DL175" s="21" t="str">
        <f>[2]底表!EY175</f>
        <v/>
      </c>
      <c r="DM175" s="21" t="str">
        <f>[2]底表!EZ175</f>
        <v/>
      </c>
      <c r="DN175" s="21" t="str">
        <f>[2]底表!FA175</f>
        <v/>
      </c>
      <c r="DO175" s="21">
        <f>[2]底表!BQ175</f>
        <v>0</v>
      </c>
      <c r="DP175" s="21">
        <f>[2]底表!BR175</f>
        <v>0</v>
      </c>
      <c r="DQ175" s="24" t="str">
        <f>[2]底表!BS175</f>
        <v>持平</v>
      </c>
    </row>
    <row r="176" s="2" customFormat="1" ht="32" hidden="1" customHeight="1" spans="1:121">
      <c r="A176" s="27" t="str">
        <f>[2]底表!A176</f>
        <v>两抢</v>
      </c>
      <c r="B176" s="28" t="str">
        <f>[2]底表!B176</f>
        <v>新兴县</v>
      </c>
      <c r="C176" s="21">
        <f>[2]底表!AM176</f>
        <v>0</v>
      </c>
      <c r="D176" s="21">
        <f>[2]底表!AN176</f>
        <v>0</v>
      </c>
      <c r="E176" s="23" t="str">
        <f>[2]底表!AO176</f>
        <v>持平</v>
      </c>
      <c r="F176" s="21">
        <f>[2]底表!AP176</f>
        <v>0</v>
      </c>
      <c r="G176" s="21" t="str">
        <f>[2]底表!AQ176</f>
        <v>持平</v>
      </c>
      <c r="H176" s="21" t="str">
        <f>[2]底表!AR176</f>
        <v/>
      </c>
      <c r="I176" s="21" t="str">
        <f>[2]底表!AS176</f>
        <v/>
      </c>
      <c r="J176" s="21">
        <f>[2]底表!AT176</f>
        <v>0</v>
      </c>
      <c r="K176" s="21">
        <f>[2]底表!AU176</f>
        <v>0</v>
      </c>
      <c r="L176" s="21" t="str">
        <f>[2]底表!AV176</f>
        <v>持平</v>
      </c>
      <c r="M176" s="21">
        <f>[2]底表!AW176</f>
        <v>0</v>
      </c>
      <c r="N176" s="21" t="str">
        <f>[2]底表!AX176</f>
        <v>持平</v>
      </c>
      <c r="O176" s="21">
        <f>[2]底表!AY176</f>
        <v>0</v>
      </c>
      <c r="P176" s="21">
        <f>[2]底表!AZ176</f>
        <v>0</v>
      </c>
      <c r="Q176" s="21" t="str">
        <f>[2]底表!BA176</f>
        <v>持平</v>
      </c>
      <c r="R176" s="21">
        <f>[2]底表!BB176</f>
        <v>0</v>
      </c>
      <c r="S176" s="21" t="str">
        <f>[2]底表!BC176</f>
        <v>持平</v>
      </c>
      <c r="T176" s="21" t="str">
        <f>[2]底表!BD176</f>
        <v/>
      </c>
      <c r="U176" s="21" t="str">
        <f>[2]底表!BE176</f>
        <v/>
      </c>
      <c r="V176" s="21">
        <f>[2]底表!BF176</f>
        <v>0</v>
      </c>
      <c r="W176" s="21">
        <f>[2]底表!BG176</f>
        <v>0</v>
      </c>
      <c r="X176" s="21" t="str">
        <f>[2]底表!BH176</f>
        <v>持平</v>
      </c>
      <c r="Y176" s="21">
        <f>[2]底表!BI176</f>
        <v>0</v>
      </c>
      <c r="Z176" s="21" t="str">
        <f>[2]底表!BJ176</f>
        <v>持平</v>
      </c>
      <c r="AA176" s="21" t="str">
        <f>[2]底表!BK176</f>
        <v/>
      </c>
      <c r="AB176" s="21">
        <f>[2]底表!BL176</f>
        <v>0</v>
      </c>
      <c r="AC176" s="21">
        <f>[2]底表!BM176</f>
        <v>0</v>
      </c>
      <c r="AD176" s="21" t="str">
        <f>[2]底表!BN176</f>
        <v>持平</v>
      </c>
      <c r="AE176" s="21">
        <f>[2]底表!BO176</f>
        <v>0</v>
      </c>
      <c r="AF176" s="21" t="str">
        <f>[2]底表!BP176</f>
        <v>持平</v>
      </c>
      <c r="AG176" s="21">
        <f>[2]底表!BT176</f>
        <v>1</v>
      </c>
      <c r="AH176" s="21" t="str">
        <f>[2]底表!BU176</f>
        <v>少1起</v>
      </c>
      <c r="AI176" s="21" t="str">
        <f>[2]底表!BV176</f>
        <v/>
      </c>
      <c r="AJ176" s="21" t="str">
        <f>[2]底表!BW176</f>
        <v/>
      </c>
      <c r="AK176" s="21" t="str">
        <f>[2]底表!BX176</f>
        <v/>
      </c>
      <c r="AL176" s="21" t="str">
        <f>[2]底表!BY176</f>
        <v/>
      </c>
      <c r="AM176" s="21">
        <f>[2]底表!BZ176</f>
        <v>0</v>
      </c>
      <c r="AN176" s="21">
        <f>[2]底表!CA176</f>
        <v>0</v>
      </c>
      <c r="AO176" s="21" t="str">
        <f>[2]底表!CB176</f>
        <v>持平</v>
      </c>
      <c r="AP176" s="21">
        <f>[2]底表!CC176</f>
        <v>0</v>
      </c>
      <c r="AQ176" s="21" t="str">
        <f>[2]底表!CD176</f>
        <v>持平</v>
      </c>
      <c r="AR176" s="21" t="str">
        <f>[2]底表!CE176</f>
        <v/>
      </c>
      <c r="AS176" s="21" t="str">
        <f>[2]底表!CF176</f>
        <v/>
      </c>
      <c r="AT176" s="21">
        <f>[2]底表!CG176</f>
        <v>0</v>
      </c>
      <c r="AU176" s="21">
        <f>[2]底表!CH176</f>
        <v>0</v>
      </c>
      <c r="AV176" s="21" t="str">
        <f>[2]底表!CI176</f>
        <v>持平</v>
      </c>
      <c r="AW176" s="21">
        <f>[2]底表!CJ176</f>
        <v>0</v>
      </c>
      <c r="AX176" s="21" t="str">
        <f>[2]底表!CK176</f>
        <v>持平</v>
      </c>
      <c r="AY176" s="21" t="str">
        <f>[2]底表!CL176</f>
        <v/>
      </c>
      <c r="AZ176" s="21" t="str">
        <f>[2]底表!CM176</f>
        <v/>
      </c>
      <c r="BA176" s="21" t="str">
        <f>[2]底表!CN176</f>
        <v/>
      </c>
      <c r="BB176" s="21">
        <f>[2]底表!CO176</f>
        <v>1</v>
      </c>
      <c r="BC176" s="21">
        <f>[2]底表!CP176</f>
        <v>0</v>
      </c>
      <c r="BD176" s="21" t="str">
        <f>[2]底表!CQ176</f>
        <v>多1人</v>
      </c>
      <c r="BE176" s="21">
        <f>[2]底表!CR176</f>
        <v>0</v>
      </c>
      <c r="BF176" s="21" t="str">
        <f>[2]底表!CS176</f>
        <v>多1人</v>
      </c>
      <c r="BG176" s="21" t="str">
        <f>[2]底表!CT176</f>
        <v/>
      </c>
      <c r="BH176" s="21" t="str">
        <f>[2]底表!CU176</f>
        <v/>
      </c>
      <c r="BI176" s="21" t="str">
        <f>[2]底表!CV176</f>
        <v/>
      </c>
      <c r="BJ176" s="21" t="str">
        <f>[2]底表!CW176</f>
        <v/>
      </c>
      <c r="BK176" s="21" t="str">
        <f>[2]底表!CX176</f>
        <v/>
      </c>
      <c r="BL176" s="21">
        <f>[2]底表!CY176</f>
        <v>1</v>
      </c>
      <c r="BM176" s="21">
        <f>[2]底表!CZ176</f>
        <v>0</v>
      </c>
      <c r="BN176" s="23" t="str">
        <f>[2]底表!DA176</f>
        <v>多1人</v>
      </c>
      <c r="BO176" s="21">
        <f>[2]底表!DB176</f>
        <v>0</v>
      </c>
      <c r="BP176" s="21" t="str">
        <f>[2]底表!DC176</f>
        <v>多1人</v>
      </c>
      <c r="BQ176" s="21" t="str">
        <f>[2]底表!DD176</f>
        <v/>
      </c>
      <c r="BR176" s="21" t="str">
        <f>[2]底表!DE176</f>
        <v/>
      </c>
      <c r="BS176" s="21" t="str">
        <f>[2]底表!DF176</f>
        <v/>
      </c>
      <c r="BT176" s="21" t="str">
        <f>[2]底表!DG176</f>
        <v/>
      </c>
      <c r="BU176" s="21" t="str">
        <f>[2]底表!DH176</f>
        <v/>
      </c>
      <c r="BV176" s="21">
        <f>[2]底表!DI176</f>
        <v>1</v>
      </c>
      <c r="BW176" s="21">
        <f>[2]底表!DJ176</f>
        <v>0</v>
      </c>
      <c r="BX176" s="23" t="str">
        <f>[2]底表!DK176</f>
        <v>多1人</v>
      </c>
      <c r="BY176" s="21">
        <f>[2]底表!DL176</f>
        <v>0</v>
      </c>
      <c r="BZ176" s="21" t="str">
        <f>[2]底表!DM176</f>
        <v>多1人</v>
      </c>
      <c r="CA176" s="21">
        <f>[2]底表!DN176</f>
        <v>0</v>
      </c>
      <c r="CB176" s="21">
        <f>[2]底表!DO176</f>
        <v>0</v>
      </c>
      <c r="CC176" s="21" t="str">
        <f>[2]底表!DP176</f>
        <v>持平</v>
      </c>
      <c r="CD176" s="21">
        <f>[2]底表!DQ176</f>
        <v>0</v>
      </c>
      <c r="CE176" s="21" t="str">
        <f>[2]底表!DR176</f>
        <v>持平</v>
      </c>
      <c r="CF176" s="21">
        <f>[2]底表!DS176</f>
        <v>0</v>
      </c>
      <c r="CG176" s="21">
        <f>[2]底表!DT176</f>
        <v>0</v>
      </c>
      <c r="CH176" s="21" t="str">
        <f>[2]底表!DU176</f>
        <v>持平</v>
      </c>
      <c r="CI176" s="21">
        <f>[2]底表!DV176</f>
        <v>0</v>
      </c>
      <c r="CJ176" s="21" t="str">
        <f>[2]底表!DW176</f>
        <v>持平</v>
      </c>
      <c r="CK176" s="21">
        <f>[2]底表!DX176</f>
        <v>0</v>
      </c>
      <c r="CL176" s="21">
        <f>[2]底表!DY176</f>
        <v>0</v>
      </c>
      <c r="CM176" s="21" t="str">
        <f>[2]底表!DZ176</f>
        <v>持平</v>
      </c>
      <c r="CN176" s="21">
        <f>[2]底表!EA176</f>
        <v>0</v>
      </c>
      <c r="CO176" s="21" t="str">
        <f>[2]底表!EB176</f>
        <v>持平</v>
      </c>
      <c r="CP176" s="21">
        <f>[2]底表!EC176</f>
        <v>0</v>
      </c>
      <c r="CQ176" s="21">
        <f>[2]底表!ED176</f>
        <v>0</v>
      </c>
      <c r="CR176" s="21" t="str">
        <f>[2]底表!EE176</f>
        <v>持平</v>
      </c>
      <c r="CS176" s="21">
        <f>[2]底表!EF176</f>
        <v>0</v>
      </c>
      <c r="CT176" s="21" t="str">
        <f>[2]底表!EG176</f>
        <v>持平</v>
      </c>
      <c r="CU176" s="21">
        <f>[2]底表!EH176</f>
        <v>0</v>
      </c>
      <c r="CV176" s="21" t="str">
        <f>[2]底表!EI176</f>
        <v/>
      </c>
      <c r="CW176" s="21" t="str">
        <f>[2]底表!EJ176</f>
        <v/>
      </c>
      <c r="CX176" s="21" t="str">
        <f>[2]底表!EK176</f>
        <v/>
      </c>
      <c r="CY176" s="21" t="str">
        <f>[2]底表!EL176</f>
        <v/>
      </c>
      <c r="CZ176" s="21">
        <f>[2]底表!EM176</f>
        <v>0</v>
      </c>
      <c r="DA176" s="21">
        <f>[2]底表!EN176</f>
        <v>0</v>
      </c>
      <c r="DB176" s="21" t="str">
        <f>[2]底表!EO176</f>
        <v>持平</v>
      </c>
      <c r="DC176" s="21">
        <f>[2]底表!EP176</f>
        <v>0</v>
      </c>
      <c r="DD176" s="21" t="str">
        <f>[2]底表!EQ176</f>
        <v>持平</v>
      </c>
      <c r="DE176" s="21">
        <f>[2]底表!ER176</f>
        <v>0</v>
      </c>
      <c r="DF176" s="21">
        <f>[2]底表!ES176</f>
        <v>0</v>
      </c>
      <c r="DG176" s="23" t="str">
        <f>[2]底表!ET176</f>
        <v>持平</v>
      </c>
      <c r="DH176" s="21">
        <f>[2]底表!EU176</f>
        <v>2</v>
      </c>
      <c r="DI176" s="21" t="str">
        <f>[2]底表!EV176</f>
        <v>少2人</v>
      </c>
      <c r="DJ176" s="21">
        <f>[2]底表!EW176</f>
        <v>0</v>
      </c>
      <c r="DK176" s="21" t="str">
        <f>[2]底表!EX176</f>
        <v/>
      </c>
      <c r="DL176" s="21" t="str">
        <f>[2]底表!EY176</f>
        <v/>
      </c>
      <c r="DM176" s="21" t="str">
        <f>[2]底表!EZ176</f>
        <v/>
      </c>
      <c r="DN176" s="21" t="str">
        <f>[2]底表!FA176</f>
        <v/>
      </c>
      <c r="DO176" s="21">
        <f>[2]底表!BQ176</f>
        <v>0</v>
      </c>
      <c r="DP176" s="21">
        <f>[2]底表!BR176</f>
        <v>0</v>
      </c>
      <c r="DQ176" s="24" t="str">
        <f>[2]底表!BS176</f>
        <v>持平</v>
      </c>
    </row>
    <row r="177" s="2" customFormat="1" ht="32" hidden="1" customHeight="1" spans="1:121">
      <c r="A177" s="27" t="str">
        <f>[2]底表!A177</f>
        <v>两抢</v>
      </c>
      <c r="B177" s="28" t="str">
        <f>[2]底表!B177</f>
        <v>郁南县</v>
      </c>
      <c r="C177" s="21">
        <f>[2]底表!AM177</f>
        <v>2</v>
      </c>
      <c r="D177" s="21">
        <f>[2]底表!AN177</f>
        <v>0</v>
      </c>
      <c r="E177" s="23" t="str">
        <f>[2]底表!AO177</f>
        <v>多2起</v>
      </c>
      <c r="F177" s="21">
        <f>[2]底表!AP177</f>
        <v>0</v>
      </c>
      <c r="G177" s="21" t="str">
        <f>[2]底表!AQ177</f>
        <v>多2起</v>
      </c>
      <c r="H177" s="21">
        <f>[2]底表!AR177</f>
        <v>1</v>
      </c>
      <c r="I177" s="21" t="str">
        <f>[2]底表!AS177</f>
        <v/>
      </c>
      <c r="J177" s="21">
        <f>[2]底表!AT177</f>
        <v>2</v>
      </c>
      <c r="K177" s="21">
        <f>[2]底表!AU177</f>
        <v>0</v>
      </c>
      <c r="L177" s="21" t="str">
        <f>[2]底表!AV177</f>
        <v>多2起</v>
      </c>
      <c r="M177" s="21">
        <f>[2]底表!AW177</f>
        <v>0</v>
      </c>
      <c r="N177" s="21" t="str">
        <f>[2]底表!AX177</f>
        <v>多2起</v>
      </c>
      <c r="O177" s="21">
        <f>[2]底表!AY177</f>
        <v>2</v>
      </c>
      <c r="P177" s="21">
        <f>[2]底表!AZ177</f>
        <v>0</v>
      </c>
      <c r="Q177" s="21" t="str">
        <f>[2]底表!BA177</f>
        <v>多2起</v>
      </c>
      <c r="R177" s="21">
        <f>[2]底表!BB177</f>
        <v>0</v>
      </c>
      <c r="S177" s="21" t="str">
        <f>[2]底表!BC177</f>
        <v>多2起</v>
      </c>
      <c r="T177" s="21">
        <f>[2]底表!BD177</f>
        <v>1</v>
      </c>
      <c r="U177" s="21" t="str">
        <f>[2]底表!BE177</f>
        <v/>
      </c>
      <c r="V177" s="21">
        <f>[2]底表!BF177</f>
        <v>0</v>
      </c>
      <c r="W177" s="21">
        <f>[2]底表!BG177</f>
        <v>0</v>
      </c>
      <c r="X177" s="21" t="str">
        <f>[2]底表!BH177</f>
        <v>持平</v>
      </c>
      <c r="Y177" s="21">
        <f>[2]底表!BI177</f>
        <v>0</v>
      </c>
      <c r="Z177" s="21" t="str">
        <f>[2]底表!BJ177</f>
        <v>持平</v>
      </c>
      <c r="AA177" s="21">
        <f>[2]底表!BK177</f>
        <v>0</v>
      </c>
      <c r="AB177" s="21">
        <f>[2]底表!BL177</f>
        <v>0</v>
      </c>
      <c r="AC177" s="21">
        <f>[2]底表!BM177</f>
        <v>0</v>
      </c>
      <c r="AD177" s="21" t="str">
        <f>[2]底表!BN177</f>
        <v>持平</v>
      </c>
      <c r="AE177" s="21">
        <f>[2]底表!BO177</f>
        <v>0</v>
      </c>
      <c r="AF177" s="21" t="str">
        <f>[2]底表!BP177</f>
        <v>持平</v>
      </c>
      <c r="AG177" s="21">
        <f>[2]底表!BT177</f>
        <v>0</v>
      </c>
      <c r="AH177" s="21" t="str">
        <f>[2]底表!BU177</f>
        <v>持平</v>
      </c>
      <c r="AI177" s="21">
        <f>[2]底表!BV177</f>
        <v>0</v>
      </c>
      <c r="AJ177" s="21" t="str">
        <f>[2]底表!BW177</f>
        <v/>
      </c>
      <c r="AK177" s="21">
        <f>[2]底表!BX177</f>
        <v>0</v>
      </c>
      <c r="AL177" s="21" t="str">
        <f>[2]底表!BY177</f>
        <v/>
      </c>
      <c r="AM177" s="21">
        <f>[2]底表!BZ177</f>
        <v>0</v>
      </c>
      <c r="AN177" s="21">
        <f>[2]底表!CA177</f>
        <v>0</v>
      </c>
      <c r="AO177" s="21" t="str">
        <f>[2]底表!CB177</f>
        <v>持平</v>
      </c>
      <c r="AP177" s="21">
        <f>[2]底表!CC177</f>
        <v>0</v>
      </c>
      <c r="AQ177" s="21" t="str">
        <f>[2]底表!CD177</f>
        <v>持平</v>
      </c>
      <c r="AR177" s="21" t="str">
        <f>[2]底表!CE177</f>
        <v/>
      </c>
      <c r="AS177" s="21" t="str">
        <f>[2]底表!CF177</f>
        <v/>
      </c>
      <c r="AT177" s="21">
        <f>[2]底表!CG177</f>
        <v>1</v>
      </c>
      <c r="AU177" s="21">
        <f>[2]底表!CH177</f>
        <v>0</v>
      </c>
      <c r="AV177" s="21" t="str">
        <f>[2]底表!CI177</f>
        <v>多1人</v>
      </c>
      <c r="AW177" s="21">
        <f>[2]底表!CJ177</f>
        <v>0</v>
      </c>
      <c r="AX177" s="21" t="str">
        <f>[2]底表!CK177</f>
        <v>多1人</v>
      </c>
      <c r="AY177" s="21">
        <f>[2]底表!CL177</f>
        <v>50</v>
      </c>
      <c r="AZ177" s="21" t="str">
        <f>[2]底表!CM177</f>
        <v/>
      </c>
      <c r="BA177" s="21" t="str">
        <f>[2]底表!CN177</f>
        <v/>
      </c>
      <c r="BB177" s="21">
        <f>[2]底表!CO177</f>
        <v>2</v>
      </c>
      <c r="BC177" s="21">
        <f>[2]底表!CP177</f>
        <v>0</v>
      </c>
      <c r="BD177" s="21" t="str">
        <f>[2]底表!CQ177</f>
        <v>多2人</v>
      </c>
      <c r="BE177" s="21">
        <f>[2]底表!CR177</f>
        <v>0</v>
      </c>
      <c r="BF177" s="21" t="str">
        <f>[2]底表!CS177</f>
        <v>多2人</v>
      </c>
      <c r="BG177" s="21">
        <f>[2]底表!CT177</f>
        <v>2</v>
      </c>
      <c r="BH177" s="21" t="str">
        <f>[2]底表!CU177</f>
        <v/>
      </c>
      <c r="BI177" s="21">
        <f>[2]底表!CV177</f>
        <v>100</v>
      </c>
      <c r="BJ177" s="21" t="str">
        <f>[2]底表!CW177</f>
        <v/>
      </c>
      <c r="BK177" s="21" t="str">
        <f>[2]底表!CX177</f>
        <v/>
      </c>
      <c r="BL177" s="21">
        <f>[2]底表!CY177</f>
        <v>2</v>
      </c>
      <c r="BM177" s="21">
        <f>[2]底表!CZ177</f>
        <v>0</v>
      </c>
      <c r="BN177" s="23" t="str">
        <f>[2]底表!DA177</f>
        <v>多2人</v>
      </c>
      <c r="BO177" s="21">
        <f>[2]底表!DB177</f>
        <v>0</v>
      </c>
      <c r="BP177" s="21" t="str">
        <f>[2]底表!DC177</f>
        <v>多2人</v>
      </c>
      <c r="BQ177" s="21">
        <f>[2]底表!DD177</f>
        <v>2</v>
      </c>
      <c r="BR177" s="21" t="str">
        <f>[2]底表!DE177</f>
        <v/>
      </c>
      <c r="BS177" s="21">
        <f>[2]底表!DF177</f>
        <v>100</v>
      </c>
      <c r="BT177" s="21" t="str">
        <f>[2]底表!DG177</f>
        <v/>
      </c>
      <c r="BU177" s="21" t="str">
        <f>[2]底表!DH177</f>
        <v/>
      </c>
      <c r="BV177" s="21">
        <f>[2]底表!DI177</f>
        <v>1</v>
      </c>
      <c r="BW177" s="21">
        <f>[2]底表!DJ177</f>
        <v>0</v>
      </c>
      <c r="BX177" s="23" t="str">
        <f>[2]底表!DK177</f>
        <v>多1人</v>
      </c>
      <c r="BY177" s="21">
        <f>[2]底表!DL177</f>
        <v>0</v>
      </c>
      <c r="BZ177" s="21" t="str">
        <f>[2]底表!DM177</f>
        <v>多1人</v>
      </c>
      <c r="CA177" s="21">
        <f>[2]底表!DN177</f>
        <v>0</v>
      </c>
      <c r="CB177" s="21">
        <f>[2]底表!DO177</f>
        <v>0</v>
      </c>
      <c r="CC177" s="21" t="str">
        <f>[2]底表!DP177</f>
        <v>持平</v>
      </c>
      <c r="CD177" s="21">
        <f>[2]底表!DQ177</f>
        <v>0</v>
      </c>
      <c r="CE177" s="21" t="str">
        <f>[2]底表!DR177</f>
        <v>持平</v>
      </c>
      <c r="CF177" s="21">
        <f>[2]底表!DS177</f>
        <v>0</v>
      </c>
      <c r="CG177" s="21">
        <f>[2]底表!DT177</f>
        <v>0</v>
      </c>
      <c r="CH177" s="21" t="str">
        <f>[2]底表!DU177</f>
        <v>持平</v>
      </c>
      <c r="CI177" s="21">
        <f>[2]底表!DV177</f>
        <v>0</v>
      </c>
      <c r="CJ177" s="21" t="str">
        <f>[2]底表!DW177</f>
        <v>持平</v>
      </c>
      <c r="CK177" s="21">
        <f>[2]底表!DX177</f>
        <v>0</v>
      </c>
      <c r="CL177" s="21">
        <f>[2]底表!DY177</f>
        <v>0</v>
      </c>
      <c r="CM177" s="21" t="str">
        <f>[2]底表!DZ177</f>
        <v>持平</v>
      </c>
      <c r="CN177" s="21">
        <f>[2]底表!EA177</f>
        <v>0</v>
      </c>
      <c r="CO177" s="21" t="str">
        <f>[2]底表!EB177</f>
        <v>持平</v>
      </c>
      <c r="CP177" s="21">
        <f>[2]底表!EC177</f>
        <v>0</v>
      </c>
      <c r="CQ177" s="21">
        <f>[2]底表!ED177</f>
        <v>0</v>
      </c>
      <c r="CR177" s="21" t="str">
        <f>[2]底表!EE177</f>
        <v>持平</v>
      </c>
      <c r="CS177" s="21">
        <f>[2]底表!EF177</f>
        <v>0</v>
      </c>
      <c r="CT177" s="21" t="str">
        <f>[2]底表!EG177</f>
        <v>持平</v>
      </c>
      <c r="CU177" s="21">
        <f>[2]底表!EH177</f>
        <v>0</v>
      </c>
      <c r="CV177" s="21" t="str">
        <f>[2]底表!EI177</f>
        <v/>
      </c>
      <c r="CW177" s="21">
        <f>[2]底表!EJ177</f>
        <v>0</v>
      </c>
      <c r="CX177" s="21" t="str">
        <f>[2]底表!EK177</f>
        <v/>
      </c>
      <c r="CY177" s="21" t="str">
        <f>[2]底表!EL177</f>
        <v/>
      </c>
      <c r="CZ177" s="21">
        <f>[2]底表!EM177</f>
        <v>0</v>
      </c>
      <c r="DA177" s="21">
        <f>[2]底表!EN177</f>
        <v>0</v>
      </c>
      <c r="DB177" s="21" t="str">
        <f>[2]底表!EO177</f>
        <v>持平</v>
      </c>
      <c r="DC177" s="21">
        <f>[2]底表!EP177</f>
        <v>0</v>
      </c>
      <c r="DD177" s="21" t="str">
        <f>[2]底表!EQ177</f>
        <v>持平</v>
      </c>
      <c r="DE177" s="21">
        <f>[2]底表!ER177</f>
        <v>0</v>
      </c>
      <c r="DF177" s="21">
        <f>[2]底表!ES177</f>
        <v>0</v>
      </c>
      <c r="DG177" s="23" t="str">
        <f>[2]底表!ET177</f>
        <v>持平</v>
      </c>
      <c r="DH177" s="21">
        <f>[2]底表!EU177</f>
        <v>0</v>
      </c>
      <c r="DI177" s="21" t="str">
        <f>[2]底表!EV177</f>
        <v>持平</v>
      </c>
      <c r="DJ177" s="21">
        <f>[2]底表!EW177</f>
        <v>0</v>
      </c>
      <c r="DK177" s="21" t="str">
        <f>[2]底表!EX177</f>
        <v/>
      </c>
      <c r="DL177" s="21">
        <f>[2]底表!EY177</f>
        <v>0</v>
      </c>
      <c r="DM177" s="21" t="str">
        <f>[2]底表!EZ177</f>
        <v/>
      </c>
      <c r="DN177" s="21" t="str">
        <f>[2]底表!FA177</f>
        <v/>
      </c>
      <c r="DO177" s="21">
        <f>[2]底表!BQ177</f>
        <v>0</v>
      </c>
      <c r="DP177" s="21">
        <f>[2]底表!BR177</f>
        <v>0</v>
      </c>
      <c r="DQ177" s="24" t="str">
        <f>[2]底表!BS177</f>
        <v>持平</v>
      </c>
    </row>
    <row r="178" s="2" customFormat="1" ht="32" hidden="1" customHeight="1" spans="1:121">
      <c r="A178" s="27" t="str">
        <f>[2]底表!A178</f>
        <v>两抢</v>
      </c>
      <c r="B178" s="28" t="str">
        <f>[2]底表!B178</f>
        <v>罗定市</v>
      </c>
      <c r="C178" s="21">
        <f>[2]底表!AM178</f>
        <v>0</v>
      </c>
      <c r="D178" s="21">
        <f>[2]底表!AN178</f>
        <v>0</v>
      </c>
      <c r="E178" s="23" t="str">
        <f>[2]底表!AO178</f>
        <v>持平</v>
      </c>
      <c r="F178" s="21">
        <f>[2]底表!AP178</f>
        <v>0</v>
      </c>
      <c r="G178" s="21" t="str">
        <f>[2]底表!AQ178</f>
        <v>持平</v>
      </c>
      <c r="H178" s="21" t="str">
        <f>[2]底表!AR178</f>
        <v/>
      </c>
      <c r="I178" s="21" t="str">
        <f>[2]底表!AS178</f>
        <v/>
      </c>
      <c r="J178" s="21">
        <f>[2]底表!AT178</f>
        <v>0</v>
      </c>
      <c r="K178" s="21">
        <f>[2]底表!AU178</f>
        <v>0</v>
      </c>
      <c r="L178" s="21" t="str">
        <f>[2]底表!AV178</f>
        <v>持平</v>
      </c>
      <c r="M178" s="21">
        <f>[2]底表!AW178</f>
        <v>0</v>
      </c>
      <c r="N178" s="21" t="str">
        <f>[2]底表!AX178</f>
        <v>持平</v>
      </c>
      <c r="O178" s="21">
        <f>[2]底表!AY178</f>
        <v>0</v>
      </c>
      <c r="P178" s="21">
        <f>[2]底表!AZ178</f>
        <v>0</v>
      </c>
      <c r="Q178" s="21" t="str">
        <f>[2]底表!BA178</f>
        <v>持平</v>
      </c>
      <c r="R178" s="21">
        <f>[2]底表!BB178</f>
        <v>0</v>
      </c>
      <c r="S178" s="21" t="str">
        <f>[2]底表!BC178</f>
        <v>持平</v>
      </c>
      <c r="T178" s="21" t="str">
        <f>[2]底表!BD178</f>
        <v/>
      </c>
      <c r="U178" s="21" t="str">
        <f>[2]底表!BE178</f>
        <v/>
      </c>
      <c r="V178" s="21">
        <f>[2]底表!BF178</f>
        <v>0</v>
      </c>
      <c r="W178" s="21">
        <f>[2]底表!BG178</f>
        <v>0</v>
      </c>
      <c r="X178" s="21" t="str">
        <f>[2]底表!BH178</f>
        <v>持平</v>
      </c>
      <c r="Y178" s="21">
        <f>[2]底表!BI178</f>
        <v>0</v>
      </c>
      <c r="Z178" s="21" t="str">
        <f>[2]底表!BJ178</f>
        <v>持平</v>
      </c>
      <c r="AA178" s="21" t="str">
        <f>[2]底表!BK178</f>
        <v/>
      </c>
      <c r="AB178" s="21">
        <f>[2]底表!BL178</f>
        <v>0</v>
      </c>
      <c r="AC178" s="21">
        <f>[2]底表!BM178</f>
        <v>0</v>
      </c>
      <c r="AD178" s="21" t="str">
        <f>[2]底表!BN178</f>
        <v>持平</v>
      </c>
      <c r="AE178" s="21">
        <f>[2]底表!BO178</f>
        <v>0</v>
      </c>
      <c r="AF178" s="21" t="str">
        <f>[2]底表!BP178</f>
        <v>持平</v>
      </c>
      <c r="AG178" s="21">
        <f>[2]底表!BT178</f>
        <v>1</v>
      </c>
      <c r="AH178" s="21" t="str">
        <f>[2]底表!BU178</f>
        <v>少1起</v>
      </c>
      <c r="AI178" s="21" t="str">
        <f>[2]底表!BV178</f>
        <v/>
      </c>
      <c r="AJ178" s="21" t="str">
        <f>[2]底表!BW178</f>
        <v/>
      </c>
      <c r="AK178" s="21" t="str">
        <f>[2]底表!BX178</f>
        <v/>
      </c>
      <c r="AL178" s="21" t="str">
        <f>[2]底表!BY178</f>
        <v/>
      </c>
      <c r="AM178" s="21">
        <f>[2]底表!BZ178</f>
        <v>0</v>
      </c>
      <c r="AN178" s="21">
        <f>[2]底表!CA178</f>
        <v>0</v>
      </c>
      <c r="AO178" s="21" t="str">
        <f>[2]底表!CB178</f>
        <v>持平</v>
      </c>
      <c r="AP178" s="21">
        <f>[2]底表!CC178</f>
        <v>0</v>
      </c>
      <c r="AQ178" s="21" t="str">
        <f>[2]底表!CD178</f>
        <v>持平</v>
      </c>
      <c r="AR178" s="21" t="str">
        <f>[2]底表!CE178</f>
        <v/>
      </c>
      <c r="AS178" s="21" t="str">
        <f>[2]底表!CF178</f>
        <v/>
      </c>
      <c r="AT178" s="21">
        <f>[2]底表!CG178</f>
        <v>0</v>
      </c>
      <c r="AU178" s="21">
        <f>[2]底表!CH178</f>
        <v>0</v>
      </c>
      <c r="AV178" s="21" t="str">
        <f>[2]底表!CI178</f>
        <v>持平</v>
      </c>
      <c r="AW178" s="21">
        <f>[2]底表!CJ178</f>
        <v>0</v>
      </c>
      <c r="AX178" s="21" t="str">
        <f>[2]底表!CK178</f>
        <v>持平</v>
      </c>
      <c r="AY178" s="21" t="str">
        <f>[2]底表!CL178</f>
        <v/>
      </c>
      <c r="AZ178" s="21" t="str">
        <f>[2]底表!CM178</f>
        <v/>
      </c>
      <c r="BA178" s="21" t="str">
        <f>[2]底表!CN178</f>
        <v/>
      </c>
      <c r="BB178" s="21">
        <f>[2]底表!CO178</f>
        <v>0</v>
      </c>
      <c r="BC178" s="21">
        <f>[2]底表!CP178</f>
        <v>0</v>
      </c>
      <c r="BD178" s="21" t="str">
        <f>[2]底表!CQ178</f>
        <v>持平</v>
      </c>
      <c r="BE178" s="21">
        <f>[2]底表!CR178</f>
        <v>0</v>
      </c>
      <c r="BF178" s="21" t="str">
        <f>[2]底表!CS178</f>
        <v>持平</v>
      </c>
      <c r="BG178" s="21" t="str">
        <f>[2]底表!CT178</f>
        <v/>
      </c>
      <c r="BH178" s="21" t="str">
        <f>[2]底表!CU178</f>
        <v/>
      </c>
      <c r="BI178" s="21" t="str">
        <f>[2]底表!CV178</f>
        <v/>
      </c>
      <c r="BJ178" s="21" t="str">
        <f>[2]底表!CW178</f>
        <v/>
      </c>
      <c r="BK178" s="21" t="str">
        <f>[2]底表!CX178</f>
        <v/>
      </c>
      <c r="BL178" s="21">
        <f>[2]底表!CY178</f>
        <v>0</v>
      </c>
      <c r="BM178" s="21">
        <f>[2]底表!CZ178</f>
        <v>0</v>
      </c>
      <c r="BN178" s="23" t="str">
        <f>[2]底表!DA178</f>
        <v>持平</v>
      </c>
      <c r="BO178" s="21">
        <f>[2]底表!DB178</f>
        <v>0</v>
      </c>
      <c r="BP178" s="21" t="str">
        <f>[2]底表!DC178</f>
        <v>持平</v>
      </c>
      <c r="BQ178" s="21" t="str">
        <f>[2]底表!DD178</f>
        <v/>
      </c>
      <c r="BR178" s="21" t="str">
        <f>[2]底表!DE178</f>
        <v/>
      </c>
      <c r="BS178" s="21" t="str">
        <f>[2]底表!DF178</f>
        <v/>
      </c>
      <c r="BT178" s="21" t="str">
        <f>[2]底表!DG178</f>
        <v/>
      </c>
      <c r="BU178" s="21" t="str">
        <f>[2]底表!DH178</f>
        <v/>
      </c>
      <c r="BV178" s="21">
        <f>[2]底表!DI178</f>
        <v>0</v>
      </c>
      <c r="BW178" s="21">
        <f>[2]底表!DJ178</f>
        <v>0</v>
      </c>
      <c r="BX178" s="23" t="str">
        <f>[2]底表!DK178</f>
        <v>持平</v>
      </c>
      <c r="BY178" s="21">
        <f>[2]底表!DL178</f>
        <v>0</v>
      </c>
      <c r="BZ178" s="21" t="str">
        <f>[2]底表!DM178</f>
        <v>持平</v>
      </c>
      <c r="CA178" s="21">
        <f>[2]底表!DN178</f>
        <v>0</v>
      </c>
      <c r="CB178" s="21">
        <f>[2]底表!DO178</f>
        <v>0</v>
      </c>
      <c r="CC178" s="21" t="str">
        <f>[2]底表!DP178</f>
        <v>持平</v>
      </c>
      <c r="CD178" s="21">
        <f>[2]底表!DQ178</f>
        <v>0</v>
      </c>
      <c r="CE178" s="21" t="str">
        <f>[2]底表!DR178</f>
        <v>持平</v>
      </c>
      <c r="CF178" s="21">
        <f>[2]底表!DS178</f>
        <v>0</v>
      </c>
      <c r="CG178" s="21">
        <f>[2]底表!DT178</f>
        <v>0</v>
      </c>
      <c r="CH178" s="21" t="str">
        <f>[2]底表!DU178</f>
        <v>持平</v>
      </c>
      <c r="CI178" s="21">
        <f>[2]底表!DV178</f>
        <v>0</v>
      </c>
      <c r="CJ178" s="21" t="str">
        <f>[2]底表!DW178</f>
        <v>持平</v>
      </c>
      <c r="CK178" s="21">
        <f>[2]底表!DX178</f>
        <v>0</v>
      </c>
      <c r="CL178" s="21">
        <f>[2]底表!DY178</f>
        <v>0</v>
      </c>
      <c r="CM178" s="21" t="str">
        <f>[2]底表!DZ178</f>
        <v>持平</v>
      </c>
      <c r="CN178" s="21">
        <f>[2]底表!EA178</f>
        <v>0</v>
      </c>
      <c r="CO178" s="21" t="str">
        <f>[2]底表!EB178</f>
        <v>持平</v>
      </c>
      <c r="CP178" s="21">
        <f>[2]底表!EC178</f>
        <v>0</v>
      </c>
      <c r="CQ178" s="21">
        <f>[2]底表!ED178</f>
        <v>0</v>
      </c>
      <c r="CR178" s="21" t="str">
        <f>[2]底表!EE178</f>
        <v>持平</v>
      </c>
      <c r="CS178" s="21">
        <f>[2]底表!EF178</f>
        <v>1</v>
      </c>
      <c r="CT178" s="21" t="str">
        <f>[2]底表!EG178</f>
        <v>少1人</v>
      </c>
      <c r="CU178" s="21" t="str">
        <f>[2]底表!EH178</f>
        <v/>
      </c>
      <c r="CV178" s="21" t="str">
        <f>[2]底表!EI178</f>
        <v/>
      </c>
      <c r="CW178" s="21" t="str">
        <f>[2]底表!EJ178</f>
        <v/>
      </c>
      <c r="CX178" s="21" t="str">
        <f>[2]底表!EK178</f>
        <v/>
      </c>
      <c r="CY178" s="21" t="str">
        <f>[2]底表!EL178</f>
        <v/>
      </c>
      <c r="CZ178" s="21">
        <f>[2]底表!EM178</f>
        <v>0</v>
      </c>
      <c r="DA178" s="21">
        <f>[2]底表!EN178</f>
        <v>0</v>
      </c>
      <c r="DB178" s="21" t="str">
        <f>[2]底表!EO178</f>
        <v>持平</v>
      </c>
      <c r="DC178" s="21">
        <f>[2]底表!EP178</f>
        <v>1</v>
      </c>
      <c r="DD178" s="21" t="str">
        <f>[2]底表!EQ178</f>
        <v>少1人</v>
      </c>
      <c r="DE178" s="21">
        <f>[2]底表!ER178</f>
        <v>0</v>
      </c>
      <c r="DF178" s="21">
        <f>[2]底表!ES178</f>
        <v>0</v>
      </c>
      <c r="DG178" s="23" t="str">
        <f>[2]底表!ET178</f>
        <v>持平</v>
      </c>
      <c r="DH178" s="21">
        <f>[2]底表!EU178</f>
        <v>1</v>
      </c>
      <c r="DI178" s="21" t="str">
        <f>[2]底表!EV178</f>
        <v>少1人</v>
      </c>
      <c r="DJ178" s="21" t="str">
        <f>[2]底表!EW178</f>
        <v/>
      </c>
      <c r="DK178" s="21" t="str">
        <f>[2]底表!EX178</f>
        <v/>
      </c>
      <c r="DL178" s="21" t="str">
        <f>[2]底表!EY178</f>
        <v/>
      </c>
      <c r="DM178" s="21" t="str">
        <f>[2]底表!EZ178</f>
        <v/>
      </c>
      <c r="DN178" s="21" t="str">
        <f>[2]底表!FA178</f>
        <v/>
      </c>
      <c r="DO178" s="21">
        <f>[2]底表!BQ178</f>
        <v>0</v>
      </c>
      <c r="DP178" s="21">
        <f>[2]底表!BR178</f>
        <v>0</v>
      </c>
      <c r="DQ178" s="24" t="str">
        <f>[2]底表!BS178</f>
        <v>持平</v>
      </c>
    </row>
    <row r="179" s="2" customFormat="1" ht="32" hidden="1" customHeight="1" spans="1:121">
      <c r="A179" s="27" t="str">
        <f>[2]底表!A179</f>
        <v>抢劫</v>
      </c>
      <c r="B179" s="28" t="str">
        <f>[2]底表!B179</f>
        <v>全省</v>
      </c>
      <c r="C179" s="21">
        <f>[2]底表!AM179</f>
        <v>56</v>
      </c>
      <c r="D179" s="21">
        <f>[2]底表!AN179</f>
        <v>53</v>
      </c>
      <c r="E179" s="23">
        <f>[2]底表!AO179</f>
        <v>0.0566</v>
      </c>
      <c r="F179" s="21">
        <f>[2]底表!AP179</f>
        <v>68</v>
      </c>
      <c r="G179" s="21">
        <f>[2]底表!AQ179</f>
        <v>-0.1765</v>
      </c>
      <c r="H179" s="21">
        <f>[2]底表!AR179</f>
        <v>1.1429</v>
      </c>
      <c r="I179" s="21">
        <f>[2]底表!AS179</f>
        <v>0.1429</v>
      </c>
      <c r="J179" s="21">
        <f>[2]底表!AT179</f>
        <v>43</v>
      </c>
      <c r="K179" s="21">
        <f>[2]底表!AU179</f>
        <v>41</v>
      </c>
      <c r="L179" s="21">
        <f>[2]底表!AV179</f>
        <v>0.0488</v>
      </c>
      <c r="M179" s="21">
        <f>[2]底表!AW179</f>
        <v>49</v>
      </c>
      <c r="N179" s="21">
        <f>[2]底表!AX179</f>
        <v>-0.1224</v>
      </c>
      <c r="O179" s="21">
        <f>[2]底表!AY179</f>
        <v>42</v>
      </c>
      <c r="P179" s="21">
        <f>[2]底表!AZ179</f>
        <v>38</v>
      </c>
      <c r="Q179" s="21">
        <f>[2]底表!BA179</f>
        <v>0.1053</v>
      </c>
      <c r="R179" s="21">
        <f>[2]底表!BB179</f>
        <v>53</v>
      </c>
      <c r="S179" s="21">
        <f>[2]底表!BC179</f>
        <v>-0.2075</v>
      </c>
      <c r="T179" s="21">
        <f>[2]底表!BD179</f>
        <v>0.9767</v>
      </c>
      <c r="U179" s="21">
        <f>[2]底表!BE179</f>
        <v>0.0499</v>
      </c>
      <c r="V179" s="21">
        <f>[2]底表!BF179</f>
        <v>6</v>
      </c>
      <c r="W179" s="21">
        <f>[2]底表!BG179</f>
        <v>12</v>
      </c>
      <c r="X179" s="21">
        <f>[2]底表!BH179</f>
        <v>-0.5</v>
      </c>
      <c r="Y179" s="21">
        <f>[2]底表!BI179</f>
        <v>5</v>
      </c>
      <c r="Z179" s="21">
        <f>[2]底表!BJ179</f>
        <v>0.2</v>
      </c>
      <c r="AA179" s="21">
        <f>[2]底表!BK179</f>
        <v>0.1224</v>
      </c>
      <c r="AB179" s="21">
        <f>[2]底表!BL179</f>
        <v>14</v>
      </c>
      <c r="AC179" s="21">
        <f>[2]底表!BM179</f>
        <v>15</v>
      </c>
      <c r="AD179" s="21">
        <f>[2]底表!BN179</f>
        <v>-0.0667</v>
      </c>
      <c r="AE179" s="21">
        <f>[2]底表!BO179</f>
        <v>15</v>
      </c>
      <c r="AF179" s="21">
        <f>[2]底表!BP179</f>
        <v>-0.0667</v>
      </c>
      <c r="AG179" s="21">
        <f>[2]底表!BT179</f>
        <v>51</v>
      </c>
      <c r="AH179" s="21">
        <f>[2]底表!BU179</f>
        <v>-0.3333</v>
      </c>
      <c r="AI179" s="21">
        <f>[2]底表!BV179</f>
        <v>0.6939</v>
      </c>
      <c r="AJ179" s="21">
        <f>[2]底表!BW179</f>
        <v>0.1467</v>
      </c>
      <c r="AK179" s="21">
        <f>[2]底表!BX179</f>
        <v>0.7907</v>
      </c>
      <c r="AL179" s="21">
        <f>[2]底表!BY179</f>
        <v>0.0834</v>
      </c>
      <c r="AM179" s="21">
        <f>[2]底表!BZ179</f>
        <v>0</v>
      </c>
      <c r="AN179" s="21">
        <f>[2]底表!CA179</f>
        <v>1</v>
      </c>
      <c r="AO179" s="21" t="str">
        <f>[2]底表!CB179</f>
        <v>少1起</v>
      </c>
      <c r="AP179" s="21">
        <f>[2]底表!CC179</f>
        <v>0</v>
      </c>
      <c r="AQ179" s="21" t="str">
        <f>[2]底表!CD179</f>
        <v>持平</v>
      </c>
      <c r="AR179" s="21" t="str">
        <f>[2]底表!CE179</f>
        <v/>
      </c>
      <c r="AS179" s="21" t="str">
        <f>[2]底表!CF179</f>
        <v/>
      </c>
      <c r="AT179" s="21">
        <f>[2]底表!CG179</f>
        <v>117</v>
      </c>
      <c r="AU179" s="21">
        <f>[2]底表!CH179</f>
        <v>108</v>
      </c>
      <c r="AV179" s="21">
        <f>[2]底表!CI179</f>
        <v>0.0833</v>
      </c>
      <c r="AW179" s="21">
        <f>[2]底表!CJ179</f>
        <v>113</v>
      </c>
      <c r="AX179" s="21">
        <f>[2]底表!CK179</f>
        <v>0.0354</v>
      </c>
      <c r="AY179" s="21">
        <f>[2]底表!CL179</f>
        <v>239</v>
      </c>
      <c r="AZ179" s="21">
        <f>[2]底表!CM179</f>
        <v>35</v>
      </c>
      <c r="BA179" s="21">
        <f>[2]底表!CN179</f>
        <v>0.1718</v>
      </c>
      <c r="BB179" s="21">
        <f>[2]底表!CO179</f>
        <v>125</v>
      </c>
      <c r="BC179" s="21">
        <f>[2]底表!CP179</f>
        <v>100</v>
      </c>
      <c r="BD179" s="21">
        <f>[2]底表!CQ179</f>
        <v>0.25</v>
      </c>
      <c r="BE179" s="21">
        <f>[2]底表!CR179</f>
        <v>119</v>
      </c>
      <c r="BF179" s="21">
        <f>[2]底表!CS179</f>
        <v>0.0504</v>
      </c>
      <c r="BG179" s="21">
        <f>[2]底表!CT179</f>
        <v>1.0684</v>
      </c>
      <c r="BH179" s="21">
        <f>[2]底表!CU179</f>
        <v>0.1425</v>
      </c>
      <c r="BI179" s="21">
        <f>[2]底表!CV179</f>
        <v>255</v>
      </c>
      <c r="BJ179" s="21">
        <f>[2]底表!CW179</f>
        <v>66</v>
      </c>
      <c r="BK179" s="21">
        <f>[2]底表!CX179</f>
        <v>0.352</v>
      </c>
      <c r="BL179" s="21">
        <f>[2]底表!CY179</f>
        <v>131</v>
      </c>
      <c r="BM179" s="21">
        <f>[2]底表!CZ179</f>
        <v>105</v>
      </c>
      <c r="BN179" s="23">
        <f>[2]底表!DA179</f>
        <v>0.2476</v>
      </c>
      <c r="BO179" s="21">
        <f>[2]底表!DB179</f>
        <v>129</v>
      </c>
      <c r="BP179" s="21">
        <f>[2]底表!DC179</f>
        <v>0.0155</v>
      </c>
      <c r="BQ179" s="21">
        <f>[2]底表!DD179</f>
        <v>1.1197</v>
      </c>
      <c r="BR179" s="21">
        <f>[2]底表!DE179</f>
        <v>0.1474</v>
      </c>
      <c r="BS179" s="21">
        <f>[2]底表!DF179</f>
        <v>267</v>
      </c>
      <c r="BT179" s="21">
        <f>[2]底表!DG179</f>
        <v>69</v>
      </c>
      <c r="BU179" s="21">
        <f>[2]底表!DH179</f>
        <v>0.3495</v>
      </c>
      <c r="BV179" s="21">
        <f>[2]底表!DI179</f>
        <v>115</v>
      </c>
      <c r="BW179" s="21">
        <f>[2]底表!DJ179</f>
        <v>105</v>
      </c>
      <c r="BX179" s="23">
        <f>[2]底表!DK179</f>
        <v>0.0952</v>
      </c>
      <c r="BY179" s="21">
        <f>[2]底表!DL179</f>
        <v>135</v>
      </c>
      <c r="BZ179" s="21">
        <f>[2]底表!DM179</f>
        <v>-0.1481</v>
      </c>
      <c r="CA179" s="21">
        <f>[2]底表!DN179</f>
        <v>42</v>
      </c>
      <c r="CB179" s="21">
        <f>[2]底表!DO179</f>
        <v>37</v>
      </c>
      <c r="CC179" s="21">
        <f>[2]底表!DP179</f>
        <v>0.1351</v>
      </c>
      <c r="CD179" s="21">
        <f>[2]底表!DQ179</f>
        <v>37</v>
      </c>
      <c r="CE179" s="21">
        <f>[2]底表!DR179</f>
        <v>0.1351</v>
      </c>
      <c r="CF179" s="21">
        <f>[2]底表!DS179</f>
        <v>42</v>
      </c>
      <c r="CG179" s="21">
        <f>[2]底表!DT179</f>
        <v>37</v>
      </c>
      <c r="CH179" s="21">
        <f>[2]底表!DU179</f>
        <v>0.1351</v>
      </c>
      <c r="CI179" s="21">
        <f>[2]底表!DV179</f>
        <v>37</v>
      </c>
      <c r="CJ179" s="21">
        <f>[2]底表!DW179</f>
        <v>0.1351</v>
      </c>
      <c r="CK179" s="21">
        <f>[2]底表!DX179</f>
        <v>117</v>
      </c>
      <c r="CL179" s="21">
        <f>[2]底表!DY179</f>
        <v>105</v>
      </c>
      <c r="CM179" s="21">
        <f>[2]底表!DZ179</f>
        <v>0.1143</v>
      </c>
      <c r="CN179" s="21">
        <f>[2]底表!EA179</f>
        <v>130</v>
      </c>
      <c r="CO179" s="21">
        <f>[2]底表!EB179</f>
        <v>-0.1</v>
      </c>
      <c r="CP179" s="21">
        <f>[2]底表!EC179</f>
        <v>74</v>
      </c>
      <c r="CQ179" s="21">
        <f>[2]底表!ED179</f>
        <v>58</v>
      </c>
      <c r="CR179" s="21">
        <f>[2]底表!EE179</f>
        <v>0.2759</v>
      </c>
      <c r="CS179" s="21">
        <f>[2]底表!EF179</f>
        <v>89</v>
      </c>
      <c r="CT179" s="21">
        <f>[2]底表!EG179</f>
        <v>-0.1685</v>
      </c>
      <c r="CU179" s="21">
        <f>[2]底表!EH179</f>
        <v>0.592</v>
      </c>
      <c r="CV179" s="21">
        <f>[2]底表!EI179</f>
        <v>0.012</v>
      </c>
      <c r="CW179" s="21">
        <f>[2]底表!EJ179</f>
        <v>151</v>
      </c>
      <c r="CX179" s="21">
        <f>[2]底表!EK179</f>
        <v>42</v>
      </c>
      <c r="CY179" s="21">
        <f>[2]底表!EL179</f>
        <v>0.38</v>
      </c>
      <c r="CZ179" s="21">
        <f>[2]底表!EM179</f>
        <v>76</v>
      </c>
      <c r="DA179" s="21">
        <f>[2]底表!EN179</f>
        <v>58</v>
      </c>
      <c r="DB179" s="21">
        <f>[2]底表!EO179</f>
        <v>0.3103</v>
      </c>
      <c r="DC179" s="21">
        <f>[2]底表!EP179</f>
        <v>88</v>
      </c>
      <c r="DD179" s="21">
        <f>[2]底表!EQ179</f>
        <v>-0.1364</v>
      </c>
      <c r="DE179" s="21">
        <f>[2]底表!ER179</f>
        <v>68</v>
      </c>
      <c r="DF179" s="21">
        <f>[2]底表!ES179</f>
        <v>49</v>
      </c>
      <c r="DG179" s="23">
        <f>[2]底表!ET179</f>
        <v>0.3878</v>
      </c>
      <c r="DH179" s="21">
        <f>[2]底表!EU179</f>
        <v>106</v>
      </c>
      <c r="DI179" s="21">
        <f>[2]底表!EV179</f>
        <v>-0.3585</v>
      </c>
      <c r="DJ179" s="21">
        <f>[2]底表!EW179</f>
        <v>0.544</v>
      </c>
      <c r="DK179" s="21">
        <f>[2]底表!EX179</f>
        <v>0.054</v>
      </c>
      <c r="DL179" s="21">
        <f>[2]底表!EY179</f>
        <v>139</v>
      </c>
      <c r="DM179" s="21">
        <f>[2]底表!EZ179</f>
        <v>46</v>
      </c>
      <c r="DN179" s="21">
        <f>[2]底表!FA179</f>
        <v>0.501</v>
      </c>
      <c r="DO179" s="21">
        <f>[2]底表!BQ179</f>
        <v>34</v>
      </c>
      <c r="DP179" s="21">
        <f>[2]底表!BR179</f>
        <v>29</v>
      </c>
      <c r="DQ179" s="24">
        <f>[2]底表!BS179</f>
        <v>0.1724</v>
      </c>
    </row>
    <row r="180" s="2" customFormat="1" ht="32" hidden="1" customHeight="1" spans="1:121">
      <c r="A180" s="27" t="str">
        <f>[2]底表!A180</f>
        <v>抢劫</v>
      </c>
      <c r="B180" s="28" t="str">
        <f>[2]底表!B180</f>
        <v>云浮</v>
      </c>
      <c r="C180" s="21">
        <f>[2]底表!AM180</f>
        <v>2</v>
      </c>
      <c r="D180" s="21">
        <f>[2]底表!AN180</f>
        <v>1</v>
      </c>
      <c r="E180" s="23">
        <f>[2]底表!AO180</f>
        <v>1</v>
      </c>
      <c r="F180" s="21">
        <f>[2]底表!AP180</f>
        <v>0</v>
      </c>
      <c r="G180" s="21" t="str">
        <f>[2]底表!AQ180</f>
        <v>多2起</v>
      </c>
      <c r="H180" s="21">
        <f>[2]底表!AR180</f>
        <v>1</v>
      </c>
      <c r="I180" s="21">
        <f>[2]底表!AS180</f>
        <v>0</v>
      </c>
      <c r="J180" s="21">
        <f>[2]底表!AT180</f>
        <v>2</v>
      </c>
      <c r="K180" s="21">
        <f>[2]底表!AU180</f>
        <v>1</v>
      </c>
      <c r="L180" s="21">
        <f>[2]底表!AV180</f>
        <v>1</v>
      </c>
      <c r="M180" s="21">
        <f>[2]底表!AW180</f>
        <v>0</v>
      </c>
      <c r="N180" s="21" t="str">
        <f>[2]底表!AX180</f>
        <v>多2起</v>
      </c>
      <c r="O180" s="21">
        <f>[2]底表!AY180</f>
        <v>2</v>
      </c>
      <c r="P180" s="21">
        <f>[2]底表!AZ180</f>
        <v>1</v>
      </c>
      <c r="Q180" s="21">
        <f>[2]底表!BA180</f>
        <v>1</v>
      </c>
      <c r="R180" s="21">
        <f>[2]底表!BB180</f>
        <v>0</v>
      </c>
      <c r="S180" s="21" t="str">
        <f>[2]底表!BC180</f>
        <v>多2起</v>
      </c>
      <c r="T180" s="21">
        <f>[2]底表!BD180</f>
        <v>1</v>
      </c>
      <c r="U180" s="21">
        <f>[2]底表!BE180</f>
        <v>0</v>
      </c>
      <c r="V180" s="21">
        <f>[2]底表!BF180</f>
        <v>0</v>
      </c>
      <c r="W180" s="21">
        <f>[2]底表!BG180</f>
        <v>0</v>
      </c>
      <c r="X180" s="21" t="str">
        <f>[2]底表!BH180</f>
        <v>持平</v>
      </c>
      <c r="Y180" s="21">
        <f>[2]底表!BI180</f>
        <v>0</v>
      </c>
      <c r="Z180" s="21" t="str">
        <f>[2]底表!BJ180</f>
        <v>持平</v>
      </c>
      <c r="AA180" s="21">
        <f>[2]底表!BK180</f>
        <v>0</v>
      </c>
      <c r="AB180" s="21">
        <f>[2]底表!BL180</f>
        <v>0</v>
      </c>
      <c r="AC180" s="21">
        <f>[2]底表!BM180</f>
        <v>0</v>
      </c>
      <c r="AD180" s="21" t="str">
        <f>[2]底表!BN180</f>
        <v>持平</v>
      </c>
      <c r="AE180" s="21">
        <f>[2]底表!BO180</f>
        <v>0</v>
      </c>
      <c r="AF180" s="21" t="str">
        <f>[2]底表!BP180</f>
        <v>持平</v>
      </c>
      <c r="AG180" s="21">
        <f>[2]底表!BT180</f>
        <v>3</v>
      </c>
      <c r="AH180" s="21" t="str">
        <f>[2]底表!BU180</f>
        <v>少3起</v>
      </c>
      <c r="AI180" s="21">
        <f>[2]底表!BV180</f>
        <v>0</v>
      </c>
      <c r="AJ180" s="21">
        <f>[2]底表!BW180</f>
        <v>0</v>
      </c>
      <c r="AK180" s="21">
        <f>[2]底表!BX180</f>
        <v>0</v>
      </c>
      <c r="AL180" s="21">
        <f>[2]底表!BY180</f>
        <v>0</v>
      </c>
      <c r="AM180" s="21">
        <f>[2]底表!BZ180</f>
        <v>0</v>
      </c>
      <c r="AN180" s="21">
        <f>[2]底表!CA180</f>
        <v>0</v>
      </c>
      <c r="AO180" s="21" t="str">
        <f>[2]底表!CB180</f>
        <v>持平</v>
      </c>
      <c r="AP180" s="21">
        <f>[2]底表!CC180</f>
        <v>0</v>
      </c>
      <c r="AQ180" s="21" t="str">
        <f>[2]底表!CD180</f>
        <v>持平</v>
      </c>
      <c r="AR180" s="21" t="str">
        <f>[2]底表!CE180</f>
        <v/>
      </c>
      <c r="AS180" s="21" t="str">
        <f>[2]底表!CF180</f>
        <v/>
      </c>
      <c r="AT180" s="21">
        <f>[2]底表!CG180</f>
        <v>2</v>
      </c>
      <c r="AU180" s="21">
        <f>[2]底表!CH180</f>
        <v>2</v>
      </c>
      <c r="AV180" s="21">
        <f>[2]底表!CI180</f>
        <v>0</v>
      </c>
      <c r="AW180" s="21">
        <f>[2]底表!CJ180</f>
        <v>0</v>
      </c>
      <c r="AX180" s="21" t="str">
        <f>[2]底表!CK180</f>
        <v>多2人</v>
      </c>
      <c r="AY180" s="21">
        <f>[2]底表!CL180</f>
        <v>100</v>
      </c>
      <c r="AZ180" s="21">
        <f>[2]底表!CM180</f>
        <v>-100</v>
      </c>
      <c r="BA180" s="21">
        <f>[2]底表!CN180</f>
        <v>-0.5</v>
      </c>
      <c r="BB180" s="21">
        <f>[2]底表!CO180</f>
        <v>3</v>
      </c>
      <c r="BC180" s="21">
        <f>[2]底表!CP180</f>
        <v>1</v>
      </c>
      <c r="BD180" s="21">
        <f>[2]底表!CQ180</f>
        <v>2</v>
      </c>
      <c r="BE180" s="21">
        <f>[2]底表!CR180</f>
        <v>1</v>
      </c>
      <c r="BF180" s="21">
        <f>[2]底表!CS180</f>
        <v>2</v>
      </c>
      <c r="BG180" s="21">
        <f>[2]底表!CT180</f>
        <v>1.5</v>
      </c>
      <c r="BH180" s="21">
        <f>[2]底表!CU180</f>
        <v>1</v>
      </c>
      <c r="BI180" s="21">
        <f>[2]底表!CV180</f>
        <v>150</v>
      </c>
      <c r="BJ180" s="21">
        <f>[2]底表!CW180</f>
        <v>50</v>
      </c>
      <c r="BK180" s="21">
        <f>[2]底表!CX180</f>
        <v>0.5</v>
      </c>
      <c r="BL180" s="21">
        <f>[2]底表!CY180</f>
        <v>3</v>
      </c>
      <c r="BM180" s="21">
        <f>[2]底表!CZ180</f>
        <v>1</v>
      </c>
      <c r="BN180" s="23">
        <f>[2]底表!DA180</f>
        <v>2</v>
      </c>
      <c r="BO180" s="21">
        <f>[2]底表!DB180</f>
        <v>1</v>
      </c>
      <c r="BP180" s="21">
        <f>[2]底表!DC180</f>
        <v>2</v>
      </c>
      <c r="BQ180" s="21">
        <f>[2]底表!DD180</f>
        <v>1.5</v>
      </c>
      <c r="BR180" s="21">
        <f>[2]底表!DE180</f>
        <v>1</v>
      </c>
      <c r="BS180" s="21">
        <f>[2]底表!DF180</f>
        <v>150</v>
      </c>
      <c r="BT180" s="21">
        <f>[2]底表!DG180</f>
        <v>50</v>
      </c>
      <c r="BU180" s="21">
        <f>[2]底表!DH180</f>
        <v>0.5</v>
      </c>
      <c r="BV180" s="21">
        <f>[2]底表!DI180</f>
        <v>3</v>
      </c>
      <c r="BW180" s="21">
        <f>[2]底表!DJ180</f>
        <v>1</v>
      </c>
      <c r="BX180" s="23">
        <f>[2]底表!DK180</f>
        <v>2</v>
      </c>
      <c r="BY180" s="21">
        <f>[2]底表!DL180</f>
        <v>0</v>
      </c>
      <c r="BZ180" s="21" t="str">
        <f>[2]底表!DM180</f>
        <v>多3人</v>
      </c>
      <c r="CA180" s="21">
        <f>[2]底表!DN180</f>
        <v>0</v>
      </c>
      <c r="CB180" s="21">
        <f>[2]底表!DO180</f>
        <v>1</v>
      </c>
      <c r="CC180" s="21" t="str">
        <f>[2]底表!DP180</f>
        <v>少1人</v>
      </c>
      <c r="CD180" s="21">
        <f>[2]底表!DQ180</f>
        <v>0</v>
      </c>
      <c r="CE180" s="21" t="str">
        <f>[2]底表!DR180</f>
        <v>持平</v>
      </c>
      <c r="CF180" s="21">
        <f>[2]底表!DS180</f>
        <v>0</v>
      </c>
      <c r="CG180" s="21">
        <f>[2]底表!DT180</f>
        <v>1</v>
      </c>
      <c r="CH180" s="21" t="str">
        <f>[2]底表!DU180</f>
        <v>少1人</v>
      </c>
      <c r="CI180" s="21">
        <f>[2]底表!DV180</f>
        <v>0</v>
      </c>
      <c r="CJ180" s="21" t="str">
        <f>[2]底表!DW180</f>
        <v>持平</v>
      </c>
      <c r="CK180" s="21">
        <f>[2]底表!DX180</f>
        <v>1</v>
      </c>
      <c r="CL180" s="21">
        <f>[2]底表!DY180</f>
        <v>0</v>
      </c>
      <c r="CM180" s="21" t="str">
        <f>[2]底表!DZ180</f>
        <v>多1人</v>
      </c>
      <c r="CN180" s="21">
        <f>[2]底表!EA180</f>
        <v>4</v>
      </c>
      <c r="CO180" s="21">
        <f>[2]底表!EB180</f>
        <v>-0.75</v>
      </c>
      <c r="CP180" s="21">
        <f>[2]底表!EC180</f>
        <v>0</v>
      </c>
      <c r="CQ180" s="21">
        <f>[2]底表!ED180</f>
        <v>0</v>
      </c>
      <c r="CR180" s="21" t="str">
        <f>[2]底表!EE180</f>
        <v>持平</v>
      </c>
      <c r="CS180" s="21">
        <f>[2]底表!EF180</f>
        <v>5</v>
      </c>
      <c r="CT180" s="21" t="str">
        <f>[2]底表!EG180</f>
        <v>少5人</v>
      </c>
      <c r="CU180" s="21">
        <f>[2]底表!EH180</f>
        <v>0</v>
      </c>
      <c r="CV180" s="21">
        <f>[2]底表!EI180</f>
        <v>0</v>
      </c>
      <c r="CW180" s="21">
        <f>[2]底表!EJ180</f>
        <v>0</v>
      </c>
      <c r="CX180" s="21">
        <f>[2]底表!EK180</f>
        <v>0</v>
      </c>
      <c r="CY180" s="21" t="str">
        <f>[2]底表!EL180</f>
        <v/>
      </c>
      <c r="CZ180" s="21">
        <f>[2]底表!EM180</f>
        <v>0</v>
      </c>
      <c r="DA180" s="21">
        <f>[2]底表!EN180</f>
        <v>0</v>
      </c>
      <c r="DB180" s="21" t="str">
        <f>[2]底表!EO180</f>
        <v>持平</v>
      </c>
      <c r="DC180" s="21">
        <f>[2]底表!EP180</f>
        <v>5</v>
      </c>
      <c r="DD180" s="21" t="str">
        <f>[2]底表!EQ180</f>
        <v>少5人</v>
      </c>
      <c r="DE180" s="21">
        <f>[2]底表!ER180</f>
        <v>0</v>
      </c>
      <c r="DF180" s="21">
        <f>[2]底表!ES180</f>
        <v>0</v>
      </c>
      <c r="DG180" s="23" t="str">
        <f>[2]底表!ET180</f>
        <v>持平</v>
      </c>
      <c r="DH180" s="21">
        <f>[2]底表!EU180</f>
        <v>7</v>
      </c>
      <c r="DI180" s="21" t="str">
        <f>[2]底表!EV180</f>
        <v>少7人</v>
      </c>
      <c r="DJ180" s="21">
        <f>[2]底表!EW180</f>
        <v>0</v>
      </c>
      <c r="DK180" s="21">
        <f>[2]底表!EX180</f>
        <v>0</v>
      </c>
      <c r="DL180" s="21">
        <f>[2]底表!EY180</f>
        <v>0</v>
      </c>
      <c r="DM180" s="21">
        <f>[2]底表!EZ180</f>
        <v>0</v>
      </c>
      <c r="DN180" s="21" t="str">
        <f>[2]底表!FA180</f>
        <v/>
      </c>
      <c r="DO180" s="21">
        <f>[2]底表!BQ180</f>
        <v>0</v>
      </c>
      <c r="DP180" s="21">
        <f>[2]底表!BR180</f>
        <v>0</v>
      </c>
      <c r="DQ180" s="24" t="str">
        <f>[2]底表!BS180</f>
        <v>持平</v>
      </c>
    </row>
    <row r="181" s="2" customFormat="1" ht="32" hidden="1" customHeight="1" spans="1:121">
      <c r="A181" s="27" t="str">
        <f>[2]底表!A181</f>
        <v>抢劫</v>
      </c>
      <c r="B181" s="28" t="str">
        <f>[2]底表!B181</f>
        <v>云城区</v>
      </c>
      <c r="C181" s="21">
        <f>[2]底表!AM181</f>
        <v>1</v>
      </c>
      <c r="D181" s="21">
        <f>[2]底表!AN181</f>
        <v>1</v>
      </c>
      <c r="E181" s="23">
        <f>[2]底表!AO181</f>
        <v>0</v>
      </c>
      <c r="F181" s="21">
        <f>[2]底表!AP181</f>
        <v>0</v>
      </c>
      <c r="G181" s="21" t="str">
        <f>[2]底表!AQ181</f>
        <v>多1起</v>
      </c>
      <c r="H181" s="21">
        <f>[2]底表!AR181</f>
        <v>1</v>
      </c>
      <c r="I181" s="21">
        <f>[2]底表!AS181</f>
        <v>0</v>
      </c>
      <c r="J181" s="21">
        <f>[2]底表!AT181</f>
        <v>1</v>
      </c>
      <c r="K181" s="21">
        <f>[2]底表!AU181</f>
        <v>1</v>
      </c>
      <c r="L181" s="21">
        <f>[2]底表!AV181</f>
        <v>0</v>
      </c>
      <c r="M181" s="21">
        <f>[2]底表!AW181</f>
        <v>0</v>
      </c>
      <c r="N181" s="21" t="str">
        <f>[2]底表!AX181</f>
        <v>多1起</v>
      </c>
      <c r="O181" s="21">
        <f>[2]底表!AY181</f>
        <v>1</v>
      </c>
      <c r="P181" s="21">
        <f>[2]底表!AZ181</f>
        <v>1</v>
      </c>
      <c r="Q181" s="21">
        <f>[2]底表!BA181</f>
        <v>0</v>
      </c>
      <c r="R181" s="21">
        <f>[2]底表!BB181</f>
        <v>0</v>
      </c>
      <c r="S181" s="21" t="str">
        <f>[2]底表!BC181</f>
        <v>多1起</v>
      </c>
      <c r="T181" s="21">
        <f>[2]底表!BD181</f>
        <v>1</v>
      </c>
      <c r="U181" s="21">
        <f>[2]底表!BE181</f>
        <v>0</v>
      </c>
      <c r="V181" s="21">
        <f>[2]底表!BF181</f>
        <v>0</v>
      </c>
      <c r="W181" s="21">
        <f>[2]底表!BG181</f>
        <v>0</v>
      </c>
      <c r="X181" s="21" t="str">
        <f>[2]底表!BH181</f>
        <v>持平</v>
      </c>
      <c r="Y181" s="21">
        <f>[2]底表!BI181</f>
        <v>0</v>
      </c>
      <c r="Z181" s="21" t="str">
        <f>[2]底表!BJ181</f>
        <v>持平</v>
      </c>
      <c r="AA181" s="21">
        <f>[2]底表!BK181</f>
        <v>0</v>
      </c>
      <c r="AB181" s="21">
        <f>[2]底表!BL181</f>
        <v>0</v>
      </c>
      <c r="AC181" s="21">
        <f>[2]底表!BM181</f>
        <v>0</v>
      </c>
      <c r="AD181" s="21" t="str">
        <f>[2]底表!BN181</f>
        <v>持平</v>
      </c>
      <c r="AE181" s="21">
        <f>[2]底表!BO181</f>
        <v>0</v>
      </c>
      <c r="AF181" s="21" t="str">
        <f>[2]底表!BP181</f>
        <v>持平</v>
      </c>
      <c r="AG181" s="21">
        <f>[2]底表!BT181</f>
        <v>1</v>
      </c>
      <c r="AH181" s="21" t="str">
        <f>[2]底表!BU181</f>
        <v>少1起</v>
      </c>
      <c r="AI181" s="21">
        <f>[2]底表!BV181</f>
        <v>0</v>
      </c>
      <c r="AJ181" s="21">
        <f>[2]底表!BW181</f>
        <v>0</v>
      </c>
      <c r="AK181" s="21">
        <f>[2]底表!BX181</f>
        <v>0</v>
      </c>
      <c r="AL181" s="21">
        <f>[2]底表!BY181</f>
        <v>0</v>
      </c>
      <c r="AM181" s="21">
        <f>[2]底表!BZ181</f>
        <v>0</v>
      </c>
      <c r="AN181" s="21">
        <f>[2]底表!CA181</f>
        <v>0</v>
      </c>
      <c r="AO181" s="21" t="str">
        <f>[2]底表!CB181</f>
        <v>持平</v>
      </c>
      <c r="AP181" s="21">
        <f>[2]底表!CC181</f>
        <v>0</v>
      </c>
      <c r="AQ181" s="21" t="str">
        <f>[2]底表!CD181</f>
        <v>持平</v>
      </c>
      <c r="AR181" s="21" t="str">
        <f>[2]底表!CE181</f>
        <v/>
      </c>
      <c r="AS181" s="21" t="str">
        <f>[2]底表!CF181</f>
        <v/>
      </c>
      <c r="AT181" s="21">
        <f>[2]底表!CG181</f>
        <v>1</v>
      </c>
      <c r="AU181" s="21">
        <f>[2]底表!CH181</f>
        <v>2</v>
      </c>
      <c r="AV181" s="21">
        <f>[2]底表!CI181</f>
        <v>-0.5</v>
      </c>
      <c r="AW181" s="21">
        <f>[2]底表!CJ181</f>
        <v>0</v>
      </c>
      <c r="AX181" s="21" t="str">
        <f>[2]底表!CK181</f>
        <v>多1人</v>
      </c>
      <c r="AY181" s="21">
        <f>[2]底表!CL181</f>
        <v>100</v>
      </c>
      <c r="AZ181" s="21">
        <f>[2]底表!CM181</f>
        <v>-100</v>
      </c>
      <c r="BA181" s="21">
        <f>[2]底表!CN181</f>
        <v>-0.5</v>
      </c>
      <c r="BB181" s="21">
        <f>[2]底表!CO181</f>
        <v>1</v>
      </c>
      <c r="BC181" s="21">
        <f>[2]底表!CP181</f>
        <v>1</v>
      </c>
      <c r="BD181" s="21">
        <f>[2]底表!CQ181</f>
        <v>0</v>
      </c>
      <c r="BE181" s="21">
        <f>[2]底表!CR181</f>
        <v>1</v>
      </c>
      <c r="BF181" s="21">
        <f>[2]底表!CS181</f>
        <v>0</v>
      </c>
      <c r="BG181" s="21">
        <f>[2]底表!CT181</f>
        <v>1</v>
      </c>
      <c r="BH181" s="21">
        <f>[2]底表!CU181</f>
        <v>0.5</v>
      </c>
      <c r="BI181" s="21">
        <f>[2]底表!CV181</f>
        <v>100</v>
      </c>
      <c r="BJ181" s="21">
        <f>[2]底表!CW181</f>
        <v>0</v>
      </c>
      <c r="BK181" s="21">
        <f>[2]底表!CX181</f>
        <v>0</v>
      </c>
      <c r="BL181" s="21">
        <f>[2]底表!CY181</f>
        <v>1</v>
      </c>
      <c r="BM181" s="21">
        <f>[2]底表!CZ181</f>
        <v>1</v>
      </c>
      <c r="BN181" s="23">
        <f>[2]底表!DA181</f>
        <v>0</v>
      </c>
      <c r="BO181" s="21">
        <f>[2]底表!DB181</f>
        <v>1</v>
      </c>
      <c r="BP181" s="21">
        <f>[2]底表!DC181</f>
        <v>0</v>
      </c>
      <c r="BQ181" s="21">
        <f>[2]底表!DD181</f>
        <v>1</v>
      </c>
      <c r="BR181" s="21">
        <f>[2]底表!DE181</f>
        <v>0.5</v>
      </c>
      <c r="BS181" s="21">
        <f>[2]底表!DF181</f>
        <v>100</v>
      </c>
      <c r="BT181" s="21">
        <f>[2]底表!DG181</f>
        <v>0</v>
      </c>
      <c r="BU181" s="21">
        <f>[2]底表!DH181</f>
        <v>0</v>
      </c>
      <c r="BV181" s="21">
        <f>[2]底表!DI181</f>
        <v>0</v>
      </c>
      <c r="BW181" s="21">
        <f>[2]底表!DJ181</f>
        <v>0</v>
      </c>
      <c r="BX181" s="23" t="str">
        <f>[2]底表!DK181</f>
        <v>持平</v>
      </c>
      <c r="BY181" s="21">
        <f>[2]底表!DL181</f>
        <v>0</v>
      </c>
      <c r="BZ181" s="21" t="str">
        <f>[2]底表!DM181</f>
        <v>持平</v>
      </c>
      <c r="CA181" s="21">
        <f>[2]底表!DN181</f>
        <v>0</v>
      </c>
      <c r="CB181" s="21">
        <f>[2]底表!DO181</f>
        <v>1</v>
      </c>
      <c r="CC181" s="21" t="str">
        <f>[2]底表!DP181</f>
        <v>少1人</v>
      </c>
      <c r="CD181" s="21">
        <f>[2]底表!DQ181</f>
        <v>0</v>
      </c>
      <c r="CE181" s="21" t="str">
        <f>[2]底表!DR181</f>
        <v>持平</v>
      </c>
      <c r="CF181" s="21">
        <f>[2]底表!DS181</f>
        <v>0</v>
      </c>
      <c r="CG181" s="21">
        <f>[2]底表!DT181</f>
        <v>1</v>
      </c>
      <c r="CH181" s="21" t="str">
        <f>[2]底表!DU181</f>
        <v>少1人</v>
      </c>
      <c r="CI181" s="21">
        <f>[2]底表!DV181</f>
        <v>0</v>
      </c>
      <c r="CJ181" s="21" t="str">
        <f>[2]底表!DW181</f>
        <v>持平</v>
      </c>
      <c r="CK181" s="21">
        <f>[2]底表!DX181</f>
        <v>1</v>
      </c>
      <c r="CL181" s="21">
        <f>[2]底表!DY181</f>
        <v>0</v>
      </c>
      <c r="CM181" s="21" t="str">
        <f>[2]底表!DZ181</f>
        <v>多1人</v>
      </c>
      <c r="CN181" s="21">
        <f>[2]底表!EA181</f>
        <v>4</v>
      </c>
      <c r="CO181" s="21">
        <f>[2]底表!EB181</f>
        <v>-0.75</v>
      </c>
      <c r="CP181" s="21">
        <f>[2]底表!EC181</f>
        <v>0</v>
      </c>
      <c r="CQ181" s="21">
        <f>[2]底表!ED181</f>
        <v>0</v>
      </c>
      <c r="CR181" s="21" t="str">
        <f>[2]底表!EE181</f>
        <v>持平</v>
      </c>
      <c r="CS181" s="21">
        <f>[2]底表!EF181</f>
        <v>4</v>
      </c>
      <c r="CT181" s="21" t="str">
        <f>[2]底表!EG181</f>
        <v>少4人</v>
      </c>
      <c r="CU181" s="21">
        <f>[2]底表!EH181</f>
        <v>0</v>
      </c>
      <c r="CV181" s="21">
        <f>[2]底表!EI181</f>
        <v>0</v>
      </c>
      <c r="CW181" s="21">
        <f>[2]底表!EJ181</f>
        <v>0</v>
      </c>
      <c r="CX181" s="21">
        <f>[2]底表!EK181</f>
        <v>0</v>
      </c>
      <c r="CY181" s="21" t="str">
        <f>[2]底表!EL181</f>
        <v/>
      </c>
      <c r="CZ181" s="21">
        <f>[2]底表!EM181</f>
        <v>0</v>
      </c>
      <c r="DA181" s="21">
        <f>[2]底表!EN181</f>
        <v>0</v>
      </c>
      <c r="DB181" s="21" t="str">
        <f>[2]底表!EO181</f>
        <v>持平</v>
      </c>
      <c r="DC181" s="21">
        <f>[2]底表!EP181</f>
        <v>4</v>
      </c>
      <c r="DD181" s="21" t="str">
        <f>[2]底表!EQ181</f>
        <v>少4人</v>
      </c>
      <c r="DE181" s="21">
        <f>[2]底表!ER181</f>
        <v>0</v>
      </c>
      <c r="DF181" s="21">
        <f>[2]底表!ES181</f>
        <v>0</v>
      </c>
      <c r="DG181" s="23" t="str">
        <f>[2]底表!ET181</f>
        <v>持平</v>
      </c>
      <c r="DH181" s="21">
        <f>[2]底表!EU181</f>
        <v>4</v>
      </c>
      <c r="DI181" s="21" t="str">
        <f>[2]底表!EV181</f>
        <v>少4人</v>
      </c>
      <c r="DJ181" s="21">
        <f>[2]底表!EW181</f>
        <v>0</v>
      </c>
      <c r="DK181" s="21">
        <f>[2]底表!EX181</f>
        <v>0</v>
      </c>
      <c r="DL181" s="21">
        <f>[2]底表!EY181</f>
        <v>0</v>
      </c>
      <c r="DM181" s="21">
        <f>[2]底表!EZ181</f>
        <v>0</v>
      </c>
      <c r="DN181" s="21" t="str">
        <f>[2]底表!FA181</f>
        <v/>
      </c>
      <c r="DO181" s="21">
        <f>[2]底表!BQ181</f>
        <v>0</v>
      </c>
      <c r="DP181" s="21">
        <f>[2]底表!BR181</f>
        <v>0</v>
      </c>
      <c r="DQ181" s="24" t="str">
        <f>[2]底表!BS181</f>
        <v>持平</v>
      </c>
    </row>
    <row r="182" s="2" customFormat="1" ht="32" hidden="1" customHeight="1" spans="1:121">
      <c r="A182" s="27" t="str">
        <f>[2]底表!A182</f>
        <v>抢劫</v>
      </c>
      <c r="B182" s="28" t="str">
        <f>[2]底表!B182</f>
        <v>云安区</v>
      </c>
      <c r="C182" s="21">
        <f>[2]底表!AM182</f>
        <v>0</v>
      </c>
      <c r="D182" s="21">
        <f>[2]底表!AN182</f>
        <v>0</v>
      </c>
      <c r="E182" s="23" t="str">
        <f>[2]底表!AO182</f>
        <v>持平</v>
      </c>
      <c r="F182" s="21">
        <f>[2]底表!AP182</f>
        <v>0</v>
      </c>
      <c r="G182" s="21" t="str">
        <f>[2]底表!AQ182</f>
        <v>持平</v>
      </c>
      <c r="H182" s="21" t="str">
        <f>[2]底表!AR182</f>
        <v/>
      </c>
      <c r="I182" s="21" t="str">
        <f>[2]底表!AS182</f>
        <v/>
      </c>
      <c r="J182" s="21">
        <f>[2]底表!AT182</f>
        <v>0</v>
      </c>
      <c r="K182" s="21">
        <f>[2]底表!AU182</f>
        <v>0</v>
      </c>
      <c r="L182" s="21" t="str">
        <f>[2]底表!AV182</f>
        <v>持平</v>
      </c>
      <c r="M182" s="21">
        <f>[2]底表!AW182</f>
        <v>0</v>
      </c>
      <c r="N182" s="21" t="str">
        <f>[2]底表!AX182</f>
        <v>持平</v>
      </c>
      <c r="O182" s="21">
        <f>[2]底表!AY182</f>
        <v>0</v>
      </c>
      <c r="P182" s="21">
        <f>[2]底表!AZ182</f>
        <v>0</v>
      </c>
      <c r="Q182" s="21" t="str">
        <f>[2]底表!BA182</f>
        <v>持平</v>
      </c>
      <c r="R182" s="21">
        <f>[2]底表!BB182</f>
        <v>0</v>
      </c>
      <c r="S182" s="21" t="str">
        <f>[2]底表!BC182</f>
        <v>持平</v>
      </c>
      <c r="T182" s="21" t="str">
        <f>[2]底表!BD182</f>
        <v/>
      </c>
      <c r="U182" s="21" t="str">
        <f>[2]底表!BE182</f>
        <v/>
      </c>
      <c r="V182" s="21">
        <f>[2]底表!BF182</f>
        <v>0</v>
      </c>
      <c r="W182" s="21">
        <f>[2]底表!BG182</f>
        <v>0</v>
      </c>
      <c r="X182" s="21" t="str">
        <f>[2]底表!BH182</f>
        <v>持平</v>
      </c>
      <c r="Y182" s="21">
        <f>[2]底表!BI182</f>
        <v>0</v>
      </c>
      <c r="Z182" s="21" t="str">
        <f>[2]底表!BJ182</f>
        <v>持平</v>
      </c>
      <c r="AA182" s="21" t="str">
        <f>[2]底表!BK182</f>
        <v/>
      </c>
      <c r="AB182" s="21">
        <f>[2]底表!BL182</f>
        <v>0</v>
      </c>
      <c r="AC182" s="21">
        <f>[2]底表!BM182</f>
        <v>0</v>
      </c>
      <c r="AD182" s="21" t="str">
        <f>[2]底表!BN182</f>
        <v>持平</v>
      </c>
      <c r="AE182" s="21">
        <f>[2]底表!BO182</f>
        <v>0</v>
      </c>
      <c r="AF182" s="21" t="str">
        <f>[2]底表!BP182</f>
        <v>持平</v>
      </c>
      <c r="AG182" s="21">
        <f>[2]底表!BT182</f>
        <v>0</v>
      </c>
      <c r="AH182" s="21" t="str">
        <f>[2]底表!BU182</f>
        <v>持平</v>
      </c>
      <c r="AI182" s="21" t="str">
        <f>[2]底表!BV182</f>
        <v/>
      </c>
      <c r="AJ182" s="21" t="str">
        <f>[2]底表!BW182</f>
        <v/>
      </c>
      <c r="AK182" s="21" t="str">
        <f>[2]底表!BX182</f>
        <v/>
      </c>
      <c r="AL182" s="21" t="str">
        <f>[2]底表!BY182</f>
        <v/>
      </c>
      <c r="AM182" s="21">
        <f>[2]底表!BZ182</f>
        <v>0</v>
      </c>
      <c r="AN182" s="21">
        <f>[2]底表!CA182</f>
        <v>0</v>
      </c>
      <c r="AO182" s="21" t="str">
        <f>[2]底表!CB182</f>
        <v>持平</v>
      </c>
      <c r="AP182" s="21">
        <f>[2]底表!CC182</f>
        <v>0</v>
      </c>
      <c r="AQ182" s="21" t="str">
        <f>[2]底表!CD182</f>
        <v>持平</v>
      </c>
      <c r="AR182" s="21" t="str">
        <f>[2]底表!CE182</f>
        <v/>
      </c>
      <c r="AS182" s="21" t="str">
        <f>[2]底表!CF182</f>
        <v/>
      </c>
      <c r="AT182" s="21">
        <f>[2]底表!CG182</f>
        <v>0</v>
      </c>
      <c r="AU182" s="21">
        <f>[2]底表!CH182</f>
        <v>0</v>
      </c>
      <c r="AV182" s="21" t="str">
        <f>[2]底表!CI182</f>
        <v>持平</v>
      </c>
      <c r="AW182" s="21">
        <f>[2]底表!CJ182</f>
        <v>0</v>
      </c>
      <c r="AX182" s="21" t="str">
        <f>[2]底表!CK182</f>
        <v>持平</v>
      </c>
      <c r="AY182" s="21" t="str">
        <f>[2]底表!CL182</f>
        <v/>
      </c>
      <c r="AZ182" s="21" t="str">
        <f>[2]底表!CM182</f>
        <v/>
      </c>
      <c r="BA182" s="21" t="str">
        <f>[2]底表!CN182</f>
        <v/>
      </c>
      <c r="BB182" s="21">
        <f>[2]底表!CO182</f>
        <v>0</v>
      </c>
      <c r="BC182" s="21">
        <f>[2]底表!CP182</f>
        <v>0</v>
      </c>
      <c r="BD182" s="21" t="str">
        <f>[2]底表!CQ182</f>
        <v>持平</v>
      </c>
      <c r="BE182" s="21">
        <f>[2]底表!CR182</f>
        <v>0</v>
      </c>
      <c r="BF182" s="21" t="str">
        <f>[2]底表!CS182</f>
        <v>持平</v>
      </c>
      <c r="BG182" s="21" t="str">
        <f>[2]底表!CT182</f>
        <v/>
      </c>
      <c r="BH182" s="21" t="str">
        <f>[2]底表!CU182</f>
        <v/>
      </c>
      <c r="BI182" s="21" t="str">
        <f>[2]底表!CV182</f>
        <v/>
      </c>
      <c r="BJ182" s="21" t="str">
        <f>[2]底表!CW182</f>
        <v/>
      </c>
      <c r="BK182" s="21" t="str">
        <f>[2]底表!CX182</f>
        <v/>
      </c>
      <c r="BL182" s="21">
        <f>[2]底表!CY182</f>
        <v>0</v>
      </c>
      <c r="BM182" s="21">
        <f>[2]底表!CZ182</f>
        <v>0</v>
      </c>
      <c r="BN182" s="23" t="str">
        <f>[2]底表!DA182</f>
        <v>持平</v>
      </c>
      <c r="BO182" s="21">
        <f>[2]底表!DB182</f>
        <v>0</v>
      </c>
      <c r="BP182" s="21" t="str">
        <f>[2]底表!DC182</f>
        <v>持平</v>
      </c>
      <c r="BQ182" s="21" t="str">
        <f>[2]底表!DD182</f>
        <v/>
      </c>
      <c r="BR182" s="21" t="str">
        <f>[2]底表!DE182</f>
        <v/>
      </c>
      <c r="BS182" s="21" t="str">
        <f>[2]底表!DF182</f>
        <v/>
      </c>
      <c r="BT182" s="21" t="str">
        <f>[2]底表!DG182</f>
        <v/>
      </c>
      <c r="BU182" s="21" t="str">
        <f>[2]底表!DH182</f>
        <v/>
      </c>
      <c r="BV182" s="21">
        <f>[2]底表!DI182</f>
        <v>0</v>
      </c>
      <c r="BW182" s="21">
        <f>[2]底表!DJ182</f>
        <v>0</v>
      </c>
      <c r="BX182" s="23" t="str">
        <f>[2]底表!DK182</f>
        <v>持平</v>
      </c>
      <c r="BY182" s="21">
        <f>[2]底表!DL182</f>
        <v>0</v>
      </c>
      <c r="BZ182" s="21" t="str">
        <f>[2]底表!DM182</f>
        <v>持平</v>
      </c>
      <c r="CA182" s="21">
        <f>[2]底表!DN182</f>
        <v>0</v>
      </c>
      <c r="CB182" s="21">
        <f>[2]底表!DO182</f>
        <v>0</v>
      </c>
      <c r="CC182" s="21" t="str">
        <f>[2]底表!DP182</f>
        <v>持平</v>
      </c>
      <c r="CD182" s="21">
        <f>[2]底表!DQ182</f>
        <v>0</v>
      </c>
      <c r="CE182" s="21" t="str">
        <f>[2]底表!DR182</f>
        <v>持平</v>
      </c>
      <c r="CF182" s="21">
        <f>[2]底表!DS182</f>
        <v>0</v>
      </c>
      <c r="CG182" s="21">
        <f>[2]底表!DT182</f>
        <v>0</v>
      </c>
      <c r="CH182" s="21" t="str">
        <f>[2]底表!DU182</f>
        <v>持平</v>
      </c>
      <c r="CI182" s="21">
        <f>[2]底表!DV182</f>
        <v>0</v>
      </c>
      <c r="CJ182" s="21" t="str">
        <f>[2]底表!DW182</f>
        <v>持平</v>
      </c>
      <c r="CK182" s="21">
        <f>[2]底表!DX182</f>
        <v>0</v>
      </c>
      <c r="CL182" s="21">
        <f>[2]底表!DY182</f>
        <v>0</v>
      </c>
      <c r="CM182" s="21" t="str">
        <f>[2]底表!DZ182</f>
        <v>持平</v>
      </c>
      <c r="CN182" s="21">
        <f>[2]底表!EA182</f>
        <v>0</v>
      </c>
      <c r="CO182" s="21" t="str">
        <f>[2]底表!EB182</f>
        <v>持平</v>
      </c>
      <c r="CP182" s="21">
        <f>[2]底表!EC182</f>
        <v>0</v>
      </c>
      <c r="CQ182" s="21">
        <f>[2]底表!ED182</f>
        <v>0</v>
      </c>
      <c r="CR182" s="21" t="str">
        <f>[2]底表!EE182</f>
        <v>持平</v>
      </c>
      <c r="CS182" s="21">
        <f>[2]底表!EF182</f>
        <v>0</v>
      </c>
      <c r="CT182" s="21" t="str">
        <f>[2]底表!EG182</f>
        <v>持平</v>
      </c>
      <c r="CU182" s="21" t="str">
        <f>[2]底表!EH182</f>
        <v/>
      </c>
      <c r="CV182" s="21" t="str">
        <f>[2]底表!EI182</f>
        <v/>
      </c>
      <c r="CW182" s="21" t="str">
        <f>[2]底表!EJ182</f>
        <v/>
      </c>
      <c r="CX182" s="21" t="str">
        <f>[2]底表!EK182</f>
        <v/>
      </c>
      <c r="CY182" s="21" t="str">
        <f>[2]底表!EL182</f>
        <v/>
      </c>
      <c r="CZ182" s="21">
        <f>[2]底表!EM182</f>
        <v>0</v>
      </c>
      <c r="DA182" s="21">
        <f>[2]底表!EN182</f>
        <v>0</v>
      </c>
      <c r="DB182" s="21" t="str">
        <f>[2]底表!EO182</f>
        <v>持平</v>
      </c>
      <c r="DC182" s="21">
        <f>[2]底表!EP182</f>
        <v>0</v>
      </c>
      <c r="DD182" s="21" t="str">
        <f>[2]底表!EQ182</f>
        <v>持平</v>
      </c>
      <c r="DE182" s="21">
        <f>[2]底表!ER182</f>
        <v>0</v>
      </c>
      <c r="DF182" s="21">
        <f>[2]底表!ES182</f>
        <v>0</v>
      </c>
      <c r="DG182" s="23" t="str">
        <f>[2]底表!ET182</f>
        <v>持平</v>
      </c>
      <c r="DH182" s="21">
        <f>[2]底表!EU182</f>
        <v>0</v>
      </c>
      <c r="DI182" s="21" t="str">
        <f>[2]底表!EV182</f>
        <v>持平</v>
      </c>
      <c r="DJ182" s="21" t="str">
        <f>[2]底表!EW182</f>
        <v/>
      </c>
      <c r="DK182" s="21" t="str">
        <f>[2]底表!EX182</f>
        <v/>
      </c>
      <c r="DL182" s="21" t="str">
        <f>[2]底表!EY182</f>
        <v/>
      </c>
      <c r="DM182" s="21" t="str">
        <f>[2]底表!EZ182</f>
        <v/>
      </c>
      <c r="DN182" s="21" t="str">
        <f>[2]底表!FA182</f>
        <v/>
      </c>
      <c r="DO182" s="21">
        <f>[2]底表!BQ182</f>
        <v>0</v>
      </c>
      <c r="DP182" s="21">
        <f>[2]底表!BR182</f>
        <v>0</v>
      </c>
      <c r="DQ182" s="24" t="str">
        <f>[2]底表!BS182</f>
        <v>持平</v>
      </c>
    </row>
    <row r="183" s="2" customFormat="1" ht="32" hidden="1" customHeight="1" spans="1:121">
      <c r="A183" s="27" t="str">
        <f>[2]底表!A183</f>
        <v>抢劫</v>
      </c>
      <c r="B183" s="28" t="str">
        <f>[2]底表!B183</f>
        <v>新兴县</v>
      </c>
      <c r="C183" s="21">
        <f>[2]底表!AM183</f>
        <v>0</v>
      </c>
      <c r="D183" s="21">
        <f>[2]底表!AN183</f>
        <v>0</v>
      </c>
      <c r="E183" s="23" t="str">
        <f>[2]底表!AO183</f>
        <v>持平</v>
      </c>
      <c r="F183" s="21">
        <f>[2]底表!AP183</f>
        <v>0</v>
      </c>
      <c r="G183" s="21" t="str">
        <f>[2]底表!AQ183</f>
        <v>持平</v>
      </c>
      <c r="H183" s="21" t="str">
        <f>[2]底表!AR183</f>
        <v/>
      </c>
      <c r="I183" s="21" t="str">
        <f>[2]底表!AS183</f>
        <v/>
      </c>
      <c r="J183" s="21">
        <f>[2]底表!AT183</f>
        <v>0</v>
      </c>
      <c r="K183" s="21">
        <f>[2]底表!AU183</f>
        <v>0</v>
      </c>
      <c r="L183" s="21" t="str">
        <f>[2]底表!AV183</f>
        <v>持平</v>
      </c>
      <c r="M183" s="21">
        <f>[2]底表!AW183</f>
        <v>0</v>
      </c>
      <c r="N183" s="21" t="str">
        <f>[2]底表!AX183</f>
        <v>持平</v>
      </c>
      <c r="O183" s="21">
        <f>[2]底表!AY183</f>
        <v>0</v>
      </c>
      <c r="P183" s="21">
        <f>[2]底表!AZ183</f>
        <v>0</v>
      </c>
      <c r="Q183" s="21" t="str">
        <f>[2]底表!BA183</f>
        <v>持平</v>
      </c>
      <c r="R183" s="21">
        <f>[2]底表!BB183</f>
        <v>0</v>
      </c>
      <c r="S183" s="21" t="str">
        <f>[2]底表!BC183</f>
        <v>持平</v>
      </c>
      <c r="T183" s="21" t="str">
        <f>[2]底表!BD183</f>
        <v/>
      </c>
      <c r="U183" s="21" t="str">
        <f>[2]底表!BE183</f>
        <v/>
      </c>
      <c r="V183" s="21">
        <f>[2]底表!BF183</f>
        <v>0</v>
      </c>
      <c r="W183" s="21">
        <f>[2]底表!BG183</f>
        <v>0</v>
      </c>
      <c r="X183" s="21" t="str">
        <f>[2]底表!BH183</f>
        <v>持平</v>
      </c>
      <c r="Y183" s="21">
        <f>[2]底表!BI183</f>
        <v>0</v>
      </c>
      <c r="Z183" s="21" t="str">
        <f>[2]底表!BJ183</f>
        <v>持平</v>
      </c>
      <c r="AA183" s="21" t="str">
        <f>[2]底表!BK183</f>
        <v/>
      </c>
      <c r="AB183" s="21">
        <f>[2]底表!BL183</f>
        <v>0</v>
      </c>
      <c r="AC183" s="21">
        <f>[2]底表!BM183</f>
        <v>0</v>
      </c>
      <c r="AD183" s="21" t="str">
        <f>[2]底表!BN183</f>
        <v>持平</v>
      </c>
      <c r="AE183" s="21">
        <f>[2]底表!BO183</f>
        <v>0</v>
      </c>
      <c r="AF183" s="21" t="str">
        <f>[2]底表!BP183</f>
        <v>持平</v>
      </c>
      <c r="AG183" s="21">
        <f>[2]底表!BT183</f>
        <v>1</v>
      </c>
      <c r="AH183" s="21" t="str">
        <f>[2]底表!BU183</f>
        <v>少1起</v>
      </c>
      <c r="AI183" s="21" t="str">
        <f>[2]底表!BV183</f>
        <v/>
      </c>
      <c r="AJ183" s="21" t="str">
        <f>[2]底表!BW183</f>
        <v/>
      </c>
      <c r="AK183" s="21" t="str">
        <f>[2]底表!BX183</f>
        <v/>
      </c>
      <c r="AL183" s="21" t="str">
        <f>[2]底表!BY183</f>
        <v/>
      </c>
      <c r="AM183" s="21">
        <f>[2]底表!BZ183</f>
        <v>0</v>
      </c>
      <c r="AN183" s="21">
        <f>[2]底表!CA183</f>
        <v>0</v>
      </c>
      <c r="AO183" s="21" t="str">
        <f>[2]底表!CB183</f>
        <v>持平</v>
      </c>
      <c r="AP183" s="21">
        <f>[2]底表!CC183</f>
        <v>0</v>
      </c>
      <c r="AQ183" s="21" t="str">
        <f>[2]底表!CD183</f>
        <v>持平</v>
      </c>
      <c r="AR183" s="21" t="str">
        <f>[2]底表!CE183</f>
        <v/>
      </c>
      <c r="AS183" s="21" t="str">
        <f>[2]底表!CF183</f>
        <v/>
      </c>
      <c r="AT183" s="21">
        <f>[2]底表!CG183</f>
        <v>0</v>
      </c>
      <c r="AU183" s="21">
        <f>[2]底表!CH183</f>
        <v>0</v>
      </c>
      <c r="AV183" s="21" t="str">
        <f>[2]底表!CI183</f>
        <v>持平</v>
      </c>
      <c r="AW183" s="21">
        <f>[2]底表!CJ183</f>
        <v>0</v>
      </c>
      <c r="AX183" s="21" t="str">
        <f>[2]底表!CK183</f>
        <v>持平</v>
      </c>
      <c r="AY183" s="21" t="str">
        <f>[2]底表!CL183</f>
        <v/>
      </c>
      <c r="AZ183" s="21" t="str">
        <f>[2]底表!CM183</f>
        <v/>
      </c>
      <c r="BA183" s="21" t="str">
        <f>[2]底表!CN183</f>
        <v/>
      </c>
      <c r="BB183" s="21">
        <f>[2]底表!CO183</f>
        <v>1</v>
      </c>
      <c r="BC183" s="21">
        <f>[2]底表!CP183</f>
        <v>0</v>
      </c>
      <c r="BD183" s="21" t="str">
        <f>[2]底表!CQ183</f>
        <v>多1人</v>
      </c>
      <c r="BE183" s="21">
        <f>[2]底表!CR183</f>
        <v>0</v>
      </c>
      <c r="BF183" s="21" t="str">
        <f>[2]底表!CS183</f>
        <v>多1人</v>
      </c>
      <c r="BG183" s="21" t="str">
        <f>[2]底表!CT183</f>
        <v/>
      </c>
      <c r="BH183" s="21" t="str">
        <f>[2]底表!CU183</f>
        <v/>
      </c>
      <c r="BI183" s="21" t="str">
        <f>[2]底表!CV183</f>
        <v/>
      </c>
      <c r="BJ183" s="21" t="str">
        <f>[2]底表!CW183</f>
        <v/>
      </c>
      <c r="BK183" s="21" t="str">
        <f>[2]底表!CX183</f>
        <v/>
      </c>
      <c r="BL183" s="21">
        <f>[2]底表!CY183</f>
        <v>1</v>
      </c>
      <c r="BM183" s="21">
        <f>[2]底表!CZ183</f>
        <v>0</v>
      </c>
      <c r="BN183" s="23" t="str">
        <f>[2]底表!DA183</f>
        <v>多1人</v>
      </c>
      <c r="BO183" s="21">
        <f>[2]底表!DB183</f>
        <v>0</v>
      </c>
      <c r="BP183" s="21" t="str">
        <f>[2]底表!DC183</f>
        <v>多1人</v>
      </c>
      <c r="BQ183" s="21" t="str">
        <f>[2]底表!DD183</f>
        <v/>
      </c>
      <c r="BR183" s="21" t="str">
        <f>[2]底表!DE183</f>
        <v/>
      </c>
      <c r="BS183" s="21" t="str">
        <f>[2]底表!DF183</f>
        <v/>
      </c>
      <c r="BT183" s="21" t="str">
        <f>[2]底表!DG183</f>
        <v/>
      </c>
      <c r="BU183" s="21" t="str">
        <f>[2]底表!DH183</f>
        <v/>
      </c>
      <c r="BV183" s="21">
        <f>[2]底表!DI183</f>
        <v>1</v>
      </c>
      <c r="BW183" s="21">
        <f>[2]底表!DJ183</f>
        <v>0</v>
      </c>
      <c r="BX183" s="23" t="str">
        <f>[2]底表!DK183</f>
        <v>多1人</v>
      </c>
      <c r="BY183" s="21">
        <f>[2]底表!DL183</f>
        <v>0</v>
      </c>
      <c r="BZ183" s="21" t="str">
        <f>[2]底表!DM183</f>
        <v>多1人</v>
      </c>
      <c r="CA183" s="21">
        <f>[2]底表!DN183</f>
        <v>0</v>
      </c>
      <c r="CB183" s="21">
        <f>[2]底表!DO183</f>
        <v>0</v>
      </c>
      <c r="CC183" s="21" t="str">
        <f>[2]底表!DP183</f>
        <v>持平</v>
      </c>
      <c r="CD183" s="21">
        <f>[2]底表!DQ183</f>
        <v>0</v>
      </c>
      <c r="CE183" s="21" t="str">
        <f>[2]底表!DR183</f>
        <v>持平</v>
      </c>
      <c r="CF183" s="21">
        <f>[2]底表!DS183</f>
        <v>0</v>
      </c>
      <c r="CG183" s="21">
        <f>[2]底表!DT183</f>
        <v>0</v>
      </c>
      <c r="CH183" s="21" t="str">
        <f>[2]底表!DU183</f>
        <v>持平</v>
      </c>
      <c r="CI183" s="21">
        <f>[2]底表!DV183</f>
        <v>0</v>
      </c>
      <c r="CJ183" s="21" t="str">
        <f>[2]底表!DW183</f>
        <v>持平</v>
      </c>
      <c r="CK183" s="21">
        <f>[2]底表!DX183</f>
        <v>0</v>
      </c>
      <c r="CL183" s="21">
        <f>[2]底表!DY183</f>
        <v>0</v>
      </c>
      <c r="CM183" s="21" t="str">
        <f>[2]底表!DZ183</f>
        <v>持平</v>
      </c>
      <c r="CN183" s="21">
        <f>[2]底表!EA183</f>
        <v>0</v>
      </c>
      <c r="CO183" s="21" t="str">
        <f>[2]底表!EB183</f>
        <v>持平</v>
      </c>
      <c r="CP183" s="21">
        <f>[2]底表!EC183</f>
        <v>0</v>
      </c>
      <c r="CQ183" s="21">
        <f>[2]底表!ED183</f>
        <v>0</v>
      </c>
      <c r="CR183" s="21" t="str">
        <f>[2]底表!EE183</f>
        <v>持平</v>
      </c>
      <c r="CS183" s="21">
        <f>[2]底表!EF183</f>
        <v>0</v>
      </c>
      <c r="CT183" s="21" t="str">
        <f>[2]底表!EG183</f>
        <v>持平</v>
      </c>
      <c r="CU183" s="21">
        <f>[2]底表!EH183</f>
        <v>0</v>
      </c>
      <c r="CV183" s="21" t="str">
        <f>[2]底表!EI183</f>
        <v/>
      </c>
      <c r="CW183" s="21" t="str">
        <f>[2]底表!EJ183</f>
        <v/>
      </c>
      <c r="CX183" s="21" t="str">
        <f>[2]底表!EK183</f>
        <v/>
      </c>
      <c r="CY183" s="21" t="str">
        <f>[2]底表!EL183</f>
        <v/>
      </c>
      <c r="CZ183" s="21">
        <f>[2]底表!EM183</f>
        <v>0</v>
      </c>
      <c r="DA183" s="21">
        <f>[2]底表!EN183</f>
        <v>0</v>
      </c>
      <c r="DB183" s="21" t="str">
        <f>[2]底表!EO183</f>
        <v>持平</v>
      </c>
      <c r="DC183" s="21">
        <f>[2]底表!EP183</f>
        <v>0</v>
      </c>
      <c r="DD183" s="21" t="str">
        <f>[2]底表!EQ183</f>
        <v>持平</v>
      </c>
      <c r="DE183" s="21">
        <f>[2]底表!ER183</f>
        <v>0</v>
      </c>
      <c r="DF183" s="21">
        <f>[2]底表!ES183</f>
        <v>0</v>
      </c>
      <c r="DG183" s="23" t="str">
        <f>[2]底表!ET183</f>
        <v>持平</v>
      </c>
      <c r="DH183" s="21">
        <f>[2]底表!EU183</f>
        <v>2</v>
      </c>
      <c r="DI183" s="21" t="str">
        <f>[2]底表!EV183</f>
        <v>少2人</v>
      </c>
      <c r="DJ183" s="21">
        <f>[2]底表!EW183</f>
        <v>0</v>
      </c>
      <c r="DK183" s="21" t="str">
        <f>[2]底表!EX183</f>
        <v/>
      </c>
      <c r="DL183" s="21" t="str">
        <f>[2]底表!EY183</f>
        <v/>
      </c>
      <c r="DM183" s="21" t="str">
        <f>[2]底表!EZ183</f>
        <v/>
      </c>
      <c r="DN183" s="21" t="str">
        <f>[2]底表!FA183</f>
        <v/>
      </c>
      <c r="DO183" s="21">
        <f>[2]底表!BQ183</f>
        <v>0</v>
      </c>
      <c r="DP183" s="21">
        <f>[2]底表!BR183</f>
        <v>0</v>
      </c>
      <c r="DQ183" s="24" t="str">
        <f>[2]底表!BS183</f>
        <v>持平</v>
      </c>
    </row>
    <row r="184" s="2" customFormat="1" ht="32" hidden="1" customHeight="1" spans="1:121">
      <c r="A184" s="27" t="str">
        <f>[2]底表!A184</f>
        <v>抢劫</v>
      </c>
      <c r="B184" s="28" t="str">
        <f>[2]底表!B184</f>
        <v>郁南县</v>
      </c>
      <c r="C184" s="21">
        <f>[2]底表!AM184</f>
        <v>1</v>
      </c>
      <c r="D184" s="21">
        <f>[2]底表!AN184</f>
        <v>0</v>
      </c>
      <c r="E184" s="23" t="str">
        <f>[2]底表!AO184</f>
        <v>多1起</v>
      </c>
      <c r="F184" s="21">
        <f>[2]底表!AP184</f>
        <v>0</v>
      </c>
      <c r="G184" s="21" t="str">
        <f>[2]底表!AQ184</f>
        <v>多1起</v>
      </c>
      <c r="H184" s="21">
        <f>[2]底表!AR184</f>
        <v>1</v>
      </c>
      <c r="I184" s="21" t="str">
        <f>[2]底表!AS184</f>
        <v/>
      </c>
      <c r="J184" s="21">
        <f>[2]底表!AT184</f>
        <v>1</v>
      </c>
      <c r="K184" s="21">
        <f>[2]底表!AU184</f>
        <v>0</v>
      </c>
      <c r="L184" s="21" t="str">
        <f>[2]底表!AV184</f>
        <v>多1起</v>
      </c>
      <c r="M184" s="21">
        <f>[2]底表!AW184</f>
        <v>0</v>
      </c>
      <c r="N184" s="21" t="str">
        <f>[2]底表!AX184</f>
        <v>多1起</v>
      </c>
      <c r="O184" s="21">
        <f>[2]底表!AY184</f>
        <v>1</v>
      </c>
      <c r="P184" s="21">
        <f>[2]底表!AZ184</f>
        <v>0</v>
      </c>
      <c r="Q184" s="21" t="str">
        <f>[2]底表!BA184</f>
        <v>多1起</v>
      </c>
      <c r="R184" s="21">
        <f>[2]底表!BB184</f>
        <v>0</v>
      </c>
      <c r="S184" s="21" t="str">
        <f>[2]底表!BC184</f>
        <v>多1起</v>
      </c>
      <c r="T184" s="21">
        <f>[2]底表!BD184</f>
        <v>1</v>
      </c>
      <c r="U184" s="21" t="str">
        <f>[2]底表!BE184</f>
        <v/>
      </c>
      <c r="V184" s="21">
        <f>[2]底表!BF184</f>
        <v>0</v>
      </c>
      <c r="W184" s="21">
        <f>[2]底表!BG184</f>
        <v>0</v>
      </c>
      <c r="X184" s="21" t="str">
        <f>[2]底表!BH184</f>
        <v>持平</v>
      </c>
      <c r="Y184" s="21">
        <f>[2]底表!BI184</f>
        <v>0</v>
      </c>
      <c r="Z184" s="21" t="str">
        <f>[2]底表!BJ184</f>
        <v>持平</v>
      </c>
      <c r="AA184" s="21">
        <f>[2]底表!BK184</f>
        <v>0</v>
      </c>
      <c r="AB184" s="21">
        <f>[2]底表!BL184</f>
        <v>0</v>
      </c>
      <c r="AC184" s="21">
        <f>[2]底表!BM184</f>
        <v>0</v>
      </c>
      <c r="AD184" s="21" t="str">
        <f>[2]底表!BN184</f>
        <v>持平</v>
      </c>
      <c r="AE184" s="21">
        <f>[2]底表!BO184</f>
        <v>0</v>
      </c>
      <c r="AF184" s="21" t="str">
        <f>[2]底表!BP184</f>
        <v>持平</v>
      </c>
      <c r="AG184" s="21">
        <f>[2]底表!BT184</f>
        <v>0</v>
      </c>
      <c r="AH184" s="21" t="str">
        <f>[2]底表!BU184</f>
        <v>持平</v>
      </c>
      <c r="AI184" s="21">
        <f>[2]底表!BV184</f>
        <v>0</v>
      </c>
      <c r="AJ184" s="21" t="str">
        <f>[2]底表!BW184</f>
        <v/>
      </c>
      <c r="AK184" s="21">
        <f>[2]底表!BX184</f>
        <v>0</v>
      </c>
      <c r="AL184" s="21" t="str">
        <f>[2]底表!BY184</f>
        <v/>
      </c>
      <c r="AM184" s="21">
        <f>[2]底表!BZ184</f>
        <v>0</v>
      </c>
      <c r="AN184" s="21">
        <f>[2]底表!CA184</f>
        <v>0</v>
      </c>
      <c r="AO184" s="21" t="str">
        <f>[2]底表!CB184</f>
        <v>持平</v>
      </c>
      <c r="AP184" s="21">
        <f>[2]底表!CC184</f>
        <v>0</v>
      </c>
      <c r="AQ184" s="21" t="str">
        <f>[2]底表!CD184</f>
        <v>持平</v>
      </c>
      <c r="AR184" s="21" t="str">
        <f>[2]底表!CE184</f>
        <v/>
      </c>
      <c r="AS184" s="21" t="str">
        <f>[2]底表!CF184</f>
        <v/>
      </c>
      <c r="AT184" s="21">
        <f>[2]底表!CG184</f>
        <v>1</v>
      </c>
      <c r="AU184" s="21">
        <f>[2]底表!CH184</f>
        <v>0</v>
      </c>
      <c r="AV184" s="21" t="str">
        <f>[2]底表!CI184</f>
        <v>多1人</v>
      </c>
      <c r="AW184" s="21">
        <f>[2]底表!CJ184</f>
        <v>0</v>
      </c>
      <c r="AX184" s="21" t="str">
        <f>[2]底表!CK184</f>
        <v>多1人</v>
      </c>
      <c r="AY184" s="21">
        <f>[2]底表!CL184</f>
        <v>100</v>
      </c>
      <c r="AZ184" s="21" t="str">
        <f>[2]底表!CM184</f>
        <v/>
      </c>
      <c r="BA184" s="21" t="str">
        <f>[2]底表!CN184</f>
        <v/>
      </c>
      <c r="BB184" s="21">
        <f>[2]底表!CO184</f>
        <v>1</v>
      </c>
      <c r="BC184" s="21">
        <f>[2]底表!CP184</f>
        <v>0</v>
      </c>
      <c r="BD184" s="21" t="str">
        <f>[2]底表!CQ184</f>
        <v>多1人</v>
      </c>
      <c r="BE184" s="21">
        <f>[2]底表!CR184</f>
        <v>0</v>
      </c>
      <c r="BF184" s="21" t="str">
        <f>[2]底表!CS184</f>
        <v>多1人</v>
      </c>
      <c r="BG184" s="21">
        <f>[2]底表!CT184</f>
        <v>1</v>
      </c>
      <c r="BH184" s="21" t="str">
        <f>[2]底表!CU184</f>
        <v/>
      </c>
      <c r="BI184" s="21">
        <f>[2]底表!CV184</f>
        <v>100</v>
      </c>
      <c r="BJ184" s="21" t="str">
        <f>[2]底表!CW184</f>
        <v/>
      </c>
      <c r="BK184" s="21" t="str">
        <f>[2]底表!CX184</f>
        <v/>
      </c>
      <c r="BL184" s="21">
        <f>[2]底表!CY184</f>
        <v>1</v>
      </c>
      <c r="BM184" s="21">
        <f>[2]底表!CZ184</f>
        <v>0</v>
      </c>
      <c r="BN184" s="23" t="str">
        <f>[2]底表!DA184</f>
        <v>多1人</v>
      </c>
      <c r="BO184" s="21">
        <f>[2]底表!DB184</f>
        <v>0</v>
      </c>
      <c r="BP184" s="21" t="str">
        <f>[2]底表!DC184</f>
        <v>多1人</v>
      </c>
      <c r="BQ184" s="21">
        <f>[2]底表!DD184</f>
        <v>1</v>
      </c>
      <c r="BR184" s="21" t="str">
        <f>[2]底表!DE184</f>
        <v/>
      </c>
      <c r="BS184" s="21">
        <f>[2]底表!DF184</f>
        <v>100</v>
      </c>
      <c r="BT184" s="21" t="str">
        <f>[2]底表!DG184</f>
        <v/>
      </c>
      <c r="BU184" s="21" t="str">
        <f>[2]底表!DH184</f>
        <v/>
      </c>
      <c r="BV184" s="21">
        <f>[2]底表!DI184</f>
        <v>1</v>
      </c>
      <c r="BW184" s="21">
        <f>[2]底表!DJ184</f>
        <v>0</v>
      </c>
      <c r="BX184" s="23" t="str">
        <f>[2]底表!DK184</f>
        <v>多1人</v>
      </c>
      <c r="BY184" s="21">
        <f>[2]底表!DL184</f>
        <v>0</v>
      </c>
      <c r="BZ184" s="21" t="str">
        <f>[2]底表!DM184</f>
        <v>多1人</v>
      </c>
      <c r="CA184" s="21">
        <f>[2]底表!DN184</f>
        <v>0</v>
      </c>
      <c r="CB184" s="21">
        <f>[2]底表!DO184</f>
        <v>0</v>
      </c>
      <c r="CC184" s="21" t="str">
        <f>[2]底表!DP184</f>
        <v>持平</v>
      </c>
      <c r="CD184" s="21">
        <f>[2]底表!DQ184</f>
        <v>0</v>
      </c>
      <c r="CE184" s="21" t="str">
        <f>[2]底表!DR184</f>
        <v>持平</v>
      </c>
      <c r="CF184" s="21">
        <f>[2]底表!DS184</f>
        <v>0</v>
      </c>
      <c r="CG184" s="21">
        <f>[2]底表!DT184</f>
        <v>0</v>
      </c>
      <c r="CH184" s="21" t="str">
        <f>[2]底表!DU184</f>
        <v>持平</v>
      </c>
      <c r="CI184" s="21">
        <f>[2]底表!DV184</f>
        <v>0</v>
      </c>
      <c r="CJ184" s="21" t="str">
        <f>[2]底表!DW184</f>
        <v>持平</v>
      </c>
      <c r="CK184" s="21">
        <f>[2]底表!DX184</f>
        <v>0</v>
      </c>
      <c r="CL184" s="21">
        <f>[2]底表!DY184</f>
        <v>0</v>
      </c>
      <c r="CM184" s="21" t="str">
        <f>[2]底表!DZ184</f>
        <v>持平</v>
      </c>
      <c r="CN184" s="21">
        <f>[2]底表!EA184</f>
        <v>0</v>
      </c>
      <c r="CO184" s="21" t="str">
        <f>[2]底表!EB184</f>
        <v>持平</v>
      </c>
      <c r="CP184" s="21">
        <f>[2]底表!EC184</f>
        <v>0</v>
      </c>
      <c r="CQ184" s="21">
        <f>[2]底表!ED184</f>
        <v>0</v>
      </c>
      <c r="CR184" s="21" t="str">
        <f>[2]底表!EE184</f>
        <v>持平</v>
      </c>
      <c r="CS184" s="21">
        <f>[2]底表!EF184</f>
        <v>0</v>
      </c>
      <c r="CT184" s="21" t="str">
        <f>[2]底表!EG184</f>
        <v>持平</v>
      </c>
      <c r="CU184" s="21">
        <f>[2]底表!EH184</f>
        <v>0</v>
      </c>
      <c r="CV184" s="21" t="str">
        <f>[2]底表!EI184</f>
        <v/>
      </c>
      <c r="CW184" s="21">
        <f>[2]底表!EJ184</f>
        <v>0</v>
      </c>
      <c r="CX184" s="21" t="str">
        <f>[2]底表!EK184</f>
        <v/>
      </c>
      <c r="CY184" s="21" t="str">
        <f>[2]底表!EL184</f>
        <v/>
      </c>
      <c r="CZ184" s="21">
        <f>[2]底表!EM184</f>
        <v>0</v>
      </c>
      <c r="DA184" s="21">
        <f>[2]底表!EN184</f>
        <v>0</v>
      </c>
      <c r="DB184" s="21" t="str">
        <f>[2]底表!EO184</f>
        <v>持平</v>
      </c>
      <c r="DC184" s="21">
        <f>[2]底表!EP184</f>
        <v>0</v>
      </c>
      <c r="DD184" s="21" t="str">
        <f>[2]底表!EQ184</f>
        <v>持平</v>
      </c>
      <c r="DE184" s="21">
        <f>[2]底表!ER184</f>
        <v>0</v>
      </c>
      <c r="DF184" s="21">
        <f>[2]底表!ES184</f>
        <v>0</v>
      </c>
      <c r="DG184" s="23" t="str">
        <f>[2]底表!ET184</f>
        <v>持平</v>
      </c>
      <c r="DH184" s="21">
        <f>[2]底表!EU184</f>
        <v>0</v>
      </c>
      <c r="DI184" s="21" t="str">
        <f>[2]底表!EV184</f>
        <v>持平</v>
      </c>
      <c r="DJ184" s="21">
        <f>[2]底表!EW184</f>
        <v>0</v>
      </c>
      <c r="DK184" s="21" t="str">
        <f>[2]底表!EX184</f>
        <v/>
      </c>
      <c r="DL184" s="21">
        <f>[2]底表!EY184</f>
        <v>0</v>
      </c>
      <c r="DM184" s="21" t="str">
        <f>[2]底表!EZ184</f>
        <v/>
      </c>
      <c r="DN184" s="21" t="str">
        <f>[2]底表!FA184</f>
        <v/>
      </c>
      <c r="DO184" s="21">
        <f>[2]底表!BQ184</f>
        <v>0</v>
      </c>
      <c r="DP184" s="21">
        <f>[2]底表!BR184</f>
        <v>0</v>
      </c>
      <c r="DQ184" s="24" t="str">
        <f>[2]底表!BS184</f>
        <v>持平</v>
      </c>
    </row>
    <row r="185" s="2" customFormat="1" ht="32" hidden="1" customHeight="1" spans="1:121">
      <c r="A185" s="27" t="str">
        <f>[2]底表!A185</f>
        <v>抢劫</v>
      </c>
      <c r="B185" s="28" t="str">
        <f>[2]底表!B185</f>
        <v>罗定市</v>
      </c>
      <c r="C185" s="21">
        <f>[2]底表!AM185</f>
        <v>0</v>
      </c>
      <c r="D185" s="21">
        <f>[2]底表!AN185</f>
        <v>0</v>
      </c>
      <c r="E185" s="23" t="str">
        <f>[2]底表!AO185</f>
        <v>持平</v>
      </c>
      <c r="F185" s="21">
        <f>[2]底表!AP185</f>
        <v>0</v>
      </c>
      <c r="G185" s="21" t="str">
        <f>[2]底表!AQ185</f>
        <v>持平</v>
      </c>
      <c r="H185" s="21" t="str">
        <f>[2]底表!AR185</f>
        <v/>
      </c>
      <c r="I185" s="21" t="str">
        <f>[2]底表!AS185</f>
        <v/>
      </c>
      <c r="J185" s="21">
        <f>[2]底表!AT185</f>
        <v>0</v>
      </c>
      <c r="K185" s="21">
        <f>[2]底表!AU185</f>
        <v>0</v>
      </c>
      <c r="L185" s="21" t="str">
        <f>[2]底表!AV185</f>
        <v>持平</v>
      </c>
      <c r="M185" s="21">
        <f>[2]底表!AW185</f>
        <v>0</v>
      </c>
      <c r="N185" s="21" t="str">
        <f>[2]底表!AX185</f>
        <v>持平</v>
      </c>
      <c r="O185" s="21">
        <f>[2]底表!AY185</f>
        <v>0</v>
      </c>
      <c r="P185" s="21">
        <f>[2]底表!AZ185</f>
        <v>0</v>
      </c>
      <c r="Q185" s="21" t="str">
        <f>[2]底表!BA185</f>
        <v>持平</v>
      </c>
      <c r="R185" s="21">
        <f>[2]底表!BB185</f>
        <v>0</v>
      </c>
      <c r="S185" s="21" t="str">
        <f>[2]底表!BC185</f>
        <v>持平</v>
      </c>
      <c r="T185" s="21" t="str">
        <f>[2]底表!BD185</f>
        <v/>
      </c>
      <c r="U185" s="21" t="str">
        <f>[2]底表!BE185</f>
        <v/>
      </c>
      <c r="V185" s="21">
        <f>[2]底表!BF185</f>
        <v>0</v>
      </c>
      <c r="W185" s="21">
        <f>[2]底表!BG185</f>
        <v>0</v>
      </c>
      <c r="X185" s="21" t="str">
        <f>[2]底表!BH185</f>
        <v>持平</v>
      </c>
      <c r="Y185" s="21">
        <f>[2]底表!BI185</f>
        <v>0</v>
      </c>
      <c r="Z185" s="21" t="str">
        <f>[2]底表!BJ185</f>
        <v>持平</v>
      </c>
      <c r="AA185" s="21" t="str">
        <f>[2]底表!BK185</f>
        <v/>
      </c>
      <c r="AB185" s="21">
        <f>[2]底表!BL185</f>
        <v>0</v>
      </c>
      <c r="AC185" s="21">
        <f>[2]底表!BM185</f>
        <v>0</v>
      </c>
      <c r="AD185" s="21" t="str">
        <f>[2]底表!BN185</f>
        <v>持平</v>
      </c>
      <c r="AE185" s="21">
        <f>[2]底表!BO185</f>
        <v>0</v>
      </c>
      <c r="AF185" s="21" t="str">
        <f>[2]底表!BP185</f>
        <v>持平</v>
      </c>
      <c r="AG185" s="21">
        <f>[2]底表!BT185</f>
        <v>1</v>
      </c>
      <c r="AH185" s="21" t="str">
        <f>[2]底表!BU185</f>
        <v>少1起</v>
      </c>
      <c r="AI185" s="21" t="str">
        <f>[2]底表!BV185</f>
        <v/>
      </c>
      <c r="AJ185" s="21" t="str">
        <f>[2]底表!BW185</f>
        <v/>
      </c>
      <c r="AK185" s="21" t="str">
        <f>[2]底表!BX185</f>
        <v/>
      </c>
      <c r="AL185" s="21" t="str">
        <f>[2]底表!BY185</f>
        <v/>
      </c>
      <c r="AM185" s="21">
        <f>[2]底表!BZ185</f>
        <v>0</v>
      </c>
      <c r="AN185" s="21">
        <f>[2]底表!CA185</f>
        <v>0</v>
      </c>
      <c r="AO185" s="21" t="str">
        <f>[2]底表!CB185</f>
        <v>持平</v>
      </c>
      <c r="AP185" s="21">
        <f>[2]底表!CC185</f>
        <v>0</v>
      </c>
      <c r="AQ185" s="21" t="str">
        <f>[2]底表!CD185</f>
        <v>持平</v>
      </c>
      <c r="AR185" s="21" t="str">
        <f>[2]底表!CE185</f>
        <v/>
      </c>
      <c r="AS185" s="21" t="str">
        <f>[2]底表!CF185</f>
        <v/>
      </c>
      <c r="AT185" s="21">
        <f>[2]底表!CG185</f>
        <v>0</v>
      </c>
      <c r="AU185" s="21">
        <f>[2]底表!CH185</f>
        <v>0</v>
      </c>
      <c r="AV185" s="21" t="str">
        <f>[2]底表!CI185</f>
        <v>持平</v>
      </c>
      <c r="AW185" s="21">
        <f>[2]底表!CJ185</f>
        <v>0</v>
      </c>
      <c r="AX185" s="21" t="str">
        <f>[2]底表!CK185</f>
        <v>持平</v>
      </c>
      <c r="AY185" s="21" t="str">
        <f>[2]底表!CL185</f>
        <v/>
      </c>
      <c r="AZ185" s="21" t="str">
        <f>[2]底表!CM185</f>
        <v/>
      </c>
      <c r="BA185" s="21" t="str">
        <f>[2]底表!CN185</f>
        <v/>
      </c>
      <c r="BB185" s="21">
        <f>[2]底表!CO185</f>
        <v>0</v>
      </c>
      <c r="BC185" s="21">
        <f>[2]底表!CP185</f>
        <v>0</v>
      </c>
      <c r="BD185" s="21" t="str">
        <f>[2]底表!CQ185</f>
        <v>持平</v>
      </c>
      <c r="BE185" s="21">
        <f>[2]底表!CR185</f>
        <v>0</v>
      </c>
      <c r="BF185" s="21" t="str">
        <f>[2]底表!CS185</f>
        <v>持平</v>
      </c>
      <c r="BG185" s="21" t="str">
        <f>[2]底表!CT185</f>
        <v/>
      </c>
      <c r="BH185" s="21" t="str">
        <f>[2]底表!CU185</f>
        <v/>
      </c>
      <c r="BI185" s="21" t="str">
        <f>[2]底表!CV185</f>
        <v/>
      </c>
      <c r="BJ185" s="21" t="str">
        <f>[2]底表!CW185</f>
        <v/>
      </c>
      <c r="BK185" s="21" t="str">
        <f>[2]底表!CX185</f>
        <v/>
      </c>
      <c r="BL185" s="21">
        <f>[2]底表!CY185</f>
        <v>0</v>
      </c>
      <c r="BM185" s="21">
        <f>[2]底表!CZ185</f>
        <v>0</v>
      </c>
      <c r="BN185" s="23" t="str">
        <f>[2]底表!DA185</f>
        <v>持平</v>
      </c>
      <c r="BO185" s="21">
        <f>[2]底表!DB185</f>
        <v>0</v>
      </c>
      <c r="BP185" s="21" t="str">
        <f>[2]底表!DC185</f>
        <v>持平</v>
      </c>
      <c r="BQ185" s="21" t="str">
        <f>[2]底表!DD185</f>
        <v/>
      </c>
      <c r="BR185" s="21" t="str">
        <f>[2]底表!DE185</f>
        <v/>
      </c>
      <c r="BS185" s="21" t="str">
        <f>[2]底表!DF185</f>
        <v/>
      </c>
      <c r="BT185" s="21" t="str">
        <f>[2]底表!DG185</f>
        <v/>
      </c>
      <c r="BU185" s="21" t="str">
        <f>[2]底表!DH185</f>
        <v/>
      </c>
      <c r="BV185" s="21">
        <f>[2]底表!DI185</f>
        <v>0</v>
      </c>
      <c r="BW185" s="21">
        <f>[2]底表!DJ185</f>
        <v>0</v>
      </c>
      <c r="BX185" s="23" t="str">
        <f>[2]底表!DK185</f>
        <v>持平</v>
      </c>
      <c r="BY185" s="21">
        <f>[2]底表!DL185</f>
        <v>0</v>
      </c>
      <c r="BZ185" s="21" t="str">
        <f>[2]底表!DM185</f>
        <v>持平</v>
      </c>
      <c r="CA185" s="21">
        <f>[2]底表!DN185</f>
        <v>0</v>
      </c>
      <c r="CB185" s="21">
        <f>[2]底表!DO185</f>
        <v>0</v>
      </c>
      <c r="CC185" s="21" t="str">
        <f>[2]底表!DP185</f>
        <v>持平</v>
      </c>
      <c r="CD185" s="21">
        <f>[2]底表!DQ185</f>
        <v>0</v>
      </c>
      <c r="CE185" s="21" t="str">
        <f>[2]底表!DR185</f>
        <v>持平</v>
      </c>
      <c r="CF185" s="21">
        <f>[2]底表!DS185</f>
        <v>0</v>
      </c>
      <c r="CG185" s="21">
        <f>[2]底表!DT185</f>
        <v>0</v>
      </c>
      <c r="CH185" s="21" t="str">
        <f>[2]底表!DU185</f>
        <v>持平</v>
      </c>
      <c r="CI185" s="21">
        <f>[2]底表!DV185</f>
        <v>0</v>
      </c>
      <c r="CJ185" s="21" t="str">
        <f>[2]底表!DW185</f>
        <v>持平</v>
      </c>
      <c r="CK185" s="21">
        <f>[2]底表!DX185</f>
        <v>0</v>
      </c>
      <c r="CL185" s="21">
        <f>[2]底表!DY185</f>
        <v>0</v>
      </c>
      <c r="CM185" s="21" t="str">
        <f>[2]底表!DZ185</f>
        <v>持平</v>
      </c>
      <c r="CN185" s="21">
        <f>[2]底表!EA185</f>
        <v>0</v>
      </c>
      <c r="CO185" s="21" t="str">
        <f>[2]底表!EB185</f>
        <v>持平</v>
      </c>
      <c r="CP185" s="21">
        <f>[2]底表!EC185</f>
        <v>0</v>
      </c>
      <c r="CQ185" s="21">
        <f>[2]底表!ED185</f>
        <v>0</v>
      </c>
      <c r="CR185" s="21" t="str">
        <f>[2]底表!EE185</f>
        <v>持平</v>
      </c>
      <c r="CS185" s="21">
        <f>[2]底表!EF185</f>
        <v>1</v>
      </c>
      <c r="CT185" s="21" t="str">
        <f>[2]底表!EG185</f>
        <v>少1人</v>
      </c>
      <c r="CU185" s="21" t="str">
        <f>[2]底表!EH185</f>
        <v/>
      </c>
      <c r="CV185" s="21" t="str">
        <f>[2]底表!EI185</f>
        <v/>
      </c>
      <c r="CW185" s="21" t="str">
        <f>[2]底表!EJ185</f>
        <v/>
      </c>
      <c r="CX185" s="21" t="str">
        <f>[2]底表!EK185</f>
        <v/>
      </c>
      <c r="CY185" s="21" t="str">
        <f>[2]底表!EL185</f>
        <v/>
      </c>
      <c r="CZ185" s="21">
        <f>[2]底表!EM185</f>
        <v>0</v>
      </c>
      <c r="DA185" s="21">
        <f>[2]底表!EN185</f>
        <v>0</v>
      </c>
      <c r="DB185" s="21" t="str">
        <f>[2]底表!EO185</f>
        <v>持平</v>
      </c>
      <c r="DC185" s="21">
        <f>[2]底表!EP185</f>
        <v>1</v>
      </c>
      <c r="DD185" s="21" t="str">
        <f>[2]底表!EQ185</f>
        <v>少1人</v>
      </c>
      <c r="DE185" s="21">
        <f>[2]底表!ER185</f>
        <v>0</v>
      </c>
      <c r="DF185" s="21">
        <f>[2]底表!ES185</f>
        <v>0</v>
      </c>
      <c r="DG185" s="23" t="str">
        <f>[2]底表!ET185</f>
        <v>持平</v>
      </c>
      <c r="DH185" s="21">
        <f>[2]底表!EU185</f>
        <v>1</v>
      </c>
      <c r="DI185" s="21" t="str">
        <f>[2]底表!EV185</f>
        <v>少1人</v>
      </c>
      <c r="DJ185" s="21" t="str">
        <f>[2]底表!EW185</f>
        <v/>
      </c>
      <c r="DK185" s="21" t="str">
        <f>[2]底表!EX185</f>
        <v/>
      </c>
      <c r="DL185" s="21" t="str">
        <f>[2]底表!EY185</f>
        <v/>
      </c>
      <c r="DM185" s="21" t="str">
        <f>[2]底表!EZ185</f>
        <v/>
      </c>
      <c r="DN185" s="21" t="str">
        <f>[2]底表!FA185</f>
        <v/>
      </c>
      <c r="DO185" s="21">
        <f>[2]底表!BQ185</f>
        <v>0</v>
      </c>
      <c r="DP185" s="21">
        <f>[2]底表!BR185</f>
        <v>0</v>
      </c>
      <c r="DQ185" s="24" t="str">
        <f>[2]底表!BS185</f>
        <v>持平</v>
      </c>
    </row>
    <row r="186" s="2" customFormat="1" ht="32" hidden="1" customHeight="1" spans="1:121">
      <c r="A186" s="27" t="str">
        <f>[2]底表!A186</f>
        <v>抢夺</v>
      </c>
      <c r="B186" s="28" t="str">
        <f>[2]底表!B186</f>
        <v>全省</v>
      </c>
      <c r="C186" s="21">
        <f>[2]底表!AM186</f>
        <v>15</v>
      </c>
      <c r="D186" s="21">
        <f>[2]底表!AN186</f>
        <v>14</v>
      </c>
      <c r="E186" s="23">
        <f>[2]底表!AO186</f>
        <v>0.0714</v>
      </c>
      <c r="F186" s="21">
        <f>[2]底表!AP186</f>
        <v>13</v>
      </c>
      <c r="G186" s="21">
        <f>[2]底表!AQ186</f>
        <v>0.1538</v>
      </c>
      <c r="H186" s="21">
        <f>[2]底表!AR186</f>
        <v>1</v>
      </c>
      <c r="I186" s="21">
        <f>[2]底表!AS186</f>
        <v>0.1765</v>
      </c>
      <c r="J186" s="21">
        <f>[2]底表!AT186</f>
        <v>14</v>
      </c>
      <c r="K186" s="21">
        <f>[2]底表!AU186</f>
        <v>14</v>
      </c>
      <c r="L186" s="21">
        <f>[2]底表!AV186</f>
        <v>0</v>
      </c>
      <c r="M186" s="21">
        <f>[2]底表!AW186</f>
        <v>12</v>
      </c>
      <c r="N186" s="21">
        <f>[2]底表!AX186</f>
        <v>0.1667</v>
      </c>
      <c r="O186" s="21">
        <f>[2]底表!AY186</f>
        <v>14</v>
      </c>
      <c r="P186" s="21">
        <f>[2]底表!AZ186</f>
        <v>12</v>
      </c>
      <c r="Q186" s="21">
        <f>[2]底表!BA186</f>
        <v>0.1667</v>
      </c>
      <c r="R186" s="21">
        <f>[2]底表!BB186</f>
        <v>12</v>
      </c>
      <c r="S186" s="21">
        <f>[2]底表!BC186</f>
        <v>0.1667</v>
      </c>
      <c r="T186" s="21">
        <f>[2]底表!BD186</f>
        <v>1</v>
      </c>
      <c r="U186" s="21">
        <f>[2]底表!BE186</f>
        <v>0.1429</v>
      </c>
      <c r="V186" s="21">
        <f>[2]底表!BF186</f>
        <v>1</v>
      </c>
      <c r="W186" s="21">
        <f>[2]底表!BG186</f>
        <v>3</v>
      </c>
      <c r="X186" s="21">
        <f>[2]底表!BH186</f>
        <v>-0.6667</v>
      </c>
      <c r="Y186" s="21">
        <f>[2]底表!BI186</f>
        <v>0</v>
      </c>
      <c r="Z186" s="21" t="str">
        <f>[2]底表!BJ186</f>
        <v>多1起</v>
      </c>
      <c r="AA186" s="21">
        <f>[2]底表!BK186</f>
        <v>0.0667</v>
      </c>
      <c r="AB186" s="21">
        <f>[2]底表!BL186</f>
        <v>1</v>
      </c>
      <c r="AC186" s="21">
        <f>[2]底表!BM186</f>
        <v>2</v>
      </c>
      <c r="AD186" s="21">
        <f>[2]底表!BN186</f>
        <v>-0.5</v>
      </c>
      <c r="AE186" s="21">
        <f>[2]底表!BO186</f>
        <v>1</v>
      </c>
      <c r="AF186" s="21">
        <f>[2]底表!BP186</f>
        <v>0</v>
      </c>
      <c r="AG186" s="21">
        <f>[2]底表!BT186</f>
        <v>9</v>
      </c>
      <c r="AH186" s="21">
        <f>[2]底表!BU186</f>
        <v>-0.1111</v>
      </c>
      <c r="AI186" s="21">
        <f>[2]底表!BV186</f>
        <v>0.5333</v>
      </c>
      <c r="AJ186" s="21">
        <f>[2]底表!BW186</f>
        <v>-0.1137</v>
      </c>
      <c r="AK186" s="21">
        <f>[2]底表!BX186</f>
        <v>0.5714</v>
      </c>
      <c r="AL186" s="21">
        <f>[2]底表!BY186</f>
        <v>-0.2143</v>
      </c>
      <c r="AM186" s="21">
        <f>[2]底表!BZ186</f>
        <v>0</v>
      </c>
      <c r="AN186" s="21">
        <f>[2]底表!CA186</f>
        <v>0</v>
      </c>
      <c r="AO186" s="21" t="str">
        <f>[2]底表!CB186</f>
        <v>持平</v>
      </c>
      <c r="AP186" s="21">
        <f>[2]底表!CC186</f>
        <v>2</v>
      </c>
      <c r="AQ186" s="21" t="str">
        <f>[2]底表!CD186</f>
        <v>少2起</v>
      </c>
      <c r="AR186" s="21" t="str">
        <f>[2]底表!CE186</f>
        <v/>
      </c>
      <c r="AS186" s="21" t="str">
        <f>[2]底表!CF186</f>
        <v/>
      </c>
      <c r="AT186" s="21">
        <f>[2]底表!CG186</f>
        <v>27</v>
      </c>
      <c r="AU186" s="21">
        <f>[2]底表!CH186</f>
        <v>33</v>
      </c>
      <c r="AV186" s="21">
        <f>[2]底表!CI186</f>
        <v>-0.1818</v>
      </c>
      <c r="AW186" s="21">
        <f>[2]底表!CJ186</f>
        <v>27</v>
      </c>
      <c r="AX186" s="21">
        <f>[2]底表!CK186</f>
        <v>0</v>
      </c>
      <c r="AY186" s="21">
        <f>[2]底表!CL186</f>
        <v>180</v>
      </c>
      <c r="AZ186" s="21">
        <f>[2]底表!CM186</f>
        <v>-14</v>
      </c>
      <c r="BA186" s="21">
        <f>[2]底表!CN186</f>
        <v>-0.0727</v>
      </c>
      <c r="BB186" s="21">
        <f>[2]底表!CO186</f>
        <v>19</v>
      </c>
      <c r="BC186" s="21">
        <f>[2]底表!CP186</f>
        <v>18</v>
      </c>
      <c r="BD186" s="21">
        <f>[2]底表!CQ186</f>
        <v>0.0556</v>
      </c>
      <c r="BE186" s="21">
        <f>[2]底表!CR186</f>
        <v>15</v>
      </c>
      <c r="BF186" s="21">
        <f>[2]底表!CS186</f>
        <v>0.2667</v>
      </c>
      <c r="BG186" s="21">
        <f>[2]底表!CT186</f>
        <v>0.7037</v>
      </c>
      <c r="BH186" s="21">
        <f>[2]底表!CU186</f>
        <v>0.1582</v>
      </c>
      <c r="BI186" s="21">
        <f>[2]底表!CV186</f>
        <v>127</v>
      </c>
      <c r="BJ186" s="21">
        <f>[2]底表!CW186</f>
        <v>21</v>
      </c>
      <c r="BK186" s="21">
        <f>[2]底表!CX186</f>
        <v>0.1963</v>
      </c>
      <c r="BL186" s="21">
        <f>[2]底表!CY186</f>
        <v>22</v>
      </c>
      <c r="BM186" s="21">
        <f>[2]底表!CZ186</f>
        <v>20</v>
      </c>
      <c r="BN186" s="23">
        <f>[2]底表!DA186</f>
        <v>0.1</v>
      </c>
      <c r="BO186" s="21">
        <f>[2]底表!DB186</f>
        <v>19</v>
      </c>
      <c r="BP186" s="21">
        <f>[2]底表!DC186</f>
        <v>0.1579</v>
      </c>
      <c r="BQ186" s="21">
        <f>[2]底表!DD186</f>
        <v>0.8148</v>
      </c>
      <c r="BR186" s="21">
        <f>[2]底表!DE186</f>
        <v>0.2088</v>
      </c>
      <c r="BS186" s="21">
        <f>[2]底表!DF186</f>
        <v>147</v>
      </c>
      <c r="BT186" s="21">
        <f>[2]底表!DG186</f>
        <v>29</v>
      </c>
      <c r="BU186" s="21">
        <f>[2]底表!DH186</f>
        <v>0.2467</v>
      </c>
      <c r="BV186" s="21">
        <f>[2]底表!DI186</f>
        <v>23</v>
      </c>
      <c r="BW186" s="21">
        <f>[2]底表!DJ186</f>
        <v>25</v>
      </c>
      <c r="BX186" s="23">
        <f>[2]底表!DK186</f>
        <v>-0.08</v>
      </c>
      <c r="BY186" s="21">
        <f>[2]底表!DL186</f>
        <v>19</v>
      </c>
      <c r="BZ186" s="21">
        <f>[2]底表!DM186</f>
        <v>0.2105</v>
      </c>
      <c r="CA186" s="21">
        <f>[2]底表!DN186</f>
        <v>9</v>
      </c>
      <c r="CB186" s="21">
        <f>[2]底表!DO186</f>
        <v>5</v>
      </c>
      <c r="CC186" s="21">
        <f>[2]底表!DP186</f>
        <v>0.8</v>
      </c>
      <c r="CD186" s="21">
        <f>[2]底表!DQ186</f>
        <v>10</v>
      </c>
      <c r="CE186" s="21">
        <f>[2]底表!DR186</f>
        <v>-0.1</v>
      </c>
      <c r="CF186" s="21">
        <f>[2]底表!DS186</f>
        <v>9</v>
      </c>
      <c r="CG186" s="21">
        <f>[2]底表!DT186</f>
        <v>5</v>
      </c>
      <c r="CH186" s="21">
        <f>[2]底表!DU186</f>
        <v>0.8</v>
      </c>
      <c r="CI186" s="21">
        <f>[2]底表!DV186</f>
        <v>10</v>
      </c>
      <c r="CJ186" s="21">
        <f>[2]底表!DW186</f>
        <v>-0.1</v>
      </c>
      <c r="CK186" s="21">
        <f>[2]底表!DX186</f>
        <v>16</v>
      </c>
      <c r="CL186" s="21">
        <f>[2]底表!DY186</f>
        <v>13</v>
      </c>
      <c r="CM186" s="21">
        <f>[2]底表!DZ186</f>
        <v>0.2308</v>
      </c>
      <c r="CN186" s="21">
        <f>[2]底表!EA186</f>
        <v>11</v>
      </c>
      <c r="CO186" s="21">
        <f>[2]底表!EB186</f>
        <v>0.4545</v>
      </c>
      <c r="CP186" s="21">
        <f>[2]底表!EC186</f>
        <v>7</v>
      </c>
      <c r="CQ186" s="21">
        <f>[2]底表!ED186</f>
        <v>9</v>
      </c>
      <c r="CR186" s="21">
        <f>[2]底表!EE186</f>
        <v>-0.2222</v>
      </c>
      <c r="CS186" s="21">
        <f>[2]底表!EF186</f>
        <v>8</v>
      </c>
      <c r="CT186" s="21">
        <f>[2]底表!EG186</f>
        <v>-0.125</v>
      </c>
      <c r="CU186" s="21">
        <f>[2]底表!EH186</f>
        <v>0.3684</v>
      </c>
      <c r="CV186" s="21">
        <f>[2]底表!EI186</f>
        <v>-0.1316</v>
      </c>
      <c r="CW186" s="21">
        <f>[2]底表!EJ186</f>
        <v>47</v>
      </c>
      <c r="CX186" s="21">
        <f>[2]底表!EK186</f>
        <v>-6</v>
      </c>
      <c r="CY186" s="21">
        <f>[2]底表!EL186</f>
        <v>-0.1185</v>
      </c>
      <c r="CZ186" s="21">
        <f>[2]底表!EM186</f>
        <v>6</v>
      </c>
      <c r="DA186" s="21">
        <f>[2]底表!EN186</f>
        <v>11</v>
      </c>
      <c r="DB186" s="21">
        <f>[2]底表!EO186</f>
        <v>-0.4545</v>
      </c>
      <c r="DC186" s="21">
        <f>[2]底表!EP186</f>
        <v>8</v>
      </c>
      <c r="DD186" s="21">
        <f>[2]底表!EQ186</f>
        <v>-0.25</v>
      </c>
      <c r="DE186" s="21">
        <f>[2]底表!ER186</f>
        <v>11</v>
      </c>
      <c r="DF186" s="21">
        <f>[2]底表!ES186</f>
        <v>20</v>
      </c>
      <c r="DG186" s="23">
        <f>[2]底表!ET186</f>
        <v>-0.45</v>
      </c>
      <c r="DH186" s="21">
        <f>[2]底表!EU186</f>
        <v>11</v>
      </c>
      <c r="DI186" s="21">
        <f>[2]底表!EV186</f>
        <v>0</v>
      </c>
      <c r="DJ186" s="21">
        <f>[2]底表!EW186</f>
        <v>0.5789</v>
      </c>
      <c r="DK186" s="21">
        <f>[2]底表!EX186</f>
        <v>-0.5322</v>
      </c>
      <c r="DL186" s="21">
        <f>[2]底表!EY186</f>
        <v>73</v>
      </c>
      <c r="DM186" s="21">
        <f>[2]底表!EZ186</f>
        <v>-44</v>
      </c>
      <c r="DN186" s="21">
        <f>[2]底表!FA186</f>
        <v>-0.3767</v>
      </c>
      <c r="DO186" s="21">
        <f>[2]底表!BQ186</f>
        <v>8</v>
      </c>
      <c r="DP186" s="21">
        <f>[2]底表!BR186</f>
        <v>11</v>
      </c>
      <c r="DQ186" s="24">
        <f>[2]底表!BS186</f>
        <v>-0.2727</v>
      </c>
    </row>
    <row r="187" s="2" customFormat="1" ht="32" hidden="1" customHeight="1" spans="1:121">
      <c r="A187" s="27" t="str">
        <f>[2]底表!A187</f>
        <v>抢夺</v>
      </c>
      <c r="B187" s="28" t="str">
        <f>[2]底表!B187</f>
        <v>云浮</v>
      </c>
      <c r="C187" s="21">
        <f>[2]底表!AM187</f>
        <v>1</v>
      </c>
      <c r="D187" s="21">
        <f>[2]底表!AN187</f>
        <v>1</v>
      </c>
      <c r="E187" s="23">
        <f>[2]底表!AO187</f>
        <v>0</v>
      </c>
      <c r="F187" s="21">
        <f>[2]底表!AP187</f>
        <v>0</v>
      </c>
      <c r="G187" s="21" t="str">
        <f>[2]底表!AQ187</f>
        <v>多1起</v>
      </c>
      <c r="H187" s="21">
        <f>[2]底表!AR187</f>
        <v>1</v>
      </c>
      <c r="I187" s="21">
        <f>[2]底表!AS187</f>
        <v>0</v>
      </c>
      <c r="J187" s="21">
        <f>[2]底表!AT187</f>
        <v>1</v>
      </c>
      <c r="K187" s="21">
        <f>[2]底表!AU187</f>
        <v>1</v>
      </c>
      <c r="L187" s="21">
        <f>[2]底表!AV187</f>
        <v>0</v>
      </c>
      <c r="M187" s="21">
        <f>[2]底表!AW187</f>
        <v>0</v>
      </c>
      <c r="N187" s="21" t="str">
        <f>[2]底表!AX187</f>
        <v>多1起</v>
      </c>
      <c r="O187" s="21">
        <f>[2]底表!AY187</f>
        <v>1</v>
      </c>
      <c r="P187" s="21">
        <f>[2]底表!AZ187</f>
        <v>1</v>
      </c>
      <c r="Q187" s="21">
        <f>[2]底表!BA187</f>
        <v>0</v>
      </c>
      <c r="R187" s="21">
        <f>[2]底表!BB187</f>
        <v>0</v>
      </c>
      <c r="S187" s="21" t="str">
        <f>[2]底表!BC187</f>
        <v>多1起</v>
      </c>
      <c r="T187" s="21">
        <f>[2]底表!BD187</f>
        <v>1</v>
      </c>
      <c r="U187" s="21">
        <f>[2]底表!BE187</f>
        <v>0</v>
      </c>
      <c r="V187" s="21">
        <f>[2]底表!BF187</f>
        <v>0</v>
      </c>
      <c r="W187" s="21">
        <f>[2]底表!BG187</f>
        <v>0</v>
      </c>
      <c r="X187" s="21" t="str">
        <f>[2]底表!BH187</f>
        <v>持平</v>
      </c>
      <c r="Y187" s="21">
        <f>[2]底表!BI187</f>
        <v>0</v>
      </c>
      <c r="Z187" s="21" t="str">
        <f>[2]底表!BJ187</f>
        <v>持平</v>
      </c>
      <c r="AA187" s="21">
        <f>[2]底表!BK187</f>
        <v>0</v>
      </c>
      <c r="AB187" s="21">
        <f>[2]底表!BL187</f>
        <v>0</v>
      </c>
      <c r="AC187" s="21">
        <f>[2]底表!BM187</f>
        <v>0</v>
      </c>
      <c r="AD187" s="21" t="str">
        <f>[2]底表!BN187</f>
        <v>持平</v>
      </c>
      <c r="AE187" s="21">
        <f>[2]底表!BO187</f>
        <v>0</v>
      </c>
      <c r="AF187" s="21" t="str">
        <f>[2]底表!BP187</f>
        <v>持平</v>
      </c>
      <c r="AG187" s="21">
        <f>[2]底表!BT187</f>
        <v>0</v>
      </c>
      <c r="AH187" s="21" t="str">
        <f>[2]底表!BU187</f>
        <v>持平</v>
      </c>
      <c r="AI187" s="21">
        <f>[2]底表!BV187</f>
        <v>0</v>
      </c>
      <c r="AJ187" s="21">
        <f>[2]底表!BW187</f>
        <v>0</v>
      </c>
      <c r="AK187" s="21">
        <f>[2]底表!BX187</f>
        <v>0</v>
      </c>
      <c r="AL187" s="21">
        <f>[2]底表!BY187</f>
        <v>0</v>
      </c>
      <c r="AM187" s="21">
        <f>[2]底表!BZ187</f>
        <v>0</v>
      </c>
      <c r="AN187" s="21">
        <f>[2]底表!CA187</f>
        <v>0</v>
      </c>
      <c r="AO187" s="21" t="str">
        <f>[2]底表!CB187</f>
        <v>持平</v>
      </c>
      <c r="AP187" s="21">
        <f>[2]底表!CC187</f>
        <v>0</v>
      </c>
      <c r="AQ187" s="21" t="str">
        <f>[2]底表!CD187</f>
        <v>持平</v>
      </c>
      <c r="AR187" s="21" t="str">
        <f>[2]底表!CE187</f>
        <v/>
      </c>
      <c r="AS187" s="21" t="str">
        <f>[2]底表!CF187</f>
        <v/>
      </c>
      <c r="AT187" s="21">
        <f>[2]底表!CG187</f>
        <v>0</v>
      </c>
      <c r="AU187" s="21">
        <f>[2]底表!CH187</f>
        <v>1</v>
      </c>
      <c r="AV187" s="21" t="str">
        <f>[2]底表!CI187</f>
        <v>少1人</v>
      </c>
      <c r="AW187" s="21">
        <f>[2]底表!CJ187</f>
        <v>0</v>
      </c>
      <c r="AX187" s="21" t="str">
        <f>[2]底表!CK187</f>
        <v>持平</v>
      </c>
      <c r="AY187" s="21">
        <f>[2]底表!CL187</f>
        <v>0</v>
      </c>
      <c r="AZ187" s="21">
        <f>[2]底表!CM187</f>
        <v>-100</v>
      </c>
      <c r="BA187" s="21">
        <f>[2]底表!CN187</f>
        <v>-1</v>
      </c>
      <c r="BB187" s="21">
        <f>[2]底表!CO187</f>
        <v>1</v>
      </c>
      <c r="BC187" s="21">
        <f>[2]底表!CP187</f>
        <v>1</v>
      </c>
      <c r="BD187" s="21">
        <f>[2]底表!CQ187</f>
        <v>0</v>
      </c>
      <c r="BE187" s="21">
        <f>[2]底表!CR187</f>
        <v>0</v>
      </c>
      <c r="BF187" s="21" t="str">
        <f>[2]底表!CS187</f>
        <v>多1人</v>
      </c>
      <c r="BG187" s="21" t="str">
        <f>[2]底表!CT187</f>
        <v/>
      </c>
      <c r="BH187" s="21" t="str">
        <f>[2]底表!CU187</f>
        <v/>
      </c>
      <c r="BI187" s="21">
        <f>[2]底表!CV187</f>
        <v>100</v>
      </c>
      <c r="BJ187" s="21">
        <f>[2]底表!CW187</f>
        <v>0</v>
      </c>
      <c r="BK187" s="21">
        <f>[2]底表!CX187</f>
        <v>0</v>
      </c>
      <c r="BL187" s="21">
        <f>[2]底表!CY187</f>
        <v>1</v>
      </c>
      <c r="BM187" s="21">
        <f>[2]底表!CZ187</f>
        <v>1</v>
      </c>
      <c r="BN187" s="23">
        <f>[2]底表!DA187</f>
        <v>0</v>
      </c>
      <c r="BO187" s="21">
        <f>[2]底表!DB187</f>
        <v>0</v>
      </c>
      <c r="BP187" s="21" t="str">
        <f>[2]底表!DC187</f>
        <v>多1人</v>
      </c>
      <c r="BQ187" s="21" t="str">
        <f>[2]底表!DD187</f>
        <v/>
      </c>
      <c r="BR187" s="21" t="str">
        <f>[2]底表!DE187</f>
        <v/>
      </c>
      <c r="BS187" s="21">
        <f>[2]底表!DF187</f>
        <v>100</v>
      </c>
      <c r="BT187" s="21">
        <f>[2]底表!DG187</f>
        <v>0</v>
      </c>
      <c r="BU187" s="21">
        <f>[2]底表!DH187</f>
        <v>0</v>
      </c>
      <c r="BV187" s="21">
        <f>[2]底表!DI187</f>
        <v>1</v>
      </c>
      <c r="BW187" s="21">
        <f>[2]底表!DJ187</f>
        <v>1</v>
      </c>
      <c r="BX187" s="23">
        <f>[2]底表!DK187</f>
        <v>0</v>
      </c>
      <c r="BY187" s="21">
        <f>[2]底表!DL187</f>
        <v>0</v>
      </c>
      <c r="BZ187" s="21" t="str">
        <f>[2]底表!DM187</f>
        <v>多1人</v>
      </c>
      <c r="CA187" s="21">
        <f>[2]底表!DN187</f>
        <v>0</v>
      </c>
      <c r="CB187" s="21">
        <f>[2]底表!DO187</f>
        <v>0</v>
      </c>
      <c r="CC187" s="21" t="str">
        <f>[2]底表!DP187</f>
        <v>持平</v>
      </c>
      <c r="CD187" s="21">
        <f>[2]底表!DQ187</f>
        <v>0</v>
      </c>
      <c r="CE187" s="21" t="str">
        <f>[2]底表!DR187</f>
        <v>持平</v>
      </c>
      <c r="CF187" s="21">
        <f>[2]底表!DS187</f>
        <v>0</v>
      </c>
      <c r="CG187" s="21">
        <f>[2]底表!DT187</f>
        <v>0</v>
      </c>
      <c r="CH187" s="21" t="str">
        <f>[2]底表!DU187</f>
        <v>持平</v>
      </c>
      <c r="CI187" s="21">
        <f>[2]底表!DV187</f>
        <v>0</v>
      </c>
      <c r="CJ187" s="21" t="str">
        <f>[2]底表!DW187</f>
        <v>持平</v>
      </c>
      <c r="CK187" s="21">
        <f>[2]底表!DX187</f>
        <v>0</v>
      </c>
      <c r="CL187" s="21">
        <f>[2]底表!DY187</f>
        <v>1</v>
      </c>
      <c r="CM187" s="21" t="str">
        <f>[2]底表!DZ187</f>
        <v>少1人</v>
      </c>
      <c r="CN187" s="21">
        <f>[2]底表!EA187</f>
        <v>0</v>
      </c>
      <c r="CO187" s="21" t="str">
        <f>[2]底表!EB187</f>
        <v>持平</v>
      </c>
      <c r="CP187" s="21">
        <f>[2]底表!EC187</f>
        <v>0</v>
      </c>
      <c r="CQ187" s="21">
        <f>[2]底表!ED187</f>
        <v>1</v>
      </c>
      <c r="CR187" s="21" t="str">
        <f>[2]底表!EE187</f>
        <v>少1人</v>
      </c>
      <c r="CS187" s="21">
        <f>[2]底表!EF187</f>
        <v>0</v>
      </c>
      <c r="CT187" s="21" t="str">
        <f>[2]底表!EG187</f>
        <v>持平</v>
      </c>
      <c r="CU187" s="21">
        <f>[2]底表!EH187</f>
        <v>0</v>
      </c>
      <c r="CV187" s="21">
        <f>[2]底表!EI187</f>
        <v>-1</v>
      </c>
      <c r="CW187" s="21">
        <f>[2]底表!EJ187</f>
        <v>0</v>
      </c>
      <c r="CX187" s="21">
        <f>[2]底表!EK187</f>
        <v>-100</v>
      </c>
      <c r="CY187" s="21">
        <f>[2]底表!EL187</f>
        <v>-1</v>
      </c>
      <c r="CZ187" s="21">
        <f>[2]底表!EM187</f>
        <v>0</v>
      </c>
      <c r="DA187" s="21">
        <f>[2]底表!EN187</f>
        <v>1</v>
      </c>
      <c r="DB187" s="21" t="str">
        <f>[2]底表!EO187</f>
        <v>少1人</v>
      </c>
      <c r="DC187" s="21">
        <f>[2]底表!EP187</f>
        <v>0</v>
      </c>
      <c r="DD187" s="21" t="str">
        <f>[2]底表!EQ187</f>
        <v>持平</v>
      </c>
      <c r="DE187" s="21">
        <f>[2]底表!ER187</f>
        <v>0</v>
      </c>
      <c r="DF187" s="21">
        <f>[2]底表!ES187</f>
        <v>0</v>
      </c>
      <c r="DG187" s="23" t="str">
        <f>[2]底表!ET187</f>
        <v>持平</v>
      </c>
      <c r="DH187" s="21">
        <f>[2]底表!EU187</f>
        <v>0</v>
      </c>
      <c r="DI187" s="21" t="str">
        <f>[2]底表!EV187</f>
        <v>持平</v>
      </c>
      <c r="DJ187" s="21">
        <f>[2]底表!EW187</f>
        <v>0</v>
      </c>
      <c r="DK187" s="21">
        <f>[2]底表!EX187</f>
        <v>0</v>
      </c>
      <c r="DL187" s="21">
        <f>[2]底表!EY187</f>
        <v>0</v>
      </c>
      <c r="DM187" s="21">
        <f>[2]底表!EZ187</f>
        <v>0</v>
      </c>
      <c r="DN187" s="21" t="str">
        <f>[2]底表!FA187</f>
        <v/>
      </c>
      <c r="DO187" s="21">
        <f>[2]底表!BQ187</f>
        <v>0</v>
      </c>
      <c r="DP187" s="21">
        <f>[2]底表!BR187</f>
        <v>0</v>
      </c>
      <c r="DQ187" s="24" t="str">
        <f>[2]底表!BS187</f>
        <v>持平</v>
      </c>
    </row>
    <row r="188" s="2" customFormat="1" ht="32" hidden="1" customHeight="1" spans="1:121">
      <c r="A188" s="27" t="str">
        <f>[2]底表!A188</f>
        <v>抢夺</v>
      </c>
      <c r="B188" s="28" t="str">
        <f>[2]底表!B188</f>
        <v>云城区</v>
      </c>
      <c r="C188" s="21">
        <f>[2]底表!AM188</f>
        <v>0</v>
      </c>
      <c r="D188" s="21">
        <f>[2]底表!AN188</f>
        <v>1</v>
      </c>
      <c r="E188" s="23" t="str">
        <f>[2]底表!AO188</f>
        <v>少1起</v>
      </c>
      <c r="F188" s="21">
        <f>[2]底表!AP188</f>
        <v>0</v>
      </c>
      <c r="G188" s="21" t="str">
        <f>[2]底表!AQ188</f>
        <v>持平</v>
      </c>
      <c r="H188" s="21" t="str">
        <f>[2]底表!AR188</f>
        <v/>
      </c>
      <c r="I188" s="21" t="str">
        <f>[2]底表!AS188</f>
        <v/>
      </c>
      <c r="J188" s="21">
        <f>[2]底表!AT188</f>
        <v>0</v>
      </c>
      <c r="K188" s="21">
        <f>[2]底表!AU188</f>
        <v>1</v>
      </c>
      <c r="L188" s="21" t="str">
        <f>[2]底表!AV188</f>
        <v>少1起</v>
      </c>
      <c r="M188" s="21">
        <f>[2]底表!AW188</f>
        <v>0</v>
      </c>
      <c r="N188" s="21" t="str">
        <f>[2]底表!AX188</f>
        <v>持平</v>
      </c>
      <c r="O188" s="21">
        <f>[2]底表!AY188</f>
        <v>0</v>
      </c>
      <c r="P188" s="21">
        <f>[2]底表!AZ188</f>
        <v>1</v>
      </c>
      <c r="Q188" s="21" t="str">
        <f>[2]底表!BA188</f>
        <v>少1起</v>
      </c>
      <c r="R188" s="21">
        <f>[2]底表!BB188</f>
        <v>0</v>
      </c>
      <c r="S188" s="21" t="str">
        <f>[2]底表!BC188</f>
        <v>持平</v>
      </c>
      <c r="T188" s="21" t="str">
        <f>[2]底表!BD188</f>
        <v/>
      </c>
      <c r="U188" s="21" t="str">
        <f>[2]底表!BE188</f>
        <v/>
      </c>
      <c r="V188" s="21">
        <f>[2]底表!BF188</f>
        <v>0</v>
      </c>
      <c r="W188" s="21">
        <f>[2]底表!BG188</f>
        <v>0</v>
      </c>
      <c r="X188" s="21" t="str">
        <f>[2]底表!BH188</f>
        <v>持平</v>
      </c>
      <c r="Y188" s="21">
        <f>[2]底表!BI188</f>
        <v>0</v>
      </c>
      <c r="Z188" s="21" t="str">
        <f>[2]底表!BJ188</f>
        <v>持平</v>
      </c>
      <c r="AA188" s="21" t="str">
        <f>[2]底表!BK188</f>
        <v/>
      </c>
      <c r="AB188" s="21">
        <f>[2]底表!BL188</f>
        <v>0</v>
      </c>
      <c r="AC188" s="21">
        <f>[2]底表!BM188</f>
        <v>0</v>
      </c>
      <c r="AD188" s="21" t="str">
        <f>[2]底表!BN188</f>
        <v>持平</v>
      </c>
      <c r="AE188" s="21">
        <f>[2]底表!BO188</f>
        <v>0</v>
      </c>
      <c r="AF188" s="21" t="str">
        <f>[2]底表!BP188</f>
        <v>持平</v>
      </c>
      <c r="AG188" s="21">
        <f>[2]底表!BT188</f>
        <v>0</v>
      </c>
      <c r="AH188" s="21" t="str">
        <f>[2]底表!BU188</f>
        <v>持平</v>
      </c>
      <c r="AI188" s="21" t="str">
        <f>[2]底表!BV188</f>
        <v/>
      </c>
      <c r="AJ188" s="21" t="str">
        <f>[2]底表!BW188</f>
        <v/>
      </c>
      <c r="AK188" s="21" t="str">
        <f>[2]底表!BX188</f>
        <v/>
      </c>
      <c r="AL188" s="21" t="str">
        <f>[2]底表!BY188</f>
        <v/>
      </c>
      <c r="AM188" s="21">
        <f>[2]底表!BZ188</f>
        <v>0</v>
      </c>
      <c r="AN188" s="21">
        <f>[2]底表!CA188</f>
        <v>0</v>
      </c>
      <c r="AO188" s="21" t="str">
        <f>[2]底表!CB188</f>
        <v>持平</v>
      </c>
      <c r="AP188" s="21">
        <f>[2]底表!CC188</f>
        <v>0</v>
      </c>
      <c r="AQ188" s="21" t="str">
        <f>[2]底表!CD188</f>
        <v>持平</v>
      </c>
      <c r="AR188" s="21" t="str">
        <f>[2]底表!CE188</f>
        <v/>
      </c>
      <c r="AS188" s="21" t="str">
        <f>[2]底表!CF188</f>
        <v/>
      </c>
      <c r="AT188" s="21">
        <f>[2]底表!CG188</f>
        <v>0</v>
      </c>
      <c r="AU188" s="21">
        <f>[2]底表!CH188</f>
        <v>1</v>
      </c>
      <c r="AV188" s="21" t="str">
        <f>[2]底表!CI188</f>
        <v>少1人</v>
      </c>
      <c r="AW188" s="21">
        <f>[2]底表!CJ188</f>
        <v>0</v>
      </c>
      <c r="AX188" s="21" t="str">
        <f>[2]底表!CK188</f>
        <v>持平</v>
      </c>
      <c r="AY188" s="21" t="str">
        <f>[2]底表!CL188</f>
        <v/>
      </c>
      <c r="AZ188" s="21" t="str">
        <f>[2]底表!CM188</f>
        <v/>
      </c>
      <c r="BA188" s="21" t="str">
        <f>[2]底表!CN188</f>
        <v/>
      </c>
      <c r="BB188" s="21">
        <f>[2]底表!CO188</f>
        <v>0</v>
      </c>
      <c r="BC188" s="21">
        <f>[2]底表!CP188</f>
        <v>1</v>
      </c>
      <c r="BD188" s="21" t="str">
        <f>[2]底表!CQ188</f>
        <v>少1人</v>
      </c>
      <c r="BE188" s="21">
        <f>[2]底表!CR188</f>
        <v>0</v>
      </c>
      <c r="BF188" s="21" t="str">
        <f>[2]底表!CS188</f>
        <v>持平</v>
      </c>
      <c r="BG188" s="21" t="str">
        <f>[2]底表!CT188</f>
        <v/>
      </c>
      <c r="BH188" s="21" t="str">
        <f>[2]底表!CU188</f>
        <v/>
      </c>
      <c r="BI188" s="21" t="str">
        <f>[2]底表!CV188</f>
        <v/>
      </c>
      <c r="BJ188" s="21" t="str">
        <f>[2]底表!CW188</f>
        <v/>
      </c>
      <c r="BK188" s="21" t="str">
        <f>[2]底表!CX188</f>
        <v/>
      </c>
      <c r="BL188" s="21">
        <f>[2]底表!CY188</f>
        <v>0</v>
      </c>
      <c r="BM188" s="21">
        <f>[2]底表!CZ188</f>
        <v>1</v>
      </c>
      <c r="BN188" s="23" t="str">
        <f>[2]底表!DA188</f>
        <v>少1人</v>
      </c>
      <c r="BO188" s="21">
        <f>[2]底表!DB188</f>
        <v>0</v>
      </c>
      <c r="BP188" s="21" t="str">
        <f>[2]底表!DC188</f>
        <v>持平</v>
      </c>
      <c r="BQ188" s="21" t="str">
        <f>[2]底表!DD188</f>
        <v/>
      </c>
      <c r="BR188" s="21" t="str">
        <f>[2]底表!DE188</f>
        <v/>
      </c>
      <c r="BS188" s="21" t="str">
        <f>[2]底表!DF188</f>
        <v/>
      </c>
      <c r="BT188" s="21" t="str">
        <f>[2]底表!DG188</f>
        <v/>
      </c>
      <c r="BU188" s="21" t="str">
        <f>[2]底表!DH188</f>
        <v/>
      </c>
      <c r="BV188" s="21">
        <f>[2]底表!DI188</f>
        <v>0</v>
      </c>
      <c r="BW188" s="21">
        <f>[2]底表!DJ188</f>
        <v>0</v>
      </c>
      <c r="BX188" s="23" t="str">
        <f>[2]底表!DK188</f>
        <v>持平</v>
      </c>
      <c r="BY188" s="21">
        <f>[2]底表!DL188</f>
        <v>0</v>
      </c>
      <c r="BZ188" s="21" t="str">
        <f>[2]底表!DM188</f>
        <v>持平</v>
      </c>
      <c r="CA188" s="21">
        <f>[2]底表!DN188</f>
        <v>0</v>
      </c>
      <c r="CB188" s="21">
        <f>[2]底表!DO188</f>
        <v>0</v>
      </c>
      <c r="CC188" s="21" t="str">
        <f>[2]底表!DP188</f>
        <v>持平</v>
      </c>
      <c r="CD188" s="21">
        <f>[2]底表!DQ188</f>
        <v>0</v>
      </c>
      <c r="CE188" s="21" t="str">
        <f>[2]底表!DR188</f>
        <v>持平</v>
      </c>
      <c r="CF188" s="21">
        <f>[2]底表!DS188</f>
        <v>0</v>
      </c>
      <c r="CG188" s="21">
        <f>[2]底表!DT188</f>
        <v>0</v>
      </c>
      <c r="CH188" s="21" t="str">
        <f>[2]底表!DU188</f>
        <v>持平</v>
      </c>
      <c r="CI188" s="21">
        <f>[2]底表!DV188</f>
        <v>0</v>
      </c>
      <c r="CJ188" s="21" t="str">
        <f>[2]底表!DW188</f>
        <v>持平</v>
      </c>
      <c r="CK188" s="21">
        <f>[2]底表!DX188</f>
        <v>0</v>
      </c>
      <c r="CL188" s="21">
        <f>[2]底表!DY188</f>
        <v>1</v>
      </c>
      <c r="CM188" s="21" t="str">
        <f>[2]底表!DZ188</f>
        <v>少1人</v>
      </c>
      <c r="CN188" s="21">
        <f>[2]底表!EA188</f>
        <v>0</v>
      </c>
      <c r="CO188" s="21" t="str">
        <f>[2]底表!EB188</f>
        <v>持平</v>
      </c>
      <c r="CP188" s="21">
        <f>[2]底表!EC188</f>
        <v>0</v>
      </c>
      <c r="CQ188" s="21">
        <f>[2]底表!ED188</f>
        <v>1</v>
      </c>
      <c r="CR188" s="21" t="str">
        <f>[2]底表!EE188</f>
        <v>少1人</v>
      </c>
      <c r="CS188" s="21">
        <f>[2]底表!EF188</f>
        <v>0</v>
      </c>
      <c r="CT188" s="21" t="str">
        <f>[2]底表!EG188</f>
        <v>持平</v>
      </c>
      <c r="CU188" s="21" t="str">
        <f>[2]底表!EH188</f>
        <v/>
      </c>
      <c r="CV188" s="21" t="str">
        <f>[2]底表!EI188</f>
        <v/>
      </c>
      <c r="CW188" s="21" t="str">
        <f>[2]底表!EJ188</f>
        <v/>
      </c>
      <c r="CX188" s="21" t="str">
        <f>[2]底表!EK188</f>
        <v/>
      </c>
      <c r="CY188" s="21" t="str">
        <f>[2]底表!EL188</f>
        <v/>
      </c>
      <c r="CZ188" s="21">
        <f>[2]底表!EM188</f>
        <v>0</v>
      </c>
      <c r="DA188" s="21">
        <f>[2]底表!EN188</f>
        <v>1</v>
      </c>
      <c r="DB188" s="21" t="str">
        <f>[2]底表!EO188</f>
        <v>少1人</v>
      </c>
      <c r="DC188" s="21">
        <f>[2]底表!EP188</f>
        <v>0</v>
      </c>
      <c r="DD188" s="21" t="str">
        <f>[2]底表!EQ188</f>
        <v>持平</v>
      </c>
      <c r="DE188" s="21">
        <f>[2]底表!ER188</f>
        <v>0</v>
      </c>
      <c r="DF188" s="21">
        <f>[2]底表!ES188</f>
        <v>0</v>
      </c>
      <c r="DG188" s="23" t="str">
        <f>[2]底表!ET188</f>
        <v>持平</v>
      </c>
      <c r="DH188" s="21">
        <f>[2]底表!EU188</f>
        <v>0</v>
      </c>
      <c r="DI188" s="21" t="str">
        <f>[2]底表!EV188</f>
        <v>持平</v>
      </c>
      <c r="DJ188" s="21" t="str">
        <f>[2]底表!EW188</f>
        <v/>
      </c>
      <c r="DK188" s="21" t="str">
        <f>[2]底表!EX188</f>
        <v/>
      </c>
      <c r="DL188" s="21" t="str">
        <f>[2]底表!EY188</f>
        <v/>
      </c>
      <c r="DM188" s="21" t="str">
        <f>[2]底表!EZ188</f>
        <v/>
      </c>
      <c r="DN188" s="21" t="str">
        <f>[2]底表!FA188</f>
        <v/>
      </c>
      <c r="DO188" s="21">
        <f>[2]底表!BQ188</f>
        <v>0</v>
      </c>
      <c r="DP188" s="21">
        <f>[2]底表!BR188</f>
        <v>0</v>
      </c>
      <c r="DQ188" s="24" t="str">
        <f>[2]底表!BS188</f>
        <v>持平</v>
      </c>
    </row>
    <row r="189" s="2" customFormat="1" ht="32" hidden="1" customHeight="1" spans="1:121">
      <c r="A189" s="27" t="str">
        <f>[2]底表!A189</f>
        <v>抢夺</v>
      </c>
      <c r="B189" s="28" t="str">
        <f>[2]底表!B189</f>
        <v>云安区</v>
      </c>
      <c r="C189" s="21">
        <f>[2]底表!AM189</f>
        <v>0</v>
      </c>
      <c r="D189" s="21">
        <f>[2]底表!AN189</f>
        <v>0</v>
      </c>
      <c r="E189" s="23" t="str">
        <f>[2]底表!AO189</f>
        <v>持平</v>
      </c>
      <c r="F189" s="21">
        <f>[2]底表!AP189</f>
        <v>0</v>
      </c>
      <c r="G189" s="21" t="str">
        <f>[2]底表!AQ189</f>
        <v>持平</v>
      </c>
      <c r="H189" s="21" t="str">
        <f>[2]底表!AR189</f>
        <v/>
      </c>
      <c r="I189" s="21" t="str">
        <f>[2]底表!AS189</f>
        <v/>
      </c>
      <c r="J189" s="21">
        <f>[2]底表!AT189</f>
        <v>0</v>
      </c>
      <c r="K189" s="21">
        <f>[2]底表!AU189</f>
        <v>0</v>
      </c>
      <c r="L189" s="21" t="str">
        <f>[2]底表!AV189</f>
        <v>持平</v>
      </c>
      <c r="M189" s="21">
        <f>[2]底表!AW189</f>
        <v>0</v>
      </c>
      <c r="N189" s="21" t="str">
        <f>[2]底表!AX189</f>
        <v>持平</v>
      </c>
      <c r="O189" s="21">
        <f>[2]底表!AY189</f>
        <v>0</v>
      </c>
      <c r="P189" s="21">
        <f>[2]底表!AZ189</f>
        <v>0</v>
      </c>
      <c r="Q189" s="21" t="str">
        <f>[2]底表!BA189</f>
        <v>持平</v>
      </c>
      <c r="R189" s="21">
        <f>[2]底表!BB189</f>
        <v>0</v>
      </c>
      <c r="S189" s="21" t="str">
        <f>[2]底表!BC189</f>
        <v>持平</v>
      </c>
      <c r="T189" s="21" t="str">
        <f>[2]底表!BD189</f>
        <v/>
      </c>
      <c r="U189" s="21" t="str">
        <f>[2]底表!BE189</f>
        <v/>
      </c>
      <c r="V189" s="21">
        <f>[2]底表!BF189</f>
        <v>0</v>
      </c>
      <c r="W189" s="21">
        <f>[2]底表!BG189</f>
        <v>0</v>
      </c>
      <c r="X189" s="21" t="str">
        <f>[2]底表!BH189</f>
        <v>持平</v>
      </c>
      <c r="Y189" s="21">
        <f>[2]底表!BI189</f>
        <v>0</v>
      </c>
      <c r="Z189" s="21" t="str">
        <f>[2]底表!BJ189</f>
        <v>持平</v>
      </c>
      <c r="AA189" s="21" t="str">
        <f>[2]底表!BK189</f>
        <v/>
      </c>
      <c r="AB189" s="21">
        <f>[2]底表!BL189</f>
        <v>0</v>
      </c>
      <c r="AC189" s="21">
        <f>[2]底表!BM189</f>
        <v>0</v>
      </c>
      <c r="AD189" s="21" t="str">
        <f>[2]底表!BN189</f>
        <v>持平</v>
      </c>
      <c r="AE189" s="21">
        <f>[2]底表!BO189</f>
        <v>0</v>
      </c>
      <c r="AF189" s="21" t="str">
        <f>[2]底表!BP189</f>
        <v>持平</v>
      </c>
      <c r="AG189" s="21">
        <f>[2]底表!BT189</f>
        <v>0</v>
      </c>
      <c r="AH189" s="21" t="str">
        <f>[2]底表!BU189</f>
        <v>持平</v>
      </c>
      <c r="AI189" s="21" t="str">
        <f>[2]底表!BV189</f>
        <v/>
      </c>
      <c r="AJ189" s="21" t="str">
        <f>[2]底表!BW189</f>
        <v/>
      </c>
      <c r="AK189" s="21" t="str">
        <f>[2]底表!BX189</f>
        <v/>
      </c>
      <c r="AL189" s="21" t="str">
        <f>[2]底表!BY189</f>
        <v/>
      </c>
      <c r="AM189" s="21">
        <f>[2]底表!BZ189</f>
        <v>0</v>
      </c>
      <c r="AN189" s="21">
        <f>[2]底表!CA189</f>
        <v>0</v>
      </c>
      <c r="AO189" s="21" t="str">
        <f>[2]底表!CB189</f>
        <v>持平</v>
      </c>
      <c r="AP189" s="21">
        <f>[2]底表!CC189</f>
        <v>0</v>
      </c>
      <c r="AQ189" s="21" t="str">
        <f>[2]底表!CD189</f>
        <v>持平</v>
      </c>
      <c r="AR189" s="21" t="str">
        <f>[2]底表!CE189</f>
        <v/>
      </c>
      <c r="AS189" s="21" t="str">
        <f>[2]底表!CF189</f>
        <v/>
      </c>
      <c r="AT189" s="21">
        <f>[2]底表!CG189</f>
        <v>0</v>
      </c>
      <c r="AU189" s="21">
        <f>[2]底表!CH189</f>
        <v>0</v>
      </c>
      <c r="AV189" s="21" t="str">
        <f>[2]底表!CI189</f>
        <v>持平</v>
      </c>
      <c r="AW189" s="21">
        <f>[2]底表!CJ189</f>
        <v>0</v>
      </c>
      <c r="AX189" s="21" t="str">
        <f>[2]底表!CK189</f>
        <v>持平</v>
      </c>
      <c r="AY189" s="21" t="str">
        <f>[2]底表!CL189</f>
        <v/>
      </c>
      <c r="AZ189" s="21" t="str">
        <f>[2]底表!CM189</f>
        <v/>
      </c>
      <c r="BA189" s="21" t="str">
        <f>[2]底表!CN189</f>
        <v/>
      </c>
      <c r="BB189" s="21">
        <f>[2]底表!CO189</f>
        <v>0</v>
      </c>
      <c r="BC189" s="21">
        <f>[2]底表!CP189</f>
        <v>0</v>
      </c>
      <c r="BD189" s="21" t="str">
        <f>[2]底表!CQ189</f>
        <v>持平</v>
      </c>
      <c r="BE189" s="21">
        <f>[2]底表!CR189</f>
        <v>0</v>
      </c>
      <c r="BF189" s="21" t="str">
        <f>[2]底表!CS189</f>
        <v>持平</v>
      </c>
      <c r="BG189" s="21" t="str">
        <f>[2]底表!CT189</f>
        <v/>
      </c>
      <c r="BH189" s="21" t="str">
        <f>[2]底表!CU189</f>
        <v/>
      </c>
      <c r="BI189" s="21" t="str">
        <f>[2]底表!CV189</f>
        <v/>
      </c>
      <c r="BJ189" s="21" t="str">
        <f>[2]底表!CW189</f>
        <v/>
      </c>
      <c r="BK189" s="21" t="str">
        <f>[2]底表!CX189</f>
        <v/>
      </c>
      <c r="BL189" s="21">
        <f>[2]底表!CY189</f>
        <v>0</v>
      </c>
      <c r="BM189" s="21">
        <f>[2]底表!CZ189</f>
        <v>0</v>
      </c>
      <c r="BN189" s="23" t="str">
        <f>[2]底表!DA189</f>
        <v>持平</v>
      </c>
      <c r="BO189" s="21">
        <f>[2]底表!DB189</f>
        <v>0</v>
      </c>
      <c r="BP189" s="21" t="str">
        <f>[2]底表!DC189</f>
        <v>持平</v>
      </c>
      <c r="BQ189" s="21" t="str">
        <f>[2]底表!DD189</f>
        <v/>
      </c>
      <c r="BR189" s="21" t="str">
        <f>[2]底表!DE189</f>
        <v/>
      </c>
      <c r="BS189" s="21" t="str">
        <f>[2]底表!DF189</f>
        <v/>
      </c>
      <c r="BT189" s="21" t="str">
        <f>[2]底表!DG189</f>
        <v/>
      </c>
      <c r="BU189" s="21" t="str">
        <f>[2]底表!DH189</f>
        <v/>
      </c>
      <c r="BV189" s="21">
        <f>[2]底表!DI189</f>
        <v>0</v>
      </c>
      <c r="BW189" s="21">
        <f>[2]底表!DJ189</f>
        <v>0</v>
      </c>
      <c r="BX189" s="23" t="str">
        <f>[2]底表!DK189</f>
        <v>持平</v>
      </c>
      <c r="BY189" s="21">
        <f>[2]底表!DL189</f>
        <v>0</v>
      </c>
      <c r="BZ189" s="21" t="str">
        <f>[2]底表!DM189</f>
        <v>持平</v>
      </c>
      <c r="CA189" s="21">
        <f>[2]底表!DN189</f>
        <v>0</v>
      </c>
      <c r="CB189" s="21">
        <f>[2]底表!DO189</f>
        <v>0</v>
      </c>
      <c r="CC189" s="21" t="str">
        <f>[2]底表!DP189</f>
        <v>持平</v>
      </c>
      <c r="CD189" s="21">
        <f>[2]底表!DQ189</f>
        <v>0</v>
      </c>
      <c r="CE189" s="21" t="str">
        <f>[2]底表!DR189</f>
        <v>持平</v>
      </c>
      <c r="CF189" s="21">
        <f>[2]底表!DS189</f>
        <v>0</v>
      </c>
      <c r="CG189" s="21">
        <f>[2]底表!DT189</f>
        <v>0</v>
      </c>
      <c r="CH189" s="21" t="str">
        <f>[2]底表!DU189</f>
        <v>持平</v>
      </c>
      <c r="CI189" s="21">
        <f>[2]底表!DV189</f>
        <v>0</v>
      </c>
      <c r="CJ189" s="21" t="str">
        <f>[2]底表!DW189</f>
        <v>持平</v>
      </c>
      <c r="CK189" s="21">
        <f>[2]底表!DX189</f>
        <v>0</v>
      </c>
      <c r="CL189" s="21">
        <f>[2]底表!DY189</f>
        <v>0</v>
      </c>
      <c r="CM189" s="21" t="str">
        <f>[2]底表!DZ189</f>
        <v>持平</v>
      </c>
      <c r="CN189" s="21">
        <f>[2]底表!EA189</f>
        <v>0</v>
      </c>
      <c r="CO189" s="21" t="str">
        <f>[2]底表!EB189</f>
        <v>持平</v>
      </c>
      <c r="CP189" s="21">
        <f>[2]底表!EC189</f>
        <v>0</v>
      </c>
      <c r="CQ189" s="21">
        <f>[2]底表!ED189</f>
        <v>0</v>
      </c>
      <c r="CR189" s="21" t="str">
        <f>[2]底表!EE189</f>
        <v>持平</v>
      </c>
      <c r="CS189" s="21">
        <f>[2]底表!EF189</f>
        <v>0</v>
      </c>
      <c r="CT189" s="21" t="str">
        <f>[2]底表!EG189</f>
        <v>持平</v>
      </c>
      <c r="CU189" s="21" t="str">
        <f>[2]底表!EH189</f>
        <v/>
      </c>
      <c r="CV189" s="21" t="str">
        <f>[2]底表!EI189</f>
        <v/>
      </c>
      <c r="CW189" s="21" t="str">
        <f>[2]底表!EJ189</f>
        <v/>
      </c>
      <c r="CX189" s="21" t="str">
        <f>[2]底表!EK189</f>
        <v/>
      </c>
      <c r="CY189" s="21" t="str">
        <f>[2]底表!EL189</f>
        <v/>
      </c>
      <c r="CZ189" s="21">
        <f>[2]底表!EM189</f>
        <v>0</v>
      </c>
      <c r="DA189" s="21">
        <f>[2]底表!EN189</f>
        <v>0</v>
      </c>
      <c r="DB189" s="21" t="str">
        <f>[2]底表!EO189</f>
        <v>持平</v>
      </c>
      <c r="DC189" s="21">
        <f>[2]底表!EP189</f>
        <v>0</v>
      </c>
      <c r="DD189" s="21" t="str">
        <f>[2]底表!EQ189</f>
        <v>持平</v>
      </c>
      <c r="DE189" s="21">
        <f>[2]底表!ER189</f>
        <v>0</v>
      </c>
      <c r="DF189" s="21">
        <f>[2]底表!ES189</f>
        <v>0</v>
      </c>
      <c r="DG189" s="23" t="str">
        <f>[2]底表!ET189</f>
        <v>持平</v>
      </c>
      <c r="DH189" s="21">
        <f>[2]底表!EU189</f>
        <v>0</v>
      </c>
      <c r="DI189" s="21" t="str">
        <f>[2]底表!EV189</f>
        <v>持平</v>
      </c>
      <c r="DJ189" s="21" t="str">
        <f>[2]底表!EW189</f>
        <v/>
      </c>
      <c r="DK189" s="21" t="str">
        <f>[2]底表!EX189</f>
        <v/>
      </c>
      <c r="DL189" s="21" t="str">
        <f>[2]底表!EY189</f>
        <v/>
      </c>
      <c r="DM189" s="21" t="str">
        <f>[2]底表!EZ189</f>
        <v/>
      </c>
      <c r="DN189" s="21" t="str">
        <f>[2]底表!FA189</f>
        <v/>
      </c>
      <c r="DO189" s="21">
        <f>[2]底表!BQ189</f>
        <v>0</v>
      </c>
      <c r="DP189" s="21">
        <f>[2]底表!BR189</f>
        <v>0</v>
      </c>
      <c r="DQ189" s="24" t="str">
        <f>[2]底表!BS189</f>
        <v>持平</v>
      </c>
    </row>
    <row r="190" s="2" customFormat="1" ht="32" hidden="1" customHeight="1" spans="1:121">
      <c r="A190" s="27" t="str">
        <f>[2]底表!A190</f>
        <v>抢夺</v>
      </c>
      <c r="B190" s="28" t="str">
        <f>[2]底表!B190</f>
        <v>新兴县</v>
      </c>
      <c r="C190" s="21">
        <f>[2]底表!AM190</f>
        <v>0</v>
      </c>
      <c r="D190" s="21">
        <f>[2]底表!AN190</f>
        <v>0</v>
      </c>
      <c r="E190" s="23" t="str">
        <f>[2]底表!AO190</f>
        <v>持平</v>
      </c>
      <c r="F190" s="21">
        <f>[2]底表!AP190</f>
        <v>0</v>
      </c>
      <c r="G190" s="21" t="str">
        <f>[2]底表!AQ190</f>
        <v>持平</v>
      </c>
      <c r="H190" s="21" t="str">
        <f>[2]底表!AR190</f>
        <v/>
      </c>
      <c r="I190" s="21" t="str">
        <f>[2]底表!AS190</f>
        <v/>
      </c>
      <c r="J190" s="21">
        <f>[2]底表!AT190</f>
        <v>0</v>
      </c>
      <c r="K190" s="21">
        <f>[2]底表!AU190</f>
        <v>0</v>
      </c>
      <c r="L190" s="21" t="str">
        <f>[2]底表!AV190</f>
        <v>持平</v>
      </c>
      <c r="M190" s="21">
        <f>[2]底表!AW190</f>
        <v>0</v>
      </c>
      <c r="N190" s="21" t="str">
        <f>[2]底表!AX190</f>
        <v>持平</v>
      </c>
      <c r="O190" s="21">
        <f>[2]底表!AY190</f>
        <v>0</v>
      </c>
      <c r="P190" s="21">
        <f>[2]底表!AZ190</f>
        <v>0</v>
      </c>
      <c r="Q190" s="21" t="str">
        <f>[2]底表!BA190</f>
        <v>持平</v>
      </c>
      <c r="R190" s="21">
        <f>[2]底表!BB190</f>
        <v>0</v>
      </c>
      <c r="S190" s="21" t="str">
        <f>[2]底表!BC190</f>
        <v>持平</v>
      </c>
      <c r="T190" s="21" t="str">
        <f>[2]底表!BD190</f>
        <v/>
      </c>
      <c r="U190" s="21" t="str">
        <f>[2]底表!BE190</f>
        <v/>
      </c>
      <c r="V190" s="21">
        <f>[2]底表!BF190</f>
        <v>0</v>
      </c>
      <c r="W190" s="21">
        <f>[2]底表!BG190</f>
        <v>0</v>
      </c>
      <c r="X190" s="21" t="str">
        <f>[2]底表!BH190</f>
        <v>持平</v>
      </c>
      <c r="Y190" s="21">
        <f>[2]底表!BI190</f>
        <v>0</v>
      </c>
      <c r="Z190" s="21" t="str">
        <f>[2]底表!BJ190</f>
        <v>持平</v>
      </c>
      <c r="AA190" s="21" t="str">
        <f>[2]底表!BK190</f>
        <v/>
      </c>
      <c r="AB190" s="21">
        <f>[2]底表!BL190</f>
        <v>0</v>
      </c>
      <c r="AC190" s="21">
        <f>[2]底表!BM190</f>
        <v>0</v>
      </c>
      <c r="AD190" s="21" t="str">
        <f>[2]底表!BN190</f>
        <v>持平</v>
      </c>
      <c r="AE190" s="21">
        <f>[2]底表!BO190</f>
        <v>0</v>
      </c>
      <c r="AF190" s="21" t="str">
        <f>[2]底表!BP190</f>
        <v>持平</v>
      </c>
      <c r="AG190" s="21">
        <f>[2]底表!BT190</f>
        <v>0</v>
      </c>
      <c r="AH190" s="21" t="str">
        <f>[2]底表!BU190</f>
        <v>持平</v>
      </c>
      <c r="AI190" s="21" t="str">
        <f>[2]底表!BV190</f>
        <v/>
      </c>
      <c r="AJ190" s="21" t="str">
        <f>[2]底表!BW190</f>
        <v/>
      </c>
      <c r="AK190" s="21" t="str">
        <f>[2]底表!BX190</f>
        <v/>
      </c>
      <c r="AL190" s="21" t="str">
        <f>[2]底表!BY190</f>
        <v/>
      </c>
      <c r="AM190" s="21">
        <f>[2]底表!BZ190</f>
        <v>0</v>
      </c>
      <c r="AN190" s="21">
        <f>[2]底表!CA190</f>
        <v>0</v>
      </c>
      <c r="AO190" s="21" t="str">
        <f>[2]底表!CB190</f>
        <v>持平</v>
      </c>
      <c r="AP190" s="21">
        <f>[2]底表!CC190</f>
        <v>0</v>
      </c>
      <c r="AQ190" s="21" t="str">
        <f>[2]底表!CD190</f>
        <v>持平</v>
      </c>
      <c r="AR190" s="21" t="str">
        <f>[2]底表!CE190</f>
        <v/>
      </c>
      <c r="AS190" s="21" t="str">
        <f>[2]底表!CF190</f>
        <v/>
      </c>
      <c r="AT190" s="21">
        <f>[2]底表!CG190</f>
        <v>0</v>
      </c>
      <c r="AU190" s="21">
        <f>[2]底表!CH190</f>
        <v>0</v>
      </c>
      <c r="AV190" s="21" t="str">
        <f>[2]底表!CI190</f>
        <v>持平</v>
      </c>
      <c r="AW190" s="21">
        <f>[2]底表!CJ190</f>
        <v>0</v>
      </c>
      <c r="AX190" s="21" t="str">
        <f>[2]底表!CK190</f>
        <v>持平</v>
      </c>
      <c r="AY190" s="21" t="str">
        <f>[2]底表!CL190</f>
        <v/>
      </c>
      <c r="AZ190" s="21" t="str">
        <f>[2]底表!CM190</f>
        <v/>
      </c>
      <c r="BA190" s="21" t="str">
        <f>[2]底表!CN190</f>
        <v/>
      </c>
      <c r="BB190" s="21">
        <f>[2]底表!CO190</f>
        <v>0</v>
      </c>
      <c r="BC190" s="21">
        <f>[2]底表!CP190</f>
        <v>0</v>
      </c>
      <c r="BD190" s="21" t="str">
        <f>[2]底表!CQ190</f>
        <v>持平</v>
      </c>
      <c r="BE190" s="21">
        <f>[2]底表!CR190</f>
        <v>0</v>
      </c>
      <c r="BF190" s="21" t="str">
        <f>[2]底表!CS190</f>
        <v>持平</v>
      </c>
      <c r="BG190" s="21" t="str">
        <f>[2]底表!CT190</f>
        <v/>
      </c>
      <c r="BH190" s="21" t="str">
        <f>[2]底表!CU190</f>
        <v/>
      </c>
      <c r="BI190" s="21" t="str">
        <f>[2]底表!CV190</f>
        <v/>
      </c>
      <c r="BJ190" s="21" t="str">
        <f>[2]底表!CW190</f>
        <v/>
      </c>
      <c r="BK190" s="21" t="str">
        <f>[2]底表!CX190</f>
        <v/>
      </c>
      <c r="BL190" s="21">
        <f>[2]底表!CY190</f>
        <v>0</v>
      </c>
      <c r="BM190" s="21">
        <f>[2]底表!CZ190</f>
        <v>0</v>
      </c>
      <c r="BN190" s="23" t="str">
        <f>[2]底表!DA190</f>
        <v>持平</v>
      </c>
      <c r="BO190" s="21">
        <f>[2]底表!DB190</f>
        <v>0</v>
      </c>
      <c r="BP190" s="21" t="str">
        <f>[2]底表!DC190</f>
        <v>持平</v>
      </c>
      <c r="BQ190" s="21" t="str">
        <f>[2]底表!DD190</f>
        <v/>
      </c>
      <c r="BR190" s="21" t="str">
        <f>[2]底表!DE190</f>
        <v/>
      </c>
      <c r="BS190" s="21" t="str">
        <f>[2]底表!DF190</f>
        <v/>
      </c>
      <c r="BT190" s="21" t="str">
        <f>[2]底表!DG190</f>
        <v/>
      </c>
      <c r="BU190" s="21" t="str">
        <f>[2]底表!DH190</f>
        <v/>
      </c>
      <c r="BV190" s="21">
        <f>[2]底表!DI190</f>
        <v>0</v>
      </c>
      <c r="BW190" s="21">
        <f>[2]底表!DJ190</f>
        <v>0</v>
      </c>
      <c r="BX190" s="23" t="str">
        <f>[2]底表!DK190</f>
        <v>持平</v>
      </c>
      <c r="BY190" s="21">
        <f>[2]底表!DL190</f>
        <v>0</v>
      </c>
      <c r="BZ190" s="21" t="str">
        <f>[2]底表!DM190</f>
        <v>持平</v>
      </c>
      <c r="CA190" s="21">
        <f>[2]底表!DN190</f>
        <v>0</v>
      </c>
      <c r="CB190" s="21">
        <f>[2]底表!DO190</f>
        <v>0</v>
      </c>
      <c r="CC190" s="21" t="str">
        <f>[2]底表!DP190</f>
        <v>持平</v>
      </c>
      <c r="CD190" s="21">
        <f>[2]底表!DQ190</f>
        <v>0</v>
      </c>
      <c r="CE190" s="21" t="str">
        <f>[2]底表!DR190</f>
        <v>持平</v>
      </c>
      <c r="CF190" s="21">
        <f>[2]底表!DS190</f>
        <v>0</v>
      </c>
      <c r="CG190" s="21">
        <f>[2]底表!DT190</f>
        <v>0</v>
      </c>
      <c r="CH190" s="21" t="str">
        <f>[2]底表!DU190</f>
        <v>持平</v>
      </c>
      <c r="CI190" s="21">
        <f>[2]底表!DV190</f>
        <v>0</v>
      </c>
      <c r="CJ190" s="21" t="str">
        <f>[2]底表!DW190</f>
        <v>持平</v>
      </c>
      <c r="CK190" s="21">
        <f>[2]底表!DX190</f>
        <v>0</v>
      </c>
      <c r="CL190" s="21">
        <f>[2]底表!DY190</f>
        <v>0</v>
      </c>
      <c r="CM190" s="21" t="str">
        <f>[2]底表!DZ190</f>
        <v>持平</v>
      </c>
      <c r="CN190" s="21">
        <f>[2]底表!EA190</f>
        <v>0</v>
      </c>
      <c r="CO190" s="21" t="str">
        <f>[2]底表!EB190</f>
        <v>持平</v>
      </c>
      <c r="CP190" s="21">
        <f>[2]底表!EC190</f>
        <v>0</v>
      </c>
      <c r="CQ190" s="21">
        <f>[2]底表!ED190</f>
        <v>0</v>
      </c>
      <c r="CR190" s="21" t="str">
        <f>[2]底表!EE190</f>
        <v>持平</v>
      </c>
      <c r="CS190" s="21">
        <f>[2]底表!EF190</f>
        <v>0</v>
      </c>
      <c r="CT190" s="21" t="str">
        <f>[2]底表!EG190</f>
        <v>持平</v>
      </c>
      <c r="CU190" s="21" t="str">
        <f>[2]底表!EH190</f>
        <v/>
      </c>
      <c r="CV190" s="21" t="str">
        <f>[2]底表!EI190</f>
        <v/>
      </c>
      <c r="CW190" s="21" t="str">
        <f>[2]底表!EJ190</f>
        <v/>
      </c>
      <c r="CX190" s="21" t="str">
        <f>[2]底表!EK190</f>
        <v/>
      </c>
      <c r="CY190" s="21" t="str">
        <f>[2]底表!EL190</f>
        <v/>
      </c>
      <c r="CZ190" s="21">
        <f>[2]底表!EM190</f>
        <v>0</v>
      </c>
      <c r="DA190" s="21">
        <f>[2]底表!EN190</f>
        <v>0</v>
      </c>
      <c r="DB190" s="21" t="str">
        <f>[2]底表!EO190</f>
        <v>持平</v>
      </c>
      <c r="DC190" s="21">
        <f>[2]底表!EP190</f>
        <v>0</v>
      </c>
      <c r="DD190" s="21" t="str">
        <f>[2]底表!EQ190</f>
        <v>持平</v>
      </c>
      <c r="DE190" s="21">
        <f>[2]底表!ER190</f>
        <v>0</v>
      </c>
      <c r="DF190" s="21">
        <f>[2]底表!ES190</f>
        <v>0</v>
      </c>
      <c r="DG190" s="23" t="str">
        <f>[2]底表!ET190</f>
        <v>持平</v>
      </c>
      <c r="DH190" s="21">
        <f>[2]底表!EU190</f>
        <v>0</v>
      </c>
      <c r="DI190" s="21" t="str">
        <f>[2]底表!EV190</f>
        <v>持平</v>
      </c>
      <c r="DJ190" s="21" t="str">
        <f>[2]底表!EW190</f>
        <v/>
      </c>
      <c r="DK190" s="21" t="str">
        <f>[2]底表!EX190</f>
        <v/>
      </c>
      <c r="DL190" s="21" t="str">
        <f>[2]底表!EY190</f>
        <v/>
      </c>
      <c r="DM190" s="21" t="str">
        <f>[2]底表!EZ190</f>
        <v/>
      </c>
      <c r="DN190" s="21" t="str">
        <f>[2]底表!FA190</f>
        <v/>
      </c>
      <c r="DO190" s="21">
        <f>[2]底表!BQ190</f>
        <v>0</v>
      </c>
      <c r="DP190" s="21">
        <f>[2]底表!BR190</f>
        <v>0</v>
      </c>
      <c r="DQ190" s="24" t="str">
        <f>[2]底表!BS190</f>
        <v>持平</v>
      </c>
    </row>
    <row r="191" s="2" customFormat="1" ht="32" hidden="1" customHeight="1" spans="1:121">
      <c r="A191" s="27" t="str">
        <f>[2]底表!A191</f>
        <v>抢夺</v>
      </c>
      <c r="B191" s="28" t="str">
        <f>[2]底表!B191</f>
        <v>郁南县</v>
      </c>
      <c r="C191" s="21">
        <f>[2]底表!AM191</f>
        <v>1</v>
      </c>
      <c r="D191" s="21">
        <f>[2]底表!AN191</f>
        <v>0</v>
      </c>
      <c r="E191" s="23" t="str">
        <f>[2]底表!AO191</f>
        <v>多1起</v>
      </c>
      <c r="F191" s="21">
        <f>[2]底表!AP191</f>
        <v>0</v>
      </c>
      <c r="G191" s="21" t="str">
        <f>[2]底表!AQ191</f>
        <v>多1起</v>
      </c>
      <c r="H191" s="21">
        <f>[2]底表!AR191</f>
        <v>1</v>
      </c>
      <c r="I191" s="21" t="str">
        <f>[2]底表!AS191</f>
        <v/>
      </c>
      <c r="J191" s="21">
        <f>[2]底表!AT191</f>
        <v>1</v>
      </c>
      <c r="K191" s="21">
        <f>[2]底表!AU191</f>
        <v>0</v>
      </c>
      <c r="L191" s="21" t="str">
        <f>[2]底表!AV191</f>
        <v>多1起</v>
      </c>
      <c r="M191" s="21">
        <f>[2]底表!AW191</f>
        <v>0</v>
      </c>
      <c r="N191" s="21" t="str">
        <f>[2]底表!AX191</f>
        <v>多1起</v>
      </c>
      <c r="O191" s="21">
        <f>[2]底表!AY191</f>
        <v>1</v>
      </c>
      <c r="P191" s="21">
        <f>[2]底表!AZ191</f>
        <v>0</v>
      </c>
      <c r="Q191" s="21" t="str">
        <f>[2]底表!BA191</f>
        <v>多1起</v>
      </c>
      <c r="R191" s="21">
        <f>[2]底表!BB191</f>
        <v>0</v>
      </c>
      <c r="S191" s="21" t="str">
        <f>[2]底表!BC191</f>
        <v>多1起</v>
      </c>
      <c r="T191" s="21">
        <f>[2]底表!BD191</f>
        <v>1</v>
      </c>
      <c r="U191" s="21" t="str">
        <f>[2]底表!BE191</f>
        <v/>
      </c>
      <c r="V191" s="21">
        <f>[2]底表!BF191</f>
        <v>0</v>
      </c>
      <c r="W191" s="21">
        <f>[2]底表!BG191</f>
        <v>0</v>
      </c>
      <c r="X191" s="21" t="str">
        <f>[2]底表!BH191</f>
        <v>持平</v>
      </c>
      <c r="Y191" s="21">
        <f>[2]底表!BI191</f>
        <v>0</v>
      </c>
      <c r="Z191" s="21" t="str">
        <f>[2]底表!BJ191</f>
        <v>持平</v>
      </c>
      <c r="AA191" s="21">
        <f>[2]底表!BK191</f>
        <v>0</v>
      </c>
      <c r="AB191" s="21">
        <f>[2]底表!BL191</f>
        <v>0</v>
      </c>
      <c r="AC191" s="21">
        <f>[2]底表!BM191</f>
        <v>0</v>
      </c>
      <c r="AD191" s="21" t="str">
        <f>[2]底表!BN191</f>
        <v>持平</v>
      </c>
      <c r="AE191" s="21">
        <f>[2]底表!BO191</f>
        <v>0</v>
      </c>
      <c r="AF191" s="21" t="str">
        <f>[2]底表!BP191</f>
        <v>持平</v>
      </c>
      <c r="AG191" s="21">
        <f>[2]底表!BT191</f>
        <v>0</v>
      </c>
      <c r="AH191" s="21" t="str">
        <f>[2]底表!BU191</f>
        <v>持平</v>
      </c>
      <c r="AI191" s="21">
        <f>[2]底表!BV191</f>
        <v>0</v>
      </c>
      <c r="AJ191" s="21" t="str">
        <f>[2]底表!BW191</f>
        <v/>
      </c>
      <c r="AK191" s="21">
        <f>[2]底表!BX191</f>
        <v>0</v>
      </c>
      <c r="AL191" s="21" t="str">
        <f>[2]底表!BY191</f>
        <v/>
      </c>
      <c r="AM191" s="21">
        <f>[2]底表!BZ191</f>
        <v>0</v>
      </c>
      <c r="AN191" s="21">
        <f>[2]底表!CA191</f>
        <v>0</v>
      </c>
      <c r="AO191" s="21" t="str">
        <f>[2]底表!CB191</f>
        <v>持平</v>
      </c>
      <c r="AP191" s="21">
        <f>[2]底表!CC191</f>
        <v>0</v>
      </c>
      <c r="AQ191" s="21" t="str">
        <f>[2]底表!CD191</f>
        <v>持平</v>
      </c>
      <c r="AR191" s="21" t="str">
        <f>[2]底表!CE191</f>
        <v/>
      </c>
      <c r="AS191" s="21" t="str">
        <f>[2]底表!CF191</f>
        <v/>
      </c>
      <c r="AT191" s="21">
        <f>[2]底表!CG191</f>
        <v>0</v>
      </c>
      <c r="AU191" s="21">
        <f>[2]底表!CH191</f>
        <v>0</v>
      </c>
      <c r="AV191" s="21" t="str">
        <f>[2]底表!CI191</f>
        <v>持平</v>
      </c>
      <c r="AW191" s="21">
        <f>[2]底表!CJ191</f>
        <v>0</v>
      </c>
      <c r="AX191" s="21" t="str">
        <f>[2]底表!CK191</f>
        <v>持平</v>
      </c>
      <c r="AY191" s="21">
        <f>[2]底表!CL191</f>
        <v>0</v>
      </c>
      <c r="AZ191" s="21" t="str">
        <f>[2]底表!CM191</f>
        <v/>
      </c>
      <c r="BA191" s="21" t="str">
        <f>[2]底表!CN191</f>
        <v/>
      </c>
      <c r="BB191" s="21">
        <f>[2]底表!CO191</f>
        <v>1</v>
      </c>
      <c r="BC191" s="21">
        <f>[2]底表!CP191</f>
        <v>0</v>
      </c>
      <c r="BD191" s="21" t="str">
        <f>[2]底表!CQ191</f>
        <v>多1人</v>
      </c>
      <c r="BE191" s="21">
        <f>[2]底表!CR191</f>
        <v>0</v>
      </c>
      <c r="BF191" s="21" t="str">
        <f>[2]底表!CS191</f>
        <v>多1人</v>
      </c>
      <c r="BG191" s="21" t="str">
        <f>[2]底表!CT191</f>
        <v/>
      </c>
      <c r="BH191" s="21" t="str">
        <f>[2]底表!CU191</f>
        <v/>
      </c>
      <c r="BI191" s="21">
        <f>[2]底表!CV191</f>
        <v>100</v>
      </c>
      <c r="BJ191" s="21" t="str">
        <f>[2]底表!CW191</f>
        <v/>
      </c>
      <c r="BK191" s="21" t="str">
        <f>[2]底表!CX191</f>
        <v/>
      </c>
      <c r="BL191" s="21">
        <f>[2]底表!CY191</f>
        <v>1</v>
      </c>
      <c r="BM191" s="21">
        <f>[2]底表!CZ191</f>
        <v>0</v>
      </c>
      <c r="BN191" s="23" t="str">
        <f>[2]底表!DA191</f>
        <v>多1人</v>
      </c>
      <c r="BO191" s="21">
        <f>[2]底表!DB191</f>
        <v>0</v>
      </c>
      <c r="BP191" s="21" t="str">
        <f>[2]底表!DC191</f>
        <v>多1人</v>
      </c>
      <c r="BQ191" s="21" t="str">
        <f>[2]底表!DD191</f>
        <v/>
      </c>
      <c r="BR191" s="21" t="str">
        <f>[2]底表!DE191</f>
        <v/>
      </c>
      <c r="BS191" s="21">
        <f>[2]底表!DF191</f>
        <v>100</v>
      </c>
      <c r="BT191" s="21" t="str">
        <f>[2]底表!DG191</f>
        <v/>
      </c>
      <c r="BU191" s="21" t="str">
        <f>[2]底表!DH191</f>
        <v/>
      </c>
      <c r="BV191" s="21">
        <f>[2]底表!DI191</f>
        <v>0</v>
      </c>
      <c r="BW191" s="21">
        <f>[2]底表!DJ191</f>
        <v>0</v>
      </c>
      <c r="BX191" s="23" t="str">
        <f>[2]底表!DK191</f>
        <v>持平</v>
      </c>
      <c r="BY191" s="21">
        <f>[2]底表!DL191</f>
        <v>0</v>
      </c>
      <c r="BZ191" s="21" t="str">
        <f>[2]底表!DM191</f>
        <v>持平</v>
      </c>
      <c r="CA191" s="21">
        <f>[2]底表!DN191</f>
        <v>0</v>
      </c>
      <c r="CB191" s="21">
        <f>[2]底表!DO191</f>
        <v>0</v>
      </c>
      <c r="CC191" s="21" t="str">
        <f>[2]底表!DP191</f>
        <v>持平</v>
      </c>
      <c r="CD191" s="21">
        <f>[2]底表!DQ191</f>
        <v>0</v>
      </c>
      <c r="CE191" s="21" t="str">
        <f>[2]底表!DR191</f>
        <v>持平</v>
      </c>
      <c r="CF191" s="21">
        <f>[2]底表!DS191</f>
        <v>0</v>
      </c>
      <c r="CG191" s="21">
        <f>[2]底表!DT191</f>
        <v>0</v>
      </c>
      <c r="CH191" s="21" t="str">
        <f>[2]底表!DU191</f>
        <v>持平</v>
      </c>
      <c r="CI191" s="21">
        <f>[2]底表!DV191</f>
        <v>0</v>
      </c>
      <c r="CJ191" s="21" t="str">
        <f>[2]底表!DW191</f>
        <v>持平</v>
      </c>
      <c r="CK191" s="21">
        <f>[2]底表!DX191</f>
        <v>0</v>
      </c>
      <c r="CL191" s="21">
        <f>[2]底表!DY191</f>
        <v>0</v>
      </c>
      <c r="CM191" s="21" t="str">
        <f>[2]底表!DZ191</f>
        <v>持平</v>
      </c>
      <c r="CN191" s="21">
        <f>[2]底表!EA191</f>
        <v>0</v>
      </c>
      <c r="CO191" s="21" t="str">
        <f>[2]底表!EB191</f>
        <v>持平</v>
      </c>
      <c r="CP191" s="21">
        <f>[2]底表!EC191</f>
        <v>0</v>
      </c>
      <c r="CQ191" s="21">
        <f>[2]底表!ED191</f>
        <v>0</v>
      </c>
      <c r="CR191" s="21" t="str">
        <f>[2]底表!EE191</f>
        <v>持平</v>
      </c>
      <c r="CS191" s="21">
        <f>[2]底表!EF191</f>
        <v>0</v>
      </c>
      <c r="CT191" s="21" t="str">
        <f>[2]底表!EG191</f>
        <v>持平</v>
      </c>
      <c r="CU191" s="21">
        <f>[2]底表!EH191</f>
        <v>0</v>
      </c>
      <c r="CV191" s="21" t="str">
        <f>[2]底表!EI191</f>
        <v/>
      </c>
      <c r="CW191" s="21">
        <f>[2]底表!EJ191</f>
        <v>0</v>
      </c>
      <c r="CX191" s="21" t="str">
        <f>[2]底表!EK191</f>
        <v/>
      </c>
      <c r="CY191" s="21" t="str">
        <f>[2]底表!EL191</f>
        <v/>
      </c>
      <c r="CZ191" s="21">
        <f>[2]底表!EM191</f>
        <v>0</v>
      </c>
      <c r="DA191" s="21">
        <f>[2]底表!EN191</f>
        <v>0</v>
      </c>
      <c r="DB191" s="21" t="str">
        <f>[2]底表!EO191</f>
        <v>持平</v>
      </c>
      <c r="DC191" s="21">
        <f>[2]底表!EP191</f>
        <v>0</v>
      </c>
      <c r="DD191" s="21" t="str">
        <f>[2]底表!EQ191</f>
        <v>持平</v>
      </c>
      <c r="DE191" s="21">
        <f>[2]底表!ER191</f>
        <v>0</v>
      </c>
      <c r="DF191" s="21">
        <f>[2]底表!ES191</f>
        <v>0</v>
      </c>
      <c r="DG191" s="23" t="str">
        <f>[2]底表!ET191</f>
        <v>持平</v>
      </c>
      <c r="DH191" s="21">
        <f>[2]底表!EU191</f>
        <v>0</v>
      </c>
      <c r="DI191" s="21" t="str">
        <f>[2]底表!EV191</f>
        <v>持平</v>
      </c>
      <c r="DJ191" s="21">
        <f>[2]底表!EW191</f>
        <v>0</v>
      </c>
      <c r="DK191" s="21" t="str">
        <f>[2]底表!EX191</f>
        <v/>
      </c>
      <c r="DL191" s="21">
        <f>[2]底表!EY191</f>
        <v>0</v>
      </c>
      <c r="DM191" s="21" t="str">
        <f>[2]底表!EZ191</f>
        <v/>
      </c>
      <c r="DN191" s="21" t="str">
        <f>[2]底表!FA191</f>
        <v/>
      </c>
      <c r="DO191" s="21">
        <f>[2]底表!BQ191</f>
        <v>0</v>
      </c>
      <c r="DP191" s="21">
        <f>[2]底表!BR191</f>
        <v>0</v>
      </c>
      <c r="DQ191" s="24" t="str">
        <f>[2]底表!BS191</f>
        <v>持平</v>
      </c>
    </row>
    <row r="192" s="2" customFormat="1" ht="32" hidden="1" customHeight="1" spans="1:121">
      <c r="A192" s="27" t="str">
        <f>[2]底表!A192</f>
        <v>抢夺</v>
      </c>
      <c r="B192" s="28" t="str">
        <f>[2]底表!B192</f>
        <v>罗定市</v>
      </c>
      <c r="C192" s="21">
        <f>[2]底表!AM192</f>
        <v>0</v>
      </c>
      <c r="D192" s="21">
        <f>[2]底表!AN192</f>
        <v>0</v>
      </c>
      <c r="E192" s="23" t="str">
        <f>[2]底表!AO192</f>
        <v>持平</v>
      </c>
      <c r="F192" s="21">
        <f>[2]底表!AP192</f>
        <v>0</v>
      </c>
      <c r="G192" s="21" t="str">
        <f>[2]底表!AQ192</f>
        <v>持平</v>
      </c>
      <c r="H192" s="21" t="str">
        <f>[2]底表!AR192</f>
        <v/>
      </c>
      <c r="I192" s="21" t="str">
        <f>[2]底表!AS192</f>
        <v/>
      </c>
      <c r="J192" s="21">
        <f>[2]底表!AT192</f>
        <v>0</v>
      </c>
      <c r="K192" s="21">
        <f>[2]底表!AU192</f>
        <v>0</v>
      </c>
      <c r="L192" s="21" t="str">
        <f>[2]底表!AV192</f>
        <v>持平</v>
      </c>
      <c r="M192" s="21">
        <f>[2]底表!AW192</f>
        <v>0</v>
      </c>
      <c r="N192" s="21" t="str">
        <f>[2]底表!AX192</f>
        <v>持平</v>
      </c>
      <c r="O192" s="21">
        <f>[2]底表!AY192</f>
        <v>0</v>
      </c>
      <c r="P192" s="21">
        <f>[2]底表!AZ192</f>
        <v>0</v>
      </c>
      <c r="Q192" s="21" t="str">
        <f>[2]底表!BA192</f>
        <v>持平</v>
      </c>
      <c r="R192" s="21">
        <f>[2]底表!BB192</f>
        <v>0</v>
      </c>
      <c r="S192" s="21" t="str">
        <f>[2]底表!BC192</f>
        <v>持平</v>
      </c>
      <c r="T192" s="21" t="str">
        <f>[2]底表!BD192</f>
        <v/>
      </c>
      <c r="U192" s="21" t="str">
        <f>[2]底表!BE192</f>
        <v/>
      </c>
      <c r="V192" s="21">
        <f>[2]底表!BF192</f>
        <v>0</v>
      </c>
      <c r="W192" s="21">
        <f>[2]底表!BG192</f>
        <v>0</v>
      </c>
      <c r="X192" s="21" t="str">
        <f>[2]底表!BH192</f>
        <v>持平</v>
      </c>
      <c r="Y192" s="21">
        <f>[2]底表!BI192</f>
        <v>0</v>
      </c>
      <c r="Z192" s="21" t="str">
        <f>[2]底表!BJ192</f>
        <v>持平</v>
      </c>
      <c r="AA192" s="21" t="str">
        <f>[2]底表!BK192</f>
        <v/>
      </c>
      <c r="AB192" s="21">
        <f>[2]底表!BL192</f>
        <v>0</v>
      </c>
      <c r="AC192" s="21">
        <f>[2]底表!BM192</f>
        <v>0</v>
      </c>
      <c r="AD192" s="21" t="str">
        <f>[2]底表!BN192</f>
        <v>持平</v>
      </c>
      <c r="AE192" s="21">
        <f>[2]底表!BO192</f>
        <v>0</v>
      </c>
      <c r="AF192" s="21" t="str">
        <f>[2]底表!BP192</f>
        <v>持平</v>
      </c>
      <c r="AG192" s="21">
        <f>[2]底表!BT192</f>
        <v>0</v>
      </c>
      <c r="AH192" s="21" t="str">
        <f>[2]底表!BU192</f>
        <v>持平</v>
      </c>
      <c r="AI192" s="21" t="str">
        <f>[2]底表!BV192</f>
        <v/>
      </c>
      <c r="AJ192" s="21" t="str">
        <f>[2]底表!BW192</f>
        <v/>
      </c>
      <c r="AK192" s="21" t="str">
        <f>[2]底表!BX192</f>
        <v/>
      </c>
      <c r="AL192" s="21" t="str">
        <f>[2]底表!BY192</f>
        <v/>
      </c>
      <c r="AM192" s="21">
        <f>[2]底表!BZ192</f>
        <v>0</v>
      </c>
      <c r="AN192" s="21">
        <f>[2]底表!CA192</f>
        <v>0</v>
      </c>
      <c r="AO192" s="21" t="str">
        <f>[2]底表!CB192</f>
        <v>持平</v>
      </c>
      <c r="AP192" s="21">
        <f>[2]底表!CC192</f>
        <v>0</v>
      </c>
      <c r="AQ192" s="21" t="str">
        <f>[2]底表!CD192</f>
        <v>持平</v>
      </c>
      <c r="AR192" s="21" t="str">
        <f>[2]底表!CE192</f>
        <v/>
      </c>
      <c r="AS192" s="21" t="str">
        <f>[2]底表!CF192</f>
        <v/>
      </c>
      <c r="AT192" s="21">
        <f>[2]底表!CG192</f>
        <v>0</v>
      </c>
      <c r="AU192" s="21">
        <f>[2]底表!CH192</f>
        <v>0</v>
      </c>
      <c r="AV192" s="21" t="str">
        <f>[2]底表!CI192</f>
        <v>持平</v>
      </c>
      <c r="AW192" s="21">
        <f>[2]底表!CJ192</f>
        <v>0</v>
      </c>
      <c r="AX192" s="21" t="str">
        <f>[2]底表!CK192</f>
        <v>持平</v>
      </c>
      <c r="AY192" s="21" t="str">
        <f>[2]底表!CL192</f>
        <v/>
      </c>
      <c r="AZ192" s="21" t="str">
        <f>[2]底表!CM192</f>
        <v/>
      </c>
      <c r="BA192" s="21" t="str">
        <f>[2]底表!CN192</f>
        <v/>
      </c>
      <c r="BB192" s="21">
        <f>[2]底表!CO192</f>
        <v>0</v>
      </c>
      <c r="BC192" s="21">
        <f>[2]底表!CP192</f>
        <v>0</v>
      </c>
      <c r="BD192" s="21" t="str">
        <f>[2]底表!CQ192</f>
        <v>持平</v>
      </c>
      <c r="BE192" s="21">
        <f>[2]底表!CR192</f>
        <v>0</v>
      </c>
      <c r="BF192" s="21" t="str">
        <f>[2]底表!CS192</f>
        <v>持平</v>
      </c>
      <c r="BG192" s="21" t="str">
        <f>[2]底表!CT192</f>
        <v/>
      </c>
      <c r="BH192" s="21" t="str">
        <f>[2]底表!CU192</f>
        <v/>
      </c>
      <c r="BI192" s="21" t="str">
        <f>[2]底表!CV192</f>
        <v/>
      </c>
      <c r="BJ192" s="21" t="str">
        <f>[2]底表!CW192</f>
        <v/>
      </c>
      <c r="BK192" s="21" t="str">
        <f>[2]底表!CX192</f>
        <v/>
      </c>
      <c r="BL192" s="21">
        <f>[2]底表!CY192</f>
        <v>0</v>
      </c>
      <c r="BM192" s="21">
        <f>[2]底表!CZ192</f>
        <v>0</v>
      </c>
      <c r="BN192" s="23" t="str">
        <f>[2]底表!DA192</f>
        <v>持平</v>
      </c>
      <c r="BO192" s="21">
        <f>[2]底表!DB192</f>
        <v>0</v>
      </c>
      <c r="BP192" s="21" t="str">
        <f>[2]底表!DC192</f>
        <v>持平</v>
      </c>
      <c r="BQ192" s="21" t="str">
        <f>[2]底表!DD192</f>
        <v/>
      </c>
      <c r="BR192" s="21" t="str">
        <f>[2]底表!DE192</f>
        <v/>
      </c>
      <c r="BS192" s="21" t="str">
        <f>[2]底表!DF192</f>
        <v/>
      </c>
      <c r="BT192" s="21" t="str">
        <f>[2]底表!DG192</f>
        <v/>
      </c>
      <c r="BU192" s="21" t="str">
        <f>[2]底表!DH192</f>
        <v/>
      </c>
      <c r="BV192" s="21">
        <f>[2]底表!DI192</f>
        <v>0</v>
      </c>
      <c r="BW192" s="21">
        <f>[2]底表!DJ192</f>
        <v>0</v>
      </c>
      <c r="BX192" s="23" t="str">
        <f>[2]底表!DK192</f>
        <v>持平</v>
      </c>
      <c r="BY192" s="21">
        <f>[2]底表!DL192</f>
        <v>0</v>
      </c>
      <c r="BZ192" s="21" t="str">
        <f>[2]底表!DM192</f>
        <v>持平</v>
      </c>
      <c r="CA192" s="21">
        <f>[2]底表!DN192</f>
        <v>0</v>
      </c>
      <c r="CB192" s="21">
        <f>[2]底表!DO192</f>
        <v>0</v>
      </c>
      <c r="CC192" s="21" t="str">
        <f>[2]底表!DP192</f>
        <v>持平</v>
      </c>
      <c r="CD192" s="21">
        <f>[2]底表!DQ192</f>
        <v>0</v>
      </c>
      <c r="CE192" s="21" t="str">
        <f>[2]底表!DR192</f>
        <v>持平</v>
      </c>
      <c r="CF192" s="21">
        <f>[2]底表!DS192</f>
        <v>0</v>
      </c>
      <c r="CG192" s="21">
        <f>[2]底表!DT192</f>
        <v>0</v>
      </c>
      <c r="CH192" s="21" t="str">
        <f>[2]底表!DU192</f>
        <v>持平</v>
      </c>
      <c r="CI192" s="21">
        <f>[2]底表!DV192</f>
        <v>0</v>
      </c>
      <c r="CJ192" s="21" t="str">
        <f>[2]底表!DW192</f>
        <v>持平</v>
      </c>
      <c r="CK192" s="21">
        <f>[2]底表!DX192</f>
        <v>0</v>
      </c>
      <c r="CL192" s="21">
        <f>[2]底表!DY192</f>
        <v>0</v>
      </c>
      <c r="CM192" s="21" t="str">
        <f>[2]底表!DZ192</f>
        <v>持平</v>
      </c>
      <c r="CN192" s="21">
        <f>[2]底表!EA192</f>
        <v>0</v>
      </c>
      <c r="CO192" s="21" t="str">
        <f>[2]底表!EB192</f>
        <v>持平</v>
      </c>
      <c r="CP192" s="21">
        <f>[2]底表!EC192</f>
        <v>0</v>
      </c>
      <c r="CQ192" s="21">
        <f>[2]底表!ED192</f>
        <v>0</v>
      </c>
      <c r="CR192" s="21" t="str">
        <f>[2]底表!EE192</f>
        <v>持平</v>
      </c>
      <c r="CS192" s="21">
        <f>[2]底表!EF192</f>
        <v>0</v>
      </c>
      <c r="CT192" s="21" t="str">
        <f>[2]底表!EG192</f>
        <v>持平</v>
      </c>
      <c r="CU192" s="21" t="str">
        <f>[2]底表!EH192</f>
        <v/>
      </c>
      <c r="CV192" s="21" t="str">
        <f>[2]底表!EI192</f>
        <v/>
      </c>
      <c r="CW192" s="21" t="str">
        <f>[2]底表!EJ192</f>
        <v/>
      </c>
      <c r="CX192" s="21" t="str">
        <f>[2]底表!EK192</f>
        <v/>
      </c>
      <c r="CY192" s="21" t="str">
        <f>[2]底表!EL192</f>
        <v/>
      </c>
      <c r="CZ192" s="21">
        <f>[2]底表!EM192</f>
        <v>0</v>
      </c>
      <c r="DA192" s="21">
        <f>[2]底表!EN192</f>
        <v>0</v>
      </c>
      <c r="DB192" s="21" t="str">
        <f>[2]底表!EO192</f>
        <v>持平</v>
      </c>
      <c r="DC192" s="21">
        <f>[2]底表!EP192</f>
        <v>0</v>
      </c>
      <c r="DD192" s="21" t="str">
        <f>[2]底表!EQ192</f>
        <v>持平</v>
      </c>
      <c r="DE192" s="21">
        <f>[2]底表!ER192</f>
        <v>0</v>
      </c>
      <c r="DF192" s="21">
        <f>[2]底表!ES192</f>
        <v>0</v>
      </c>
      <c r="DG192" s="23" t="str">
        <f>[2]底表!ET192</f>
        <v>持平</v>
      </c>
      <c r="DH192" s="21">
        <f>[2]底表!EU192</f>
        <v>0</v>
      </c>
      <c r="DI192" s="21" t="str">
        <f>[2]底表!EV192</f>
        <v>持平</v>
      </c>
      <c r="DJ192" s="21" t="str">
        <f>[2]底表!EW192</f>
        <v/>
      </c>
      <c r="DK192" s="21" t="str">
        <f>[2]底表!EX192</f>
        <v/>
      </c>
      <c r="DL192" s="21" t="str">
        <f>[2]底表!EY192</f>
        <v/>
      </c>
      <c r="DM192" s="21" t="str">
        <f>[2]底表!EZ192</f>
        <v/>
      </c>
      <c r="DN192" s="21" t="str">
        <f>[2]底表!FA192</f>
        <v/>
      </c>
      <c r="DO192" s="21">
        <f>[2]底表!BQ192</f>
        <v>0</v>
      </c>
      <c r="DP192" s="21">
        <f>[2]底表!BR192</f>
        <v>0</v>
      </c>
      <c r="DQ192" s="24" t="str">
        <f>[2]底表!BS192</f>
        <v>持平</v>
      </c>
    </row>
    <row r="193" s="2" customFormat="1" ht="32" hidden="1" customHeight="1" spans="1:121">
      <c r="A193" s="27" t="str">
        <f>[2]底表!A193</f>
        <v>性侵</v>
      </c>
      <c r="B193" s="28" t="str">
        <f>[2]底表!B193</f>
        <v>全省</v>
      </c>
      <c r="C193" s="21">
        <f>[2]底表!AM193</f>
        <v>804</v>
      </c>
      <c r="D193" s="21">
        <f>[2]底表!AN193</f>
        <v>532</v>
      </c>
      <c r="E193" s="23">
        <f>[2]底表!AO193</f>
        <v>0.5113</v>
      </c>
      <c r="F193" s="21">
        <f>[2]底表!AP193</f>
        <v>956</v>
      </c>
      <c r="G193" s="21">
        <f>[2]底表!AQ193</f>
        <v>-0.159</v>
      </c>
      <c r="H193" s="21">
        <f>[2]底表!AR193</f>
        <v>0.9349</v>
      </c>
      <c r="I193" s="21">
        <f>[2]底表!AS193</f>
        <v>0.0081</v>
      </c>
      <c r="J193" s="21">
        <f>[2]底表!AT193</f>
        <v>634</v>
      </c>
      <c r="K193" s="21">
        <f>[2]底表!AU193</f>
        <v>432</v>
      </c>
      <c r="L193" s="21">
        <f>[2]底表!AV193</f>
        <v>0.4676</v>
      </c>
      <c r="M193" s="21">
        <f>[2]底表!AW193</f>
        <v>801</v>
      </c>
      <c r="N193" s="21">
        <f>[2]底表!AX193</f>
        <v>-0.2085</v>
      </c>
      <c r="O193" s="21">
        <f>[2]底表!AY193</f>
        <v>592</v>
      </c>
      <c r="P193" s="21">
        <f>[2]底表!AZ193</f>
        <v>386</v>
      </c>
      <c r="Q193" s="21">
        <f>[2]底表!BA193</f>
        <v>0.5337</v>
      </c>
      <c r="R193" s="21">
        <f>[2]底表!BB193</f>
        <v>869</v>
      </c>
      <c r="S193" s="21">
        <f>[2]底表!BC193</f>
        <v>-0.3188</v>
      </c>
      <c r="T193" s="21">
        <f>[2]底表!BD193</f>
        <v>0.9338</v>
      </c>
      <c r="U193" s="21">
        <f>[2]底表!BE193</f>
        <v>0.0402</v>
      </c>
      <c r="V193" s="21">
        <f>[2]底表!BF193</f>
        <v>226</v>
      </c>
      <c r="W193" s="21">
        <f>[2]底表!BG193</f>
        <v>142</v>
      </c>
      <c r="X193" s="21">
        <f>[2]底表!BH193</f>
        <v>0.5915</v>
      </c>
      <c r="Y193" s="21">
        <f>[2]底表!BI193</f>
        <v>42</v>
      </c>
      <c r="Z193" s="21">
        <f>[2]底表!BJ193</f>
        <v>4.381</v>
      </c>
      <c r="AA193" s="21">
        <f>[2]底表!BK193</f>
        <v>0.2628</v>
      </c>
      <c r="AB193" s="21">
        <f>[2]底表!BL193</f>
        <v>212</v>
      </c>
      <c r="AC193" s="21">
        <f>[2]底表!BM193</f>
        <v>146</v>
      </c>
      <c r="AD193" s="21">
        <f>[2]底表!BN193</f>
        <v>0.4521</v>
      </c>
      <c r="AE193" s="21">
        <f>[2]底表!BO193</f>
        <v>87</v>
      </c>
      <c r="AF193" s="21">
        <f>[2]底表!BP193</f>
        <v>1.4368</v>
      </c>
      <c r="AG193" s="21">
        <f>[2]底表!BT193</f>
        <v>815</v>
      </c>
      <c r="AH193" s="21">
        <f>[2]底表!BU193</f>
        <v>-0.4479</v>
      </c>
      <c r="AI193" s="21">
        <f>[2]底表!BV193</f>
        <v>0.5233</v>
      </c>
      <c r="AJ193" s="21">
        <f>[2]底表!BW193</f>
        <v>-0.0848</v>
      </c>
      <c r="AK193" s="21">
        <f>[2]底表!BX193</f>
        <v>0.7098</v>
      </c>
      <c r="AL193" s="21">
        <f>[2]底表!BY193</f>
        <v>-0.0981</v>
      </c>
      <c r="AM193" s="21">
        <f>[2]底表!BZ193</f>
        <v>3</v>
      </c>
      <c r="AN193" s="21">
        <f>[2]底表!CA193</f>
        <v>1</v>
      </c>
      <c r="AO193" s="21">
        <f>[2]底表!CB193</f>
        <v>2</v>
      </c>
      <c r="AP193" s="21">
        <f>[2]底表!CC193</f>
        <v>15</v>
      </c>
      <c r="AQ193" s="21">
        <f>[2]底表!CD193</f>
        <v>-0.8</v>
      </c>
      <c r="AR193" s="21" t="str">
        <f>[2]底表!CE193</f>
        <v/>
      </c>
      <c r="AS193" s="21" t="str">
        <f>[2]底表!CF193</f>
        <v/>
      </c>
      <c r="AT193" s="21">
        <f>[2]底表!CG193</f>
        <v>949</v>
      </c>
      <c r="AU193" s="21">
        <f>[2]底表!CH193</f>
        <v>650</v>
      </c>
      <c r="AV193" s="21">
        <f>[2]底表!CI193</f>
        <v>0.46</v>
      </c>
      <c r="AW193" s="21">
        <f>[2]底表!CJ193</f>
        <v>971</v>
      </c>
      <c r="AX193" s="21">
        <f>[2]底表!CK193</f>
        <v>-0.0227</v>
      </c>
      <c r="AY193" s="21">
        <f>[2]底表!CL193</f>
        <v>110</v>
      </c>
      <c r="AZ193" s="21">
        <f>[2]底表!CM193</f>
        <v>-3</v>
      </c>
      <c r="BA193" s="21">
        <f>[2]底表!CN193</f>
        <v>-0.0255</v>
      </c>
      <c r="BB193" s="21">
        <f>[2]底表!CO193</f>
        <v>732</v>
      </c>
      <c r="BC193" s="21">
        <f>[2]底表!CP193</f>
        <v>419</v>
      </c>
      <c r="BD193" s="21">
        <f>[2]底表!CQ193</f>
        <v>0.747</v>
      </c>
      <c r="BE193" s="21">
        <f>[2]底表!CR193</f>
        <v>770</v>
      </c>
      <c r="BF193" s="21">
        <f>[2]底表!CS193</f>
        <v>-0.0494</v>
      </c>
      <c r="BG193" s="21">
        <f>[2]底表!CT193</f>
        <v>0.7713</v>
      </c>
      <c r="BH193" s="21">
        <f>[2]底表!CU193</f>
        <v>0.1267</v>
      </c>
      <c r="BI193" s="21">
        <f>[2]底表!CV193</f>
        <v>85</v>
      </c>
      <c r="BJ193" s="21">
        <f>[2]底表!CW193</f>
        <v>12</v>
      </c>
      <c r="BK193" s="21">
        <f>[2]底表!CX193</f>
        <v>0.166</v>
      </c>
      <c r="BL193" s="21">
        <f>[2]底表!CY193</f>
        <v>879</v>
      </c>
      <c r="BM193" s="21">
        <f>[2]底表!CZ193</f>
        <v>561</v>
      </c>
      <c r="BN193" s="23">
        <f>[2]底表!DA193</f>
        <v>0.5668</v>
      </c>
      <c r="BO193" s="21">
        <f>[2]底表!DB193</f>
        <v>927</v>
      </c>
      <c r="BP193" s="21">
        <f>[2]底表!DC193</f>
        <v>-0.0518</v>
      </c>
      <c r="BQ193" s="21">
        <f>[2]底表!DD193</f>
        <v>0.9262</v>
      </c>
      <c r="BR193" s="21">
        <f>[2]底表!DE193</f>
        <v>0.0632</v>
      </c>
      <c r="BS193" s="21">
        <f>[2]底表!DF193</f>
        <v>102</v>
      </c>
      <c r="BT193" s="21">
        <f>[2]底表!DG193</f>
        <v>4</v>
      </c>
      <c r="BU193" s="21">
        <f>[2]底表!DH193</f>
        <v>0.0458</v>
      </c>
      <c r="BV193" s="21">
        <f>[2]底表!DI193</f>
        <v>854</v>
      </c>
      <c r="BW193" s="21">
        <f>[2]底表!DJ193</f>
        <v>577</v>
      </c>
      <c r="BX193" s="23">
        <f>[2]底表!DK193</f>
        <v>0.4801</v>
      </c>
      <c r="BY193" s="21">
        <f>[2]底表!DL193</f>
        <v>958</v>
      </c>
      <c r="BZ193" s="21">
        <f>[2]底表!DM193</f>
        <v>-0.1086</v>
      </c>
      <c r="CA193" s="21">
        <f>[2]底表!DN193</f>
        <v>353</v>
      </c>
      <c r="CB193" s="21">
        <f>[2]底表!DO193</f>
        <v>264</v>
      </c>
      <c r="CC193" s="21">
        <f>[2]底表!DP193</f>
        <v>0.3371</v>
      </c>
      <c r="CD193" s="21">
        <f>[2]底表!DQ193</f>
        <v>466</v>
      </c>
      <c r="CE193" s="21">
        <f>[2]底表!DR193</f>
        <v>-0.2425</v>
      </c>
      <c r="CF193" s="21">
        <f>[2]底表!DS193</f>
        <v>353</v>
      </c>
      <c r="CG193" s="21">
        <f>[2]底表!DT193</f>
        <v>264</v>
      </c>
      <c r="CH193" s="21">
        <f>[2]底表!DU193</f>
        <v>0.3371</v>
      </c>
      <c r="CI193" s="21">
        <f>[2]底表!DV193</f>
        <v>466</v>
      </c>
      <c r="CJ193" s="21">
        <f>[2]底表!DW193</f>
        <v>-0.2425</v>
      </c>
      <c r="CK193" s="21">
        <f>[2]底表!DX193</f>
        <v>763</v>
      </c>
      <c r="CL193" s="21">
        <f>[2]底表!DY193</f>
        <v>573</v>
      </c>
      <c r="CM193" s="21">
        <f>[2]底表!DZ193</f>
        <v>0.3316</v>
      </c>
      <c r="CN193" s="21">
        <f>[2]底表!EA193</f>
        <v>852</v>
      </c>
      <c r="CO193" s="21">
        <f>[2]底表!EB193</f>
        <v>-0.1045</v>
      </c>
      <c r="CP193" s="21">
        <f>[2]底表!EC193</f>
        <v>466</v>
      </c>
      <c r="CQ193" s="21">
        <f>[2]底表!ED193</f>
        <v>404</v>
      </c>
      <c r="CR193" s="21">
        <f>[2]底表!EE193</f>
        <v>0.1535</v>
      </c>
      <c r="CS193" s="21">
        <f>[2]底表!EF193</f>
        <v>580</v>
      </c>
      <c r="CT193" s="21">
        <f>[2]底表!EG193</f>
        <v>-0.1966</v>
      </c>
      <c r="CU193" s="21">
        <f>[2]底表!EH193</f>
        <v>0.6366</v>
      </c>
      <c r="CV193" s="21">
        <f>[2]底表!EI193</f>
        <v>-0.3276</v>
      </c>
      <c r="CW193" s="21">
        <f>[2]底表!EJ193</f>
        <v>54</v>
      </c>
      <c r="CX193" s="21">
        <f>[2]底表!EK193</f>
        <v>-16</v>
      </c>
      <c r="CY193" s="21">
        <f>[2]底表!EL193</f>
        <v>-0.2301</v>
      </c>
      <c r="CZ193" s="21">
        <f>[2]底表!EM193</f>
        <v>485</v>
      </c>
      <c r="DA193" s="21">
        <f>[2]底表!EN193</f>
        <v>406</v>
      </c>
      <c r="DB193" s="21">
        <f>[2]底表!EO193</f>
        <v>0.1946</v>
      </c>
      <c r="DC193" s="21">
        <f>[2]底表!EP193</f>
        <v>577</v>
      </c>
      <c r="DD193" s="21">
        <f>[2]底表!EQ193</f>
        <v>-0.1594</v>
      </c>
      <c r="DE193" s="21">
        <f>[2]底表!ER193</f>
        <v>517</v>
      </c>
      <c r="DF193" s="21">
        <f>[2]底表!ES193</f>
        <v>386</v>
      </c>
      <c r="DG193" s="23">
        <f>[2]底表!ET193</f>
        <v>0.3394</v>
      </c>
      <c r="DH193" s="21">
        <f>[2]底表!EU193</f>
        <v>873</v>
      </c>
      <c r="DI193" s="21">
        <f>[2]底表!EV193</f>
        <v>-0.4078</v>
      </c>
      <c r="DJ193" s="21">
        <f>[2]底表!EW193</f>
        <v>0.7063</v>
      </c>
      <c r="DK193" s="21">
        <f>[2]底表!EX193</f>
        <v>-0.215</v>
      </c>
      <c r="DL193" s="21">
        <f>[2]底表!EY193</f>
        <v>60</v>
      </c>
      <c r="DM193" s="21">
        <f>[2]底表!EZ193</f>
        <v>-7</v>
      </c>
      <c r="DN193" s="21">
        <f>[2]底表!FA193</f>
        <v>-0.106</v>
      </c>
      <c r="DO193" s="21">
        <f>[2]底表!BQ193</f>
        <v>450</v>
      </c>
      <c r="DP193" s="21">
        <f>[2]底表!BR193</f>
        <v>349</v>
      </c>
      <c r="DQ193" s="24">
        <f>[2]底表!BS193</f>
        <v>0.2894</v>
      </c>
    </row>
    <row r="194" s="2" customFormat="1" ht="32" hidden="1" customHeight="1" spans="1:121">
      <c r="A194" s="27" t="str">
        <f>[2]底表!A194</f>
        <v>性侵</v>
      </c>
      <c r="B194" s="28" t="str">
        <f>[2]底表!B194</f>
        <v>云浮</v>
      </c>
      <c r="C194" s="21">
        <f>[2]底表!AM194</f>
        <v>10</v>
      </c>
      <c r="D194" s="21">
        <f>[2]底表!AN194</f>
        <v>9</v>
      </c>
      <c r="E194" s="23">
        <f>[2]底表!AO194</f>
        <v>0.1111</v>
      </c>
      <c r="F194" s="21">
        <f>[2]底表!AP194</f>
        <v>9</v>
      </c>
      <c r="G194" s="21">
        <f>[2]底表!AQ194</f>
        <v>0.1111</v>
      </c>
      <c r="H194" s="21">
        <f>[2]底表!AR194</f>
        <v>0.7692</v>
      </c>
      <c r="I194" s="21">
        <f>[2]底表!AS194</f>
        <v>-0.1308</v>
      </c>
      <c r="J194" s="21">
        <f>[2]底表!AT194</f>
        <v>8</v>
      </c>
      <c r="K194" s="21">
        <f>[2]底表!AU194</f>
        <v>7</v>
      </c>
      <c r="L194" s="21">
        <f>[2]底表!AV194</f>
        <v>0.1429</v>
      </c>
      <c r="M194" s="21">
        <f>[2]底表!AW194</f>
        <v>6</v>
      </c>
      <c r="N194" s="21">
        <f>[2]底表!AX194</f>
        <v>0.3333</v>
      </c>
      <c r="O194" s="21">
        <f>[2]底表!AY194</f>
        <v>7</v>
      </c>
      <c r="P194" s="21">
        <f>[2]底表!AZ194</f>
        <v>7</v>
      </c>
      <c r="Q194" s="21">
        <f>[2]底表!BA194</f>
        <v>0</v>
      </c>
      <c r="R194" s="21">
        <f>[2]底表!BB194</f>
        <v>7</v>
      </c>
      <c r="S194" s="21">
        <f>[2]底表!BC194</f>
        <v>0</v>
      </c>
      <c r="T194" s="21">
        <f>[2]底表!BD194</f>
        <v>0.875</v>
      </c>
      <c r="U194" s="21">
        <f>[2]底表!BE194</f>
        <v>-0.125</v>
      </c>
      <c r="V194" s="21">
        <f>[2]底表!BF194</f>
        <v>5</v>
      </c>
      <c r="W194" s="21">
        <f>[2]底表!BG194</f>
        <v>3</v>
      </c>
      <c r="X194" s="21">
        <f>[2]底表!BH194</f>
        <v>0.6667</v>
      </c>
      <c r="Y194" s="21">
        <f>[2]底表!BI194</f>
        <v>0</v>
      </c>
      <c r="Z194" s="21" t="str">
        <f>[2]底表!BJ194</f>
        <v>多5起</v>
      </c>
      <c r="AA194" s="21">
        <f>[2]底表!BK194</f>
        <v>0.3846</v>
      </c>
      <c r="AB194" s="21">
        <f>[2]底表!BL194</f>
        <v>3</v>
      </c>
      <c r="AC194" s="21">
        <f>[2]底表!BM194</f>
        <v>2</v>
      </c>
      <c r="AD194" s="21">
        <f>[2]底表!BN194</f>
        <v>0.5</v>
      </c>
      <c r="AE194" s="21">
        <f>[2]底表!BO194</f>
        <v>2</v>
      </c>
      <c r="AF194" s="21">
        <f>[2]底表!BP194</f>
        <v>0.5</v>
      </c>
      <c r="AG194" s="21">
        <f>[2]底表!BT194</f>
        <v>11</v>
      </c>
      <c r="AH194" s="21" t="str">
        <f>[2]底表!BU194</f>
        <v>少11起</v>
      </c>
      <c r="AI194" s="21">
        <f>[2]底表!BV194</f>
        <v>0</v>
      </c>
      <c r="AJ194" s="21">
        <f>[2]底表!BW194</f>
        <v>0</v>
      </c>
      <c r="AK194" s="21">
        <f>[2]底表!BX194</f>
        <v>0</v>
      </c>
      <c r="AL194" s="21">
        <f>[2]底表!BY194</f>
        <v>0</v>
      </c>
      <c r="AM194" s="21">
        <f>[2]底表!BZ194</f>
        <v>0</v>
      </c>
      <c r="AN194" s="21">
        <f>[2]底表!CA194</f>
        <v>0</v>
      </c>
      <c r="AO194" s="21" t="str">
        <f>[2]底表!CB194</f>
        <v>持平</v>
      </c>
      <c r="AP194" s="21">
        <f>[2]底表!CC194</f>
        <v>0</v>
      </c>
      <c r="AQ194" s="21" t="str">
        <f>[2]底表!CD194</f>
        <v>持平</v>
      </c>
      <c r="AR194" s="21" t="str">
        <f>[2]底表!CE194</f>
        <v/>
      </c>
      <c r="AS194" s="21" t="str">
        <f>[2]底表!CF194</f>
        <v/>
      </c>
      <c r="AT194" s="21">
        <f>[2]底表!CG194</f>
        <v>12</v>
      </c>
      <c r="AU194" s="21">
        <f>[2]底表!CH194</f>
        <v>13</v>
      </c>
      <c r="AV194" s="21">
        <f>[2]底表!CI194</f>
        <v>-0.0769</v>
      </c>
      <c r="AW194" s="21">
        <f>[2]底表!CJ194</f>
        <v>7</v>
      </c>
      <c r="AX194" s="21">
        <f>[2]底表!CK194</f>
        <v>0.7143</v>
      </c>
      <c r="AY194" s="21">
        <f>[2]底表!CL194</f>
        <v>92</v>
      </c>
      <c r="AZ194" s="21">
        <f>[2]底表!CM194</f>
        <v>-38</v>
      </c>
      <c r="BA194" s="21">
        <f>[2]底表!CN194</f>
        <v>-0.2899</v>
      </c>
      <c r="BB194" s="21">
        <f>[2]底表!CO194</f>
        <v>11</v>
      </c>
      <c r="BC194" s="21">
        <f>[2]底表!CP194</f>
        <v>9</v>
      </c>
      <c r="BD194" s="21">
        <f>[2]底表!CQ194</f>
        <v>0.2222</v>
      </c>
      <c r="BE194" s="21">
        <f>[2]底表!CR194</f>
        <v>4</v>
      </c>
      <c r="BF194" s="21">
        <f>[2]底表!CS194</f>
        <v>1.75</v>
      </c>
      <c r="BG194" s="21">
        <f>[2]底表!CT194</f>
        <v>0.9167</v>
      </c>
      <c r="BH194" s="21">
        <f>[2]底表!CU194</f>
        <v>0.2244</v>
      </c>
      <c r="BI194" s="21">
        <f>[2]底表!CV194</f>
        <v>85</v>
      </c>
      <c r="BJ194" s="21">
        <f>[2]底表!CW194</f>
        <v>-5</v>
      </c>
      <c r="BK194" s="21">
        <f>[2]底表!CX194</f>
        <v>-0.0598</v>
      </c>
      <c r="BL194" s="21">
        <f>[2]底表!CY194</f>
        <v>12</v>
      </c>
      <c r="BM194" s="21">
        <f>[2]底表!CZ194</f>
        <v>9</v>
      </c>
      <c r="BN194" s="23">
        <f>[2]底表!DA194</f>
        <v>0.3333</v>
      </c>
      <c r="BO194" s="21">
        <f>[2]底表!DB194</f>
        <v>4</v>
      </c>
      <c r="BP194" s="21">
        <f>[2]底表!DC194</f>
        <v>2</v>
      </c>
      <c r="BQ194" s="21">
        <f>[2]底表!DD194</f>
        <v>1</v>
      </c>
      <c r="BR194" s="21">
        <f>[2]底表!DE194</f>
        <v>0.3077</v>
      </c>
      <c r="BS194" s="21">
        <f>[2]底表!DF194</f>
        <v>92</v>
      </c>
      <c r="BT194" s="21">
        <f>[2]底表!DG194</f>
        <v>2</v>
      </c>
      <c r="BU194" s="21">
        <f>[2]底表!DH194</f>
        <v>0.0256</v>
      </c>
      <c r="BV194" s="21">
        <f>[2]底表!DI194</f>
        <v>15</v>
      </c>
      <c r="BW194" s="21">
        <f>[2]底表!DJ194</f>
        <v>9</v>
      </c>
      <c r="BX194" s="23">
        <f>[2]底表!DK194</f>
        <v>0.6667</v>
      </c>
      <c r="BY194" s="21">
        <f>[2]底表!DL194</f>
        <v>4</v>
      </c>
      <c r="BZ194" s="21">
        <f>[2]底表!DM194</f>
        <v>2.75</v>
      </c>
      <c r="CA194" s="21">
        <f>[2]底表!DN194</f>
        <v>1</v>
      </c>
      <c r="CB194" s="21">
        <f>[2]底表!DO194</f>
        <v>0</v>
      </c>
      <c r="CC194" s="21" t="str">
        <f>[2]底表!DP194</f>
        <v>多1人</v>
      </c>
      <c r="CD194" s="21">
        <f>[2]底表!DQ194</f>
        <v>0</v>
      </c>
      <c r="CE194" s="21" t="str">
        <f>[2]底表!DR194</f>
        <v>多1人</v>
      </c>
      <c r="CF194" s="21">
        <f>[2]底表!DS194</f>
        <v>1</v>
      </c>
      <c r="CG194" s="21">
        <f>[2]底表!DT194</f>
        <v>0</v>
      </c>
      <c r="CH194" s="21" t="str">
        <f>[2]底表!DU194</f>
        <v>多1人</v>
      </c>
      <c r="CI194" s="21">
        <f>[2]底表!DV194</f>
        <v>0</v>
      </c>
      <c r="CJ194" s="21" t="str">
        <f>[2]底表!DW194</f>
        <v>多1人</v>
      </c>
      <c r="CK194" s="21">
        <f>[2]底表!DX194</f>
        <v>10</v>
      </c>
      <c r="CL194" s="21">
        <f>[2]底表!DY194</f>
        <v>10</v>
      </c>
      <c r="CM194" s="21">
        <f>[2]底表!DZ194</f>
        <v>0</v>
      </c>
      <c r="CN194" s="21">
        <f>[2]底表!EA194</f>
        <v>7</v>
      </c>
      <c r="CO194" s="21">
        <f>[2]底表!EB194</f>
        <v>0.4286</v>
      </c>
      <c r="CP194" s="21">
        <f>[2]底表!EC194</f>
        <v>4</v>
      </c>
      <c r="CQ194" s="21">
        <f>[2]底表!ED194</f>
        <v>8</v>
      </c>
      <c r="CR194" s="21">
        <f>[2]底表!EE194</f>
        <v>-0.5</v>
      </c>
      <c r="CS194" s="21">
        <f>[2]底表!EF194</f>
        <v>7</v>
      </c>
      <c r="CT194" s="21">
        <f>[2]底表!EG194</f>
        <v>-0.4286</v>
      </c>
      <c r="CU194" s="21">
        <f>[2]底表!EH194</f>
        <v>0.3636</v>
      </c>
      <c r="CV194" s="21">
        <f>[2]底表!EI194</f>
        <v>-0.5253</v>
      </c>
      <c r="CW194" s="21">
        <f>[2]底表!EJ194</f>
        <v>31</v>
      </c>
      <c r="CX194" s="21">
        <f>[2]底表!EK194</f>
        <v>-49</v>
      </c>
      <c r="CY194" s="21">
        <f>[2]底表!EL194</f>
        <v>-0.6154</v>
      </c>
      <c r="CZ194" s="21">
        <f>[2]底表!EM194</f>
        <v>4</v>
      </c>
      <c r="DA194" s="21">
        <f>[2]底表!EN194</f>
        <v>8</v>
      </c>
      <c r="DB194" s="21">
        <f>[2]底表!EO194</f>
        <v>-0.5</v>
      </c>
      <c r="DC194" s="21">
        <f>[2]底表!EP194</f>
        <v>7</v>
      </c>
      <c r="DD194" s="21">
        <f>[2]底表!EQ194</f>
        <v>-0.4286</v>
      </c>
      <c r="DE194" s="21">
        <f>[2]底表!ER194</f>
        <v>0</v>
      </c>
      <c r="DF194" s="21">
        <f>[2]底表!ES194</f>
        <v>0</v>
      </c>
      <c r="DG194" s="23" t="str">
        <f>[2]底表!ET194</f>
        <v>持平</v>
      </c>
      <c r="DH194" s="21">
        <f>[2]底表!EU194</f>
        <v>11</v>
      </c>
      <c r="DI194" s="21" t="str">
        <f>[2]底表!EV194</f>
        <v>少11人</v>
      </c>
      <c r="DJ194" s="21">
        <f>[2]底表!EW194</f>
        <v>0</v>
      </c>
      <c r="DK194" s="21">
        <f>[2]底表!EX194</f>
        <v>0</v>
      </c>
      <c r="DL194" s="21">
        <f>[2]底表!EY194</f>
        <v>0</v>
      </c>
      <c r="DM194" s="21">
        <f>[2]底表!EZ194</f>
        <v>0</v>
      </c>
      <c r="DN194" s="21" t="str">
        <f>[2]底表!FA194</f>
        <v/>
      </c>
      <c r="DO194" s="21">
        <f>[2]底表!BQ194</f>
        <v>0</v>
      </c>
      <c r="DP194" s="21">
        <f>[2]底表!BR194</f>
        <v>0</v>
      </c>
      <c r="DQ194" s="24" t="str">
        <f>[2]底表!BS194</f>
        <v>持平</v>
      </c>
    </row>
    <row r="195" s="2" customFormat="1" ht="32" hidden="1" customHeight="1" spans="1:121">
      <c r="A195" s="27" t="str">
        <f>[2]底表!A195</f>
        <v>性侵</v>
      </c>
      <c r="B195" s="28" t="str">
        <f>[2]底表!B195</f>
        <v>云城区</v>
      </c>
      <c r="C195" s="21">
        <f>[2]底表!AM195</f>
        <v>3</v>
      </c>
      <c r="D195" s="21">
        <f>[2]底表!AN195</f>
        <v>3</v>
      </c>
      <c r="E195" s="23">
        <f>[2]底表!AO195</f>
        <v>0</v>
      </c>
      <c r="F195" s="21">
        <f>[2]底表!AP195</f>
        <v>1</v>
      </c>
      <c r="G195" s="21">
        <f>[2]底表!AQ195</f>
        <v>2</v>
      </c>
      <c r="H195" s="21">
        <f>[2]底表!AR195</f>
        <v>1</v>
      </c>
      <c r="I195" s="21">
        <f>[2]底表!AS195</f>
        <v>0</v>
      </c>
      <c r="J195" s="21">
        <f>[2]底表!AT195</f>
        <v>2</v>
      </c>
      <c r="K195" s="21">
        <f>[2]底表!AU195</f>
        <v>3</v>
      </c>
      <c r="L195" s="21">
        <f>[2]底表!AV195</f>
        <v>-0.3333</v>
      </c>
      <c r="M195" s="21">
        <f>[2]底表!AW195</f>
        <v>1</v>
      </c>
      <c r="N195" s="21">
        <f>[2]底表!AX195</f>
        <v>1</v>
      </c>
      <c r="O195" s="21">
        <f>[2]底表!AY195</f>
        <v>2</v>
      </c>
      <c r="P195" s="21">
        <f>[2]底表!AZ195</f>
        <v>3</v>
      </c>
      <c r="Q195" s="21">
        <f>[2]底表!BA195</f>
        <v>-0.3333</v>
      </c>
      <c r="R195" s="21">
        <f>[2]底表!BB195</f>
        <v>1</v>
      </c>
      <c r="S195" s="21">
        <f>[2]底表!BC195</f>
        <v>1</v>
      </c>
      <c r="T195" s="21">
        <f>[2]底表!BD195</f>
        <v>1</v>
      </c>
      <c r="U195" s="21">
        <f>[2]底表!BE195</f>
        <v>0</v>
      </c>
      <c r="V195" s="21">
        <f>[2]底表!BF195</f>
        <v>1</v>
      </c>
      <c r="W195" s="21">
        <f>[2]底表!BG195</f>
        <v>0</v>
      </c>
      <c r="X195" s="21" t="str">
        <f>[2]底表!BH195</f>
        <v>多1起</v>
      </c>
      <c r="Y195" s="21">
        <f>[2]底表!BI195</f>
        <v>0</v>
      </c>
      <c r="Z195" s="21" t="str">
        <f>[2]底表!BJ195</f>
        <v>多1起</v>
      </c>
      <c r="AA195" s="21">
        <f>[2]底表!BK195</f>
        <v>0.3333</v>
      </c>
      <c r="AB195" s="21">
        <f>[2]底表!BL195</f>
        <v>1</v>
      </c>
      <c r="AC195" s="21">
        <f>[2]底表!BM195</f>
        <v>0</v>
      </c>
      <c r="AD195" s="21" t="str">
        <f>[2]底表!BN195</f>
        <v>多1起</v>
      </c>
      <c r="AE195" s="21">
        <f>[2]底表!BO195</f>
        <v>0</v>
      </c>
      <c r="AF195" s="21" t="str">
        <f>[2]底表!BP195</f>
        <v>多1起</v>
      </c>
      <c r="AG195" s="21">
        <f>[2]底表!BT195</f>
        <v>3</v>
      </c>
      <c r="AH195" s="21" t="str">
        <f>[2]底表!BU195</f>
        <v>少3起</v>
      </c>
      <c r="AI195" s="21">
        <f>[2]底表!BV195</f>
        <v>0</v>
      </c>
      <c r="AJ195" s="21">
        <f>[2]底表!BW195</f>
        <v>0</v>
      </c>
      <c r="AK195" s="21">
        <f>[2]底表!BX195</f>
        <v>0</v>
      </c>
      <c r="AL195" s="21">
        <f>[2]底表!BY195</f>
        <v>0</v>
      </c>
      <c r="AM195" s="21">
        <f>[2]底表!BZ195</f>
        <v>0</v>
      </c>
      <c r="AN195" s="21">
        <f>[2]底表!CA195</f>
        <v>0</v>
      </c>
      <c r="AO195" s="21" t="str">
        <f>[2]底表!CB195</f>
        <v>持平</v>
      </c>
      <c r="AP195" s="21">
        <f>[2]底表!CC195</f>
        <v>0</v>
      </c>
      <c r="AQ195" s="21" t="str">
        <f>[2]底表!CD195</f>
        <v>持平</v>
      </c>
      <c r="AR195" s="21" t="str">
        <f>[2]底表!CE195</f>
        <v/>
      </c>
      <c r="AS195" s="21" t="str">
        <f>[2]底表!CF195</f>
        <v/>
      </c>
      <c r="AT195" s="21">
        <f>[2]底表!CG195</f>
        <v>1</v>
      </c>
      <c r="AU195" s="21">
        <f>[2]底表!CH195</f>
        <v>4</v>
      </c>
      <c r="AV195" s="21">
        <f>[2]底表!CI195</f>
        <v>-0.75</v>
      </c>
      <c r="AW195" s="21">
        <f>[2]底表!CJ195</f>
        <v>2</v>
      </c>
      <c r="AX195" s="21">
        <f>[2]底表!CK195</f>
        <v>-0.5</v>
      </c>
      <c r="AY195" s="21">
        <f>[2]底表!CL195</f>
        <v>33</v>
      </c>
      <c r="AZ195" s="21">
        <f>[2]底表!CM195</f>
        <v>-100</v>
      </c>
      <c r="BA195" s="21">
        <f>[2]底表!CN195</f>
        <v>-0.75</v>
      </c>
      <c r="BB195" s="21">
        <f>[2]底表!CO195</f>
        <v>2</v>
      </c>
      <c r="BC195" s="21">
        <f>[2]底表!CP195</f>
        <v>3</v>
      </c>
      <c r="BD195" s="21">
        <f>[2]底表!CQ195</f>
        <v>-0.3333</v>
      </c>
      <c r="BE195" s="21">
        <f>[2]底表!CR195</f>
        <v>1</v>
      </c>
      <c r="BF195" s="21">
        <f>[2]底表!CS195</f>
        <v>1</v>
      </c>
      <c r="BG195" s="21">
        <f>[2]底表!CT195</f>
        <v>2</v>
      </c>
      <c r="BH195" s="21">
        <f>[2]底表!CU195</f>
        <v>1.25</v>
      </c>
      <c r="BI195" s="21">
        <f>[2]底表!CV195</f>
        <v>67</v>
      </c>
      <c r="BJ195" s="21">
        <f>[2]底表!CW195</f>
        <v>-33</v>
      </c>
      <c r="BK195" s="21">
        <f>[2]底表!CX195</f>
        <v>-0.3333</v>
      </c>
      <c r="BL195" s="21">
        <f>[2]底表!CY195</f>
        <v>2</v>
      </c>
      <c r="BM195" s="21">
        <f>[2]底表!CZ195</f>
        <v>3</v>
      </c>
      <c r="BN195" s="23">
        <f>[2]底表!DA195</f>
        <v>-0.3333</v>
      </c>
      <c r="BO195" s="21">
        <f>[2]底表!DB195</f>
        <v>1</v>
      </c>
      <c r="BP195" s="21">
        <f>[2]底表!DC195</f>
        <v>1</v>
      </c>
      <c r="BQ195" s="21">
        <f>[2]底表!DD195</f>
        <v>2</v>
      </c>
      <c r="BR195" s="21">
        <f>[2]底表!DE195</f>
        <v>1.25</v>
      </c>
      <c r="BS195" s="21">
        <f>[2]底表!DF195</f>
        <v>67</v>
      </c>
      <c r="BT195" s="21">
        <f>[2]底表!DG195</f>
        <v>-33</v>
      </c>
      <c r="BU195" s="21">
        <f>[2]底表!DH195</f>
        <v>-0.3333</v>
      </c>
      <c r="BV195" s="21">
        <f>[2]底表!DI195</f>
        <v>0</v>
      </c>
      <c r="BW195" s="21">
        <f>[2]底表!DJ195</f>
        <v>0</v>
      </c>
      <c r="BX195" s="23" t="str">
        <f>[2]底表!DK195</f>
        <v>持平</v>
      </c>
      <c r="BY195" s="21">
        <f>[2]底表!DL195</f>
        <v>0</v>
      </c>
      <c r="BZ195" s="21" t="str">
        <f>[2]底表!DM195</f>
        <v>持平</v>
      </c>
      <c r="CA195" s="21">
        <f>[2]底表!DN195</f>
        <v>0</v>
      </c>
      <c r="CB195" s="21">
        <f>[2]底表!DO195</f>
        <v>0</v>
      </c>
      <c r="CC195" s="21" t="str">
        <f>[2]底表!DP195</f>
        <v>持平</v>
      </c>
      <c r="CD195" s="21">
        <f>[2]底表!DQ195</f>
        <v>0</v>
      </c>
      <c r="CE195" s="21" t="str">
        <f>[2]底表!DR195</f>
        <v>持平</v>
      </c>
      <c r="CF195" s="21">
        <f>[2]底表!DS195</f>
        <v>0</v>
      </c>
      <c r="CG195" s="21">
        <f>[2]底表!DT195</f>
        <v>0</v>
      </c>
      <c r="CH195" s="21" t="str">
        <f>[2]底表!DU195</f>
        <v>持平</v>
      </c>
      <c r="CI195" s="21">
        <f>[2]底表!DV195</f>
        <v>0</v>
      </c>
      <c r="CJ195" s="21" t="str">
        <f>[2]底表!DW195</f>
        <v>持平</v>
      </c>
      <c r="CK195" s="21">
        <f>[2]底表!DX195</f>
        <v>1</v>
      </c>
      <c r="CL195" s="21">
        <f>[2]底表!DY195</f>
        <v>6</v>
      </c>
      <c r="CM195" s="21">
        <f>[2]底表!DZ195</f>
        <v>-0.8333</v>
      </c>
      <c r="CN195" s="21">
        <f>[2]底表!EA195</f>
        <v>1</v>
      </c>
      <c r="CO195" s="21">
        <f>[2]底表!EB195</f>
        <v>0</v>
      </c>
      <c r="CP195" s="21">
        <f>[2]底表!EC195</f>
        <v>1</v>
      </c>
      <c r="CQ195" s="21">
        <f>[2]底表!ED195</f>
        <v>6</v>
      </c>
      <c r="CR195" s="21">
        <f>[2]底表!EE195</f>
        <v>-0.8333</v>
      </c>
      <c r="CS195" s="21">
        <f>[2]底表!EF195</f>
        <v>1</v>
      </c>
      <c r="CT195" s="21">
        <f>[2]底表!EG195</f>
        <v>0</v>
      </c>
      <c r="CU195" s="21">
        <f>[2]底表!EH195</f>
        <v>0.5</v>
      </c>
      <c r="CV195" s="21">
        <f>[2]底表!EI195</f>
        <v>-1.5</v>
      </c>
      <c r="CW195" s="21">
        <f>[2]底表!EJ195</f>
        <v>33</v>
      </c>
      <c r="CX195" s="21">
        <f>[2]底表!EK195</f>
        <v>-167</v>
      </c>
      <c r="CY195" s="21">
        <f>[2]底表!EL195</f>
        <v>-0.8333</v>
      </c>
      <c r="CZ195" s="21">
        <f>[2]底表!EM195</f>
        <v>1</v>
      </c>
      <c r="DA195" s="21">
        <f>[2]底表!EN195</f>
        <v>6</v>
      </c>
      <c r="DB195" s="21">
        <f>[2]底表!EO195</f>
        <v>-0.8333</v>
      </c>
      <c r="DC195" s="21">
        <f>[2]底表!EP195</f>
        <v>1</v>
      </c>
      <c r="DD195" s="21">
        <f>[2]底表!EQ195</f>
        <v>0</v>
      </c>
      <c r="DE195" s="21">
        <f>[2]底表!ER195</f>
        <v>0</v>
      </c>
      <c r="DF195" s="21">
        <f>[2]底表!ES195</f>
        <v>0</v>
      </c>
      <c r="DG195" s="23" t="str">
        <f>[2]底表!ET195</f>
        <v>持平</v>
      </c>
      <c r="DH195" s="21">
        <f>[2]底表!EU195</f>
        <v>3</v>
      </c>
      <c r="DI195" s="21" t="str">
        <f>[2]底表!EV195</f>
        <v>少3人</v>
      </c>
      <c r="DJ195" s="21">
        <f>[2]底表!EW195</f>
        <v>0</v>
      </c>
      <c r="DK195" s="21">
        <f>[2]底表!EX195</f>
        <v>0</v>
      </c>
      <c r="DL195" s="21">
        <f>[2]底表!EY195</f>
        <v>0</v>
      </c>
      <c r="DM195" s="21">
        <f>[2]底表!EZ195</f>
        <v>0</v>
      </c>
      <c r="DN195" s="21" t="str">
        <f>[2]底表!FA195</f>
        <v/>
      </c>
      <c r="DO195" s="21">
        <f>[2]底表!BQ195</f>
        <v>0</v>
      </c>
      <c r="DP195" s="21">
        <f>[2]底表!BR195</f>
        <v>0</v>
      </c>
      <c r="DQ195" s="24" t="str">
        <f>[2]底表!BS195</f>
        <v>持平</v>
      </c>
    </row>
    <row r="196" s="2" customFormat="1" ht="32" hidden="1" customHeight="1" spans="1:121">
      <c r="A196" s="27" t="str">
        <f>[2]底表!A196</f>
        <v>性侵</v>
      </c>
      <c r="B196" s="28" t="str">
        <f>[2]底表!B196</f>
        <v>云安区</v>
      </c>
      <c r="C196" s="21">
        <f>[2]底表!AM196</f>
        <v>2</v>
      </c>
      <c r="D196" s="21">
        <f>[2]底表!AN196</f>
        <v>0</v>
      </c>
      <c r="E196" s="23" t="str">
        <f>[2]底表!AO196</f>
        <v>多2起</v>
      </c>
      <c r="F196" s="21">
        <f>[2]底表!AP196</f>
        <v>0</v>
      </c>
      <c r="G196" s="21" t="str">
        <f>[2]底表!AQ196</f>
        <v>多2起</v>
      </c>
      <c r="H196" s="21">
        <f>[2]底表!AR196</f>
        <v>1</v>
      </c>
      <c r="I196" s="21" t="str">
        <f>[2]底表!AS196</f>
        <v/>
      </c>
      <c r="J196" s="21">
        <f>[2]底表!AT196</f>
        <v>2</v>
      </c>
      <c r="K196" s="21">
        <f>[2]底表!AU196</f>
        <v>0</v>
      </c>
      <c r="L196" s="21" t="str">
        <f>[2]底表!AV196</f>
        <v>多2起</v>
      </c>
      <c r="M196" s="21">
        <f>[2]底表!AW196</f>
        <v>0</v>
      </c>
      <c r="N196" s="21" t="str">
        <f>[2]底表!AX196</f>
        <v>多2起</v>
      </c>
      <c r="O196" s="21">
        <f>[2]底表!AY196</f>
        <v>2</v>
      </c>
      <c r="P196" s="21">
        <f>[2]底表!AZ196</f>
        <v>0</v>
      </c>
      <c r="Q196" s="21" t="str">
        <f>[2]底表!BA196</f>
        <v>多2起</v>
      </c>
      <c r="R196" s="21">
        <f>[2]底表!BB196</f>
        <v>0</v>
      </c>
      <c r="S196" s="21" t="str">
        <f>[2]底表!BC196</f>
        <v>多2起</v>
      </c>
      <c r="T196" s="21">
        <f>[2]底表!BD196</f>
        <v>1</v>
      </c>
      <c r="U196" s="21" t="str">
        <f>[2]底表!BE196</f>
        <v/>
      </c>
      <c r="V196" s="21">
        <f>[2]底表!BF196</f>
        <v>0</v>
      </c>
      <c r="W196" s="21">
        <f>[2]底表!BG196</f>
        <v>0</v>
      </c>
      <c r="X196" s="21" t="str">
        <f>[2]底表!BH196</f>
        <v>持平</v>
      </c>
      <c r="Y196" s="21">
        <f>[2]底表!BI196</f>
        <v>0</v>
      </c>
      <c r="Z196" s="21" t="str">
        <f>[2]底表!BJ196</f>
        <v>持平</v>
      </c>
      <c r="AA196" s="21">
        <f>[2]底表!BK196</f>
        <v>0</v>
      </c>
      <c r="AB196" s="21">
        <f>[2]底表!BL196</f>
        <v>0</v>
      </c>
      <c r="AC196" s="21">
        <f>[2]底表!BM196</f>
        <v>0</v>
      </c>
      <c r="AD196" s="21" t="str">
        <f>[2]底表!BN196</f>
        <v>持平</v>
      </c>
      <c r="AE196" s="21">
        <f>[2]底表!BO196</f>
        <v>0</v>
      </c>
      <c r="AF196" s="21" t="str">
        <f>[2]底表!BP196</f>
        <v>持平</v>
      </c>
      <c r="AG196" s="21">
        <f>[2]底表!BT196</f>
        <v>0</v>
      </c>
      <c r="AH196" s="21" t="str">
        <f>[2]底表!BU196</f>
        <v>持平</v>
      </c>
      <c r="AI196" s="21">
        <f>[2]底表!BV196</f>
        <v>0</v>
      </c>
      <c r="AJ196" s="21" t="str">
        <f>[2]底表!BW196</f>
        <v/>
      </c>
      <c r="AK196" s="21">
        <f>[2]底表!BX196</f>
        <v>0</v>
      </c>
      <c r="AL196" s="21" t="str">
        <f>[2]底表!BY196</f>
        <v/>
      </c>
      <c r="AM196" s="21">
        <f>[2]底表!BZ196</f>
        <v>0</v>
      </c>
      <c r="AN196" s="21">
        <f>[2]底表!CA196</f>
        <v>0</v>
      </c>
      <c r="AO196" s="21" t="str">
        <f>[2]底表!CB196</f>
        <v>持平</v>
      </c>
      <c r="AP196" s="21">
        <f>[2]底表!CC196</f>
        <v>0</v>
      </c>
      <c r="AQ196" s="21" t="str">
        <f>[2]底表!CD196</f>
        <v>持平</v>
      </c>
      <c r="AR196" s="21" t="str">
        <f>[2]底表!CE196</f>
        <v/>
      </c>
      <c r="AS196" s="21" t="str">
        <f>[2]底表!CF196</f>
        <v/>
      </c>
      <c r="AT196" s="21">
        <f>[2]底表!CG196</f>
        <v>2</v>
      </c>
      <c r="AU196" s="21">
        <f>[2]底表!CH196</f>
        <v>0</v>
      </c>
      <c r="AV196" s="21" t="str">
        <f>[2]底表!CI196</f>
        <v>多2人</v>
      </c>
      <c r="AW196" s="21">
        <f>[2]底表!CJ196</f>
        <v>0</v>
      </c>
      <c r="AX196" s="21" t="str">
        <f>[2]底表!CK196</f>
        <v>多2人</v>
      </c>
      <c r="AY196" s="21">
        <f>[2]底表!CL196</f>
        <v>100</v>
      </c>
      <c r="AZ196" s="21" t="str">
        <f>[2]底表!CM196</f>
        <v/>
      </c>
      <c r="BA196" s="21" t="str">
        <f>[2]底表!CN196</f>
        <v/>
      </c>
      <c r="BB196" s="21">
        <f>[2]底表!CO196</f>
        <v>2</v>
      </c>
      <c r="BC196" s="21">
        <f>[2]底表!CP196</f>
        <v>0</v>
      </c>
      <c r="BD196" s="21" t="str">
        <f>[2]底表!CQ196</f>
        <v>多2人</v>
      </c>
      <c r="BE196" s="21">
        <f>[2]底表!CR196</f>
        <v>0</v>
      </c>
      <c r="BF196" s="21" t="str">
        <f>[2]底表!CS196</f>
        <v>多2人</v>
      </c>
      <c r="BG196" s="21">
        <f>[2]底表!CT196</f>
        <v>1</v>
      </c>
      <c r="BH196" s="21" t="str">
        <f>[2]底表!CU196</f>
        <v/>
      </c>
      <c r="BI196" s="21">
        <f>[2]底表!CV196</f>
        <v>100</v>
      </c>
      <c r="BJ196" s="21" t="str">
        <f>[2]底表!CW196</f>
        <v/>
      </c>
      <c r="BK196" s="21" t="str">
        <f>[2]底表!CX196</f>
        <v/>
      </c>
      <c r="BL196" s="21">
        <f>[2]底表!CY196</f>
        <v>2</v>
      </c>
      <c r="BM196" s="21">
        <f>[2]底表!CZ196</f>
        <v>0</v>
      </c>
      <c r="BN196" s="23" t="str">
        <f>[2]底表!DA196</f>
        <v>多2人</v>
      </c>
      <c r="BO196" s="21">
        <f>[2]底表!DB196</f>
        <v>0</v>
      </c>
      <c r="BP196" s="21" t="str">
        <f>[2]底表!DC196</f>
        <v>多2人</v>
      </c>
      <c r="BQ196" s="21">
        <f>[2]底表!DD196</f>
        <v>1</v>
      </c>
      <c r="BR196" s="21" t="str">
        <f>[2]底表!DE196</f>
        <v/>
      </c>
      <c r="BS196" s="21">
        <f>[2]底表!DF196</f>
        <v>100</v>
      </c>
      <c r="BT196" s="21" t="str">
        <f>[2]底表!DG196</f>
        <v/>
      </c>
      <c r="BU196" s="21" t="str">
        <f>[2]底表!DH196</f>
        <v/>
      </c>
      <c r="BV196" s="21">
        <f>[2]底表!DI196</f>
        <v>0</v>
      </c>
      <c r="BW196" s="21">
        <f>[2]底表!DJ196</f>
        <v>0</v>
      </c>
      <c r="BX196" s="23" t="str">
        <f>[2]底表!DK196</f>
        <v>持平</v>
      </c>
      <c r="BY196" s="21">
        <f>[2]底表!DL196</f>
        <v>0</v>
      </c>
      <c r="BZ196" s="21" t="str">
        <f>[2]底表!DM196</f>
        <v>持平</v>
      </c>
      <c r="CA196" s="21">
        <f>[2]底表!DN196</f>
        <v>1</v>
      </c>
      <c r="CB196" s="21">
        <f>[2]底表!DO196</f>
        <v>0</v>
      </c>
      <c r="CC196" s="21" t="str">
        <f>[2]底表!DP196</f>
        <v>多1人</v>
      </c>
      <c r="CD196" s="21">
        <f>[2]底表!DQ196</f>
        <v>0</v>
      </c>
      <c r="CE196" s="21" t="str">
        <f>[2]底表!DR196</f>
        <v>多1人</v>
      </c>
      <c r="CF196" s="21">
        <f>[2]底表!DS196</f>
        <v>1</v>
      </c>
      <c r="CG196" s="21">
        <f>[2]底表!DT196</f>
        <v>0</v>
      </c>
      <c r="CH196" s="21" t="str">
        <f>[2]底表!DU196</f>
        <v>多1人</v>
      </c>
      <c r="CI196" s="21">
        <f>[2]底表!DV196</f>
        <v>0</v>
      </c>
      <c r="CJ196" s="21" t="str">
        <f>[2]底表!DW196</f>
        <v>多1人</v>
      </c>
      <c r="CK196" s="21">
        <f>[2]底表!DX196</f>
        <v>2</v>
      </c>
      <c r="CL196" s="21">
        <f>[2]底表!DY196</f>
        <v>0</v>
      </c>
      <c r="CM196" s="21" t="str">
        <f>[2]底表!DZ196</f>
        <v>多2人</v>
      </c>
      <c r="CN196" s="21">
        <f>[2]底表!EA196</f>
        <v>0</v>
      </c>
      <c r="CO196" s="21" t="str">
        <f>[2]底表!EB196</f>
        <v>多2人</v>
      </c>
      <c r="CP196" s="21">
        <f>[2]底表!EC196</f>
        <v>1</v>
      </c>
      <c r="CQ196" s="21">
        <f>[2]底表!ED196</f>
        <v>0</v>
      </c>
      <c r="CR196" s="21" t="str">
        <f>[2]底表!EE196</f>
        <v>多1人</v>
      </c>
      <c r="CS196" s="21">
        <f>[2]底表!EF196</f>
        <v>0</v>
      </c>
      <c r="CT196" s="21" t="str">
        <f>[2]底表!EG196</f>
        <v>多1人</v>
      </c>
      <c r="CU196" s="21">
        <f>[2]底表!EH196</f>
        <v>0.5</v>
      </c>
      <c r="CV196" s="21" t="str">
        <f>[2]底表!EI196</f>
        <v/>
      </c>
      <c r="CW196" s="21">
        <f>[2]底表!EJ196</f>
        <v>50</v>
      </c>
      <c r="CX196" s="21" t="str">
        <f>[2]底表!EK196</f>
        <v/>
      </c>
      <c r="CY196" s="21" t="str">
        <f>[2]底表!EL196</f>
        <v/>
      </c>
      <c r="CZ196" s="21">
        <f>[2]底表!EM196</f>
        <v>1</v>
      </c>
      <c r="DA196" s="21">
        <f>[2]底表!EN196</f>
        <v>0</v>
      </c>
      <c r="DB196" s="21" t="str">
        <f>[2]底表!EO196</f>
        <v>多1人</v>
      </c>
      <c r="DC196" s="21">
        <f>[2]底表!EP196</f>
        <v>0</v>
      </c>
      <c r="DD196" s="21" t="str">
        <f>[2]底表!EQ196</f>
        <v>多1人</v>
      </c>
      <c r="DE196" s="21">
        <f>[2]底表!ER196</f>
        <v>0</v>
      </c>
      <c r="DF196" s="21">
        <f>[2]底表!ES196</f>
        <v>0</v>
      </c>
      <c r="DG196" s="23" t="str">
        <f>[2]底表!ET196</f>
        <v>持平</v>
      </c>
      <c r="DH196" s="21">
        <f>[2]底表!EU196</f>
        <v>0</v>
      </c>
      <c r="DI196" s="21" t="str">
        <f>[2]底表!EV196</f>
        <v>持平</v>
      </c>
      <c r="DJ196" s="21">
        <f>[2]底表!EW196</f>
        <v>0</v>
      </c>
      <c r="DK196" s="21" t="str">
        <f>[2]底表!EX196</f>
        <v/>
      </c>
      <c r="DL196" s="21">
        <f>[2]底表!EY196</f>
        <v>0</v>
      </c>
      <c r="DM196" s="21" t="str">
        <f>[2]底表!EZ196</f>
        <v/>
      </c>
      <c r="DN196" s="21" t="str">
        <f>[2]底表!FA196</f>
        <v/>
      </c>
      <c r="DO196" s="21">
        <f>[2]底表!BQ196</f>
        <v>0</v>
      </c>
      <c r="DP196" s="21">
        <f>[2]底表!BR196</f>
        <v>0</v>
      </c>
      <c r="DQ196" s="24" t="str">
        <f>[2]底表!BS196</f>
        <v>持平</v>
      </c>
    </row>
    <row r="197" s="2" customFormat="1" ht="32" hidden="1" customHeight="1" spans="1:121">
      <c r="A197" s="27" t="str">
        <f>[2]底表!A197</f>
        <v>性侵</v>
      </c>
      <c r="B197" s="28" t="str">
        <f>[2]底表!B197</f>
        <v>新兴县</v>
      </c>
      <c r="C197" s="21">
        <f>[2]底表!AM197</f>
        <v>1</v>
      </c>
      <c r="D197" s="21">
        <f>[2]底表!AN197</f>
        <v>2</v>
      </c>
      <c r="E197" s="23">
        <f>[2]底表!AO197</f>
        <v>-0.5</v>
      </c>
      <c r="F197" s="21">
        <f>[2]底表!AP197</f>
        <v>3</v>
      </c>
      <c r="G197" s="21">
        <f>[2]底表!AQ197</f>
        <v>-0.6667</v>
      </c>
      <c r="H197" s="21">
        <f>[2]底表!AR197</f>
        <v>0.3333</v>
      </c>
      <c r="I197" s="21">
        <f>[2]底表!AS197</f>
        <v>-0.3333</v>
      </c>
      <c r="J197" s="21">
        <f>[2]底表!AT197</f>
        <v>1</v>
      </c>
      <c r="K197" s="21">
        <f>[2]底表!AU197</f>
        <v>1</v>
      </c>
      <c r="L197" s="21">
        <f>[2]底表!AV197</f>
        <v>0</v>
      </c>
      <c r="M197" s="21">
        <f>[2]底表!AW197</f>
        <v>1</v>
      </c>
      <c r="N197" s="21">
        <f>[2]底表!AX197</f>
        <v>0</v>
      </c>
      <c r="O197" s="21">
        <f>[2]底表!AY197</f>
        <v>1</v>
      </c>
      <c r="P197" s="21">
        <f>[2]底表!AZ197</f>
        <v>1</v>
      </c>
      <c r="Q197" s="21">
        <f>[2]底表!BA197</f>
        <v>0</v>
      </c>
      <c r="R197" s="21">
        <f>[2]底表!BB197</f>
        <v>2</v>
      </c>
      <c r="S197" s="21">
        <f>[2]底表!BC197</f>
        <v>-0.5</v>
      </c>
      <c r="T197" s="21">
        <f>[2]底表!BD197</f>
        <v>1</v>
      </c>
      <c r="U197" s="21">
        <f>[2]底表!BE197</f>
        <v>0</v>
      </c>
      <c r="V197" s="21">
        <f>[2]底表!BF197</f>
        <v>2</v>
      </c>
      <c r="W197" s="21">
        <f>[2]底表!BG197</f>
        <v>2</v>
      </c>
      <c r="X197" s="21">
        <f>[2]底表!BH197</f>
        <v>0</v>
      </c>
      <c r="Y197" s="21">
        <f>[2]底表!BI197</f>
        <v>0</v>
      </c>
      <c r="Z197" s="21" t="str">
        <f>[2]底表!BJ197</f>
        <v>多2起</v>
      </c>
      <c r="AA197" s="21">
        <f>[2]底表!BK197</f>
        <v>0.6667</v>
      </c>
      <c r="AB197" s="21">
        <f>[2]底表!BL197</f>
        <v>0</v>
      </c>
      <c r="AC197" s="21">
        <f>[2]底表!BM197</f>
        <v>1</v>
      </c>
      <c r="AD197" s="21" t="str">
        <f>[2]底表!BN197</f>
        <v>少1起</v>
      </c>
      <c r="AE197" s="21">
        <f>[2]底表!BO197</f>
        <v>1</v>
      </c>
      <c r="AF197" s="21" t="str">
        <f>[2]底表!BP197</f>
        <v>少1起</v>
      </c>
      <c r="AG197" s="21">
        <f>[2]底表!BT197</f>
        <v>2</v>
      </c>
      <c r="AH197" s="21" t="str">
        <f>[2]底表!BU197</f>
        <v>少2起</v>
      </c>
      <c r="AI197" s="21">
        <f>[2]底表!BV197</f>
        <v>0</v>
      </c>
      <c r="AJ197" s="21">
        <f>[2]底表!BW197</f>
        <v>0</v>
      </c>
      <c r="AK197" s="21">
        <f>[2]底表!BX197</f>
        <v>0</v>
      </c>
      <c r="AL197" s="21">
        <f>[2]底表!BY197</f>
        <v>0</v>
      </c>
      <c r="AM197" s="21">
        <f>[2]底表!BZ197</f>
        <v>0</v>
      </c>
      <c r="AN197" s="21">
        <f>[2]底表!CA197</f>
        <v>0</v>
      </c>
      <c r="AO197" s="21" t="str">
        <f>[2]底表!CB197</f>
        <v>持平</v>
      </c>
      <c r="AP197" s="21">
        <f>[2]底表!CC197</f>
        <v>0</v>
      </c>
      <c r="AQ197" s="21" t="str">
        <f>[2]底表!CD197</f>
        <v>持平</v>
      </c>
      <c r="AR197" s="21" t="str">
        <f>[2]底表!CE197</f>
        <v/>
      </c>
      <c r="AS197" s="21" t="str">
        <f>[2]底表!CF197</f>
        <v/>
      </c>
      <c r="AT197" s="21">
        <f>[2]底表!CG197</f>
        <v>2</v>
      </c>
      <c r="AU197" s="21">
        <f>[2]底表!CH197</f>
        <v>2</v>
      </c>
      <c r="AV197" s="21">
        <f>[2]底表!CI197</f>
        <v>0</v>
      </c>
      <c r="AW197" s="21">
        <f>[2]底表!CJ197</f>
        <v>2</v>
      </c>
      <c r="AX197" s="21">
        <f>[2]底表!CK197</f>
        <v>0</v>
      </c>
      <c r="AY197" s="21">
        <f>[2]底表!CL197</f>
        <v>67</v>
      </c>
      <c r="AZ197" s="21">
        <f>[2]底表!CM197</f>
        <v>0</v>
      </c>
      <c r="BA197" s="21">
        <f>[2]底表!CN197</f>
        <v>0</v>
      </c>
      <c r="BB197" s="21">
        <f>[2]底表!CO197</f>
        <v>0</v>
      </c>
      <c r="BC197" s="21">
        <f>[2]底表!CP197</f>
        <v>2</v>
      </c>
      <c r="BD197" s="21" t="str">
        <f>[2]底表!CQ197</f>
        <v>少2人</v>
      </c>
      <c r="BE197" s="21">
        <f>[2]底表!CR197</f>
        <v>0</v>
      </c>
      <c r="BF197" s="21" t="str">
        <f>[2]底表!CS197</f>
        <v>持平</v>
      </c>
      <c r="BG197" s="21">
        <f>[2]底表!CT197</f>
        <v>0</v>
      </c>
      <c r="BH197" s="21">
        <f>[2]底表!CU197</f>
        <v>-1</v>
      </c>
      <c r="BI197" s="21">
        <f>[2]底表!CV197</f>
        <v>0</v>
      </c>
      <c r="BJ197" s="21">
        <f>[2]底表!CW197</f>
        <v>-67</v>
      </c>
      <c r="BK197" s="21">
        <f>[2]底表!CX197</f>
        <v>-1</v>
      </c>
      <c r="BL197" s="21">
        <f>[2]底表!CY197</f>
        <v>1</v>
      </c>
      <c r="BM197" s="21">
        <f>[2]底表!CZ197</f>
        <v>2</v>
      </c>
      <c r="BN197" s="23">
        <f>[2]底表!DA197</f>
        <v>-0.5</v>
      </c>
      <c r="BO197" s="21">
        <f>[2]底表!DB197</f>
        <v>0</v>
      </c>
      <c r="BP197" s="21" t="str">
        <f>[2]底表!DC197</f>
        <v>多1人</v>
      </c>
      <c r="BQ197" s="21">
        <f>[2]底表!DD197</f>
        <v>0.5</v>
      </c>
      <c r="BR197" s="21">
        <f>[2]底表!DE197</f>
        <v>-0.5</v>
      </c>
      <c r="BS197" s="21">
        <f>[2]底表!DF197</f>
        <v>33</v>
      </c>
      <c r="BT197" s="21">
        <f>[2]底表!DG197</f>
        <v>-33</v>
      </c>
      <c r="BU197" s="21">
        <f>[2]底表!DH197</f>
        <v>-0.5</v>
      </c>
      <c r="BV197" s="21">
        <f>[2]底表!DI197</f>
        <v>1</v>
      </c>
      <c r="BW197" s="21">
        <f>[2]底表!DJ197</f>
        <v>2</v>
      </c>
      <c r="BX197" s="23">
        <f>[2]底表!DK197</f>
        <v>-0.5</v>
      </c>
      <c r="BY197" s="21">
        <f>[2]底表!DL197</f>
        <v>0</v>
      </c>
      <c r="BZ197" s="21" t="str">
        <f>[2]底表!DM197</f>
        <v>多1人</v>
      </c>
      <c r="CA197" s="21">
        <f>[2]底表!DN197</f>
        <v>0</v>
      </c>
      <c r="CB197" s="21">
        <f>[2]底表!DO197</f>
        <v>0</v>
      </c>
      <c r="CC197" s="21" t="str">
        <f>[2]底表!DP197</f>
        <v>持平</v>
      </c>
      <c r="CD197" s="21">
        <f>[2]底表!DQ197</f>
        <v>0</v>
      </c>
      <c r="CE197" s="21" t="str">
        <f>[2]底表!DR197</f>
        <v>持平</v>
      </c>
      <c r="CF197" s="21">
        <f>[2]底表!DS197</f>
        <v>0</v>
      </c>
      <c r="CG197" s="21">
        <f>[2]底表!DT197</f>
        <v>0</v>
      </c>
      <c r="CH197" s="21" t="str">
        <f>[2]底表!DU197</f>
        <v>持平</v>
      </c>
      <c r="CI197" s="21">
        <f>[2]底表!DV197</f>
        <v>0</v>
      </c>
      <c r="CJ197" s="21" t="str">
        <f>[2]底表!DW197</f>
        <v>持平</v>
      </c>
      <c r="CK197" s="21">
        <f>[2]底表!DX197</f>
        <v>1</v>
      </c>
      <c r="CL197" s="21">
        <f>[2]底表!DY197</f>
        <v>2</v>
      </c>
      <c r="CM197" s="21">
        <f>[2]底表!DZ197</f>
        <v>-0.5</v>
      </c>
      <c r="CN197" s="21">
        <f>[2]底表!EA197</f>
        <v>1</v>
      </c>
      <c r="CO197" s="21">
        <f>[2]底表!EB197</f>
        <v>0</v>
      </c>
      <c r="CP197" s="21">
        <f>[2]底表!EC197</f>
        <v>0</v>
      </c>
      <c r="CQ197" s="21">
        <f>[2]底表!ED197</f>
        <v>2</v>
      </c>
      <c r="CR197" s="21" t="str">
        <f>[2]底表!EE197</f>
        <v>少2人</v>
      </c>
      <c r="CS197" s="21">
        <f>[2]底表!EF197</f>
        <v>2</v>
      </c>
      <c r="CT197" s="21" t="str">
        <f>[2]底表!EG197</f>
        <v>少2人</v>
      </c>
      <c r="CU197" s="21" t="str">
        <f>[2]底表!EH197</f>
        <v/>
      </c>
      <c r="CV197" s="21" t="str">
        <f>[2]底表!EI197</f>
        <v/>
      </c>
      <c r="CW197" s="21">
        <f>[2]底表!EJ197</f>
        <v>0</v>
      </c>
      <c r="CX197" s="21">
        <f>[2]底表!EK197</f>
        <v>-67</v>
      </c>
      <c r="CY197" s="21">
        <f>[2]底表!EL197</f>
        <v>-1</v>
      </c>
      <c r="CZ197" s="21">
        <f>[2]底表!EM197</f>
        <v>0</v>
      </c>
      <c r="DA197" s="21">
        <f>[2]底表!EN197</f>
        <v>2</v>
      </c>
      <c r="DB197" s="21" t="str">
        <f>[2]底表!EO197</f>
        <v>少2人</v>
      </c>
      <c r="DC197" s="21">
        <f>[2]底表!EP197</f>
        <v>2</v>
      </c>
      <c r="DD197" s="21" t="str">
        <f>[2]底表!EQ197</f>
        <v>少2人</v>
      </c>
      <c r="DE197" s="21">
        <f>[2]底表!ER197</f>
        <v>0</v>
      </c>
      <c r="DF197" s="21">
        <f>[2]底表!ES197</f>
        <v>0</v>
      </c>
      <c r="DG197" s="23" t="str">
        <f>[2]底表!ET197</f>
        <v>持平</v>
      </c>
      <c r="DH197" s="21">
        <f>[2]底表!EU197</f>
        <v>2</v>
      </c>
      <c r="DI197" s="21" t="str">
        <f>[2]底表!EV197</f>
        <v>少2人</v>
      </c>
      <c r="DJ197" s="21" t="str">
        <f>[2]底表!EW197</f>
        <v/>
      </c>
      <c r="DK197" s="21" t="str">
        <f>[2]底表!EX197</f>
        <v/>
      </c>
      <c r="DL197" s="21">
        <f>[2]底表!EY197</f>
        <v>0</v>
      </c>
      <c r="DM197" s="21">
        <f>[2]底表!EZ197</f>
        <v>0</v>
      </c>
      <c r="DN197" s="21" t="str">
        <f>[2]底表!FA197</f>
        <v/>
      </c>
      <c r="DO197" s="21">
        <f>[2]底表!BQ197</f>
        <v>0</v>
      </c>
      <c r="DP197" s="21">
        <f>[2]底表!BR197</f>
        <v>0</v>
      </c>
      <c r="DQ197" s="24" t="str">
        <f>[2]底表!BS197</f>
        <v>持平</v>
      </c>
    </row>
    <row r="198" s="2" customFormat="1" ht="32" hidden="1" customHeight="1" spans="1:121">
      <c r="A198" s="27" t="str">
        <f>[2]底表!A198</f>
        <v>性侵</v>
      </c>
      <c r="B198" s="28" t="str">
        <f>[2]底表!B198</f>
        <v>郁南县</v>
      </c>
      <c r="C198" s="21">
        <f>[2]底表!AM198</f>
        <v>2</v>
      </c>
      <c r="D198" s="21">
        <f>[2]底表!AN198</f>
        <v>0</v>
      </c>
      <c r="E198" s="23" t="str">
        <f>[2]底表!AO198</f>
        <v>多2起</v>
      </c>
      <c r="F198" s="21">
        <f>[2]底表!AP198</f>
        <v>2</v>
      </c>
      <c r="G198" s="21">
        <f>[2]底表!AQ198</f>
        <v>0</v>
      </c>
      <c r="H198" s="21">
        <f>[2]底表!AR198</f>
        <v>1</v>
      </c>
      <c r="I198" s="21" t="str">
        <f>[2]底表!AS198</f>
        <v/>
      </c>
      <c r="J198" s="21">
        <f>[2]底表!AT198</f>
        <v>1</v>
      </c>
      <c r="K198" s="21">
        <f>[2]底表!AU198</f>
        <v>0</v>
      </c>
      <c r="L198" s="21" t="str">
        <f>[2]底表!AV198</f>
        <v>多1起</v>
      </c>
      <c r="M198" s="21">
        <f>[2]底表!AW198</f>
        <v>2</v>
      </c>
      <c r="N198" s="21">
        <f>[2]底表!AX198</f>
        <v>-0.5</v>
      </c>
      <c r="O198" s="21">
        <f>[2]底表!AY198</f>
        <v>1</v>
      </c>
      <c r="P198" s="21">
        <f>[2]底表!AZ198</f>
        <v>0</v>
      </c>
      <c r="Q198" s="21" t="str">
        <f>[2]底表!BA198</f>
        <v>多1起</v>
      </c>
      <c r="R198" s="21">
        <f>[2]底表!BB198</f>
        <v>2</v>
      </c>
      <c r="S198" s="21">
        <f>[2]底表!BC198</f>
        <v>-0.5</v>
      </c>
      <c r="T198" s="21">
        <f>[2]底表!BD198</f>
        <v>1</v>
      </c>
      <c r="U198" s="21" t="str">
        <f>[2]底表!BE198</f>
        <v/>
      </c>
      <c r="V198" s="21">
        <f>[2]底表!BF198</f>
        <v>1</v>
      </c>
      <c r="W198" s="21">
        <f>[2]底表!BG198</f>
        <v>0</v>
      </c>
      <c r="X198" s="21" t="str">
        <f>[2]底表!BH198</f>
        <v>多1起</v>
      </c>
      <c r="Y198" s="21">
        <f>[2]底表!BI198</f>
        <v>0</v>
      </c>
      <c r="Z198" s="21" t="str">
        <f>[2]底表!BJ198</f>
        <v>多1起</v>
      </c>
      <c r="AA198" s="21">
        <f>[2]底表!BK198</f>
        <v>0.5</v>
      </c>
      <c r="AB198" s="21">
        <f>[2]底表!BL198</f>
        <v>1</v>
      </c>
      <c r="AC198" s="21">
        <f>[2]底表!BM198</f>
        <v>0</v>
      </c>
      <c r="AD198" s="21" t="str">
        <f>[2]底表!BN198</f>
        <v>多1起</v>
      </c>
      <c r="AE198" s="21">
        <f>[2]底表!BO198</f>
        <v>0</v>
      </c>
      <c r="AF198" s="21" t="str">
        <f>[2]底表!BP198</f>
        <v>多1起</v>
      </c>
      <c r="AG198" s="21">
        <f>[2]底表!BT198</f>
        <v>1</v>
      </c>
      <c r="AH198" s="21" t="str">
        <f>[2]底表!BU198</f>
        <v>少1起</v>
      </c>
      <c r="AI198" s="21">
        <f>[2]底表!BV198</f>
        <v>0</v>
      </c>
      <c r="AJ198" s="21" t="str">
        <f>[2]底表!BW198</f>
        <v/>
      </c>
      <c r="AK198" s="21">
        <f>[2]底表!BX198</f>
        <v>0</v>
      </c>
      <c r="AL198" s="21" t="str">
        <f>[2]底表!BY198</f>
        <v/>
      </c>
      <c r="AM198" s="21">
        <f>[2]底表!BZ198</f>
        <v>0</v>
      </c>
      <c r="AN198" s="21">
        <f>[2]底表!CA198</f>
        <v>0</v>
      </c>
      <c r="AO198" s="21" t="str">
        <f>[2]底表!CB198</f>
        <v>持平</v>
      </c>
      <c r="AP198" s="21">
        <f>[2]底表!CC198</f>
        <v>0</v>
      </c>
      <c r="AQ198" s="21" t="str">
        <f>[2]底表!CD198</f>
        <v>持平</v>
      </c>
      <c r="AR198" s="21" t="str">
        <f>[2]底表!CE198</f>
        <v/>
      </c>
      <c r="AS198" s="21" t="str">
        <f>[2]底表!CF198</f>
        <v/>
      </c>
      <c r="AT198" s="21">
        <f>[2]底表!CG198</f>
        <v>4</v>
      </c>
      <c r="AU198" s="21">
        <f>[2]底表!CH198</f>
        <v>0</v>
      </c>
      <c r="AV198" s="21" t="str">
        <f>[2]底表!CI198</f>
        <v>多4人</v>
      </c>
      <c r="AW198" s="21">
        <f>[2]底表!CJ198</f>
        <v>2</v>
      </c>
      <c r="AX198" s="21">
        <f>[2]底表!CK198</f>
        <v>1</v>
      </c>
      <c r="AY198" s="21">
        <f>[2]底表!CL198</f>
        <v>200</v>
      </c>
      <c r="AZ198" s="21" t="str">
        <f>[2]底表!CM198</f>
        <v/>
      </c>
      <c r="BA198" s="21" t="str">
        <f>[2]底表!CN198</f>
        <v/>
      </c>
      <c r="BB198" s="21">
        <f>[2]底表!CO198</f>
        <v>3</v>
      </c>
      <c r="BC198" s="21">
        <f>[2]底表!CP198</f>
        <v>0</v>
      </c>
      <c r="BD198" s="21" t="str">
        <f>[2]底表!CQ198</f>
        <v>多3人</v>
      </c>
      <c r="BE198" s="21">
        <f>[2]底表!CR198</f>
        <v>2</v>
      </c>
      <c r="BF198" s="21">
        <f>[2]底表!CS198</f>
        <v>0.5</v>
      </c>
      <c r="BG198" s="21">
        <f>[2]底表!CT198</f>
        <v>0.75</v>
      </c>
      <c r="BH198" s="21" t="str">
        <f>[2]底表!CU198</f>
        <v/>
      </c>
      <c r="BI198" s="21">
        <f>[2]底表!CV198</f>
        <v>150</v>
      </c>
      <c r="BJ198" s="21" t="str">
        <f>[2]底表!CW198</f>
        <v/>
      </c>
      <c r="BK198" s="21" t="str">
        <f>[2]底表!CX198</f>
        <v/>
      </c>
      <c r="BL198" s="21">
        <f>[2]底表!CY198</f>
        <v>3</v>
      </c>
      <c r="BM198" s="21">
        <f>[2]底表!CZ198</f>
        <v>0</v>
      </c>
      <c r="BN198" s="23" t="str">
        <f>[2]底表!DA198</f>
        <v>多3人</v>
      </c>
      <c r="BO198" s="21">
        <f>[2]底表!DB198</f>
        <v>2</v>
      </c>
      <c r="BP198" s="21">
        <f>[2]底表!DC198</f>
        <v>0.5</v>
      </c>
      <c r="BQ198" s="21">
        <f>[2]底表!DD198</f>
        <v>0.75</v>
      </c>
      <c r="BR198" s="21" t="str">
        <f>[2]底表!DE198</f>
        <v/>
      </c>
      <c r="BS198" s="21">
        <f>[2]底表!DF198</f>
        <v>150</v>
      </c>
      <c r="BT198" s="21" t="str">
        <f>[2]底表!DG198</f>
        <v/>
      </c>
      <c r="BU198" s="21" t="str">
        <f>[2]底表!DH198</f>
        <v/>
      </c>
      <c r="BV198" s="21">
        <f>[2]底表!DI198</f>
        <v>5</v>
      </c>
      <c r="BW198" s="21">
        <f>[2]底表!DJ198</f>
        <v>0</v>
      </c>
      <c r="BX198" s="23" t="str">
        <f>[2]底表!DK198</f>
        <v>多5人</v>
      </c>
      <c r="BY198" s="21">
        <f>[2]底表!DL198</f>
        <v>2</v>
      </c>
      <c r="BZ198" s="21">
        <f>[2]底表!DM198</f>
        <v>1.5</v>
      </c>
      <c r="CA198" s="21">
        <f>[2]底表!DN198</f>
        <v>0</v>
      </c>
      <c r="CB198" s="21">
        <f>[2]底表!DO198</f>
        <v>0</v>
      </c>
      <c r="CC198" s="21" t="str">
        <f>[2]底表!DP198</f>
        <v>持平</v>
      </c>
      <c r="CD198" s="21">
        <f>[2]底表!DQ198</f>
        <v>0</v>
      </c>
      <c r="CE198" s="21" t="str">
        <f>[2]底表!DR198</f>
        <v>持平</v>
      </c>
      <c r="CF198" s="21">
        <f>[2]底表!DS198</f>
        <v>0</v>
      </c>
      <c r="CG198" s="21">
        <f>[2]底表!DT198</f>
        <v>0</v>
      </c>
      <c r="CH198" s="21" t="str">
        <f>[2]底表!DU198</f>
        <v>持平</v>
      </c>
      <c r="CI198" s="21">
        <f>[2]底表!DV198</f>
        <v>0</v>
      </c>
      <c r="CJ198" s="21" t="str">
        <f>[2]底表!DW198</f>
        <v>持平</v>
      </c>
      <c r="CK198" s="21">
        <f>[2]底表!DX198</f>
        <v>3</v>
      </c>
      <c r="CL198" s="21">
        <f>[2]底表!DY198</f>
        <v>0</v>
      </c>
      <c r="CM198" s="21" t="str">
        <f>[2]底表!DZ198</f>
        <v>多3人</v>
      </c>
      <c r="CN198" s="21">
        <f>[2]底表!EA198</f>
        <v>3</v>
      </c>
      <c r="CO198" s="21">
        <f>[2]底表!EB198</f>
        <v>0</v>
      </c>
      <c r="CP198" s="21">
        <f>[2]底表!EC198</f>
        <v>1</v>
      </c>
      <c r="CQ198" s="21">
        <f>[2]底表!ED198</f>
        <v>0</v>
      </c>
      <c r="CR198" s="21" t="str">
        <f>[2]底表!EE198</f>
        <v>多1人</v>
      </c>
      <c r="CS198" s="21">
        <f>[2]底表!EF198</f>
        <v>3</v>
      </c>
      <c r="CT198" s="21">
        <f>[2]底表!EG198</f>
        <v>-0.6667</v>
      </c>
      <c r="CU198" s="21">
        <f>[2]底表!EH198</f>
        <v>0.3333</v>
      </c>
      <c r="CV198" s="21" t="str">
        <f>[2]底表!EI198</f>
        <v/>
      </c>
      <c r="CW198" s="21">
        <f>[2]底表!EJ198</f>
        <v>50</v>
      </c>
      <c r="CX198" s="21" t="str">
        <f>[2]底表!EK198</f>
        <v/>
      </c>
      <c r="CY198" s="21" t="str">
        <f>[2]底表!EL198</f>
        <v/>
      </c>
      <c r="CZ198" s="21">
        <f>[2]底表!EM198</f>
        <v>1</v>
      </c>
      <c r="DA198" s="21">
        <f>[2]底表!EN198</f>
        <v>0</v>
      </c>
      <c r="DB198" s="21" t="str">
        <f>[2]底表!EO198</f>
        <v>多1人</v>
      </c>
      <c r="DC198" s="21">
        <f>[2]底表!EP198</f>
        <v>3</v>
      </c>
      <c r="DD198" s="21">
        <f>[2]底表!EQ198</f>
        <v>-0.6667</v>
      </c>
      <c r="DE198" s="21">
        <f>[2]底表!ER198</f>
        <v>0</v>
      </c>
      <c r="DF198" s="21">
        <f>[2]底表!ES198</f>
        <v>0</v>
      </c>
      <c r="DG198" s="23" t="str">
        <f>[2]底表!ET198</f>
        <v>持平</v>
      </c>
      <c r="DH198" s="21">
        <f>[2]底表!EU198</f>
        <v>1</v>
      </c>
      <c r="DI198" s="21" t="str">
        <f>[2]底表!EV198</f>
        <v>少1人</v>
      </c>
      <c r="DJ198" s="21">
        <f>[2]底表!EW198</f>
        <v>0</v>
      </c>
      <c r="DK198" s="21" t="str">
        <f>[2]底表!EX198</f>
        <v/>
      </c>
      <c r="DL198" s="21">
        <f>[2]底表!EY198</f>
        <v>0</v>
      </c>
      <c r="DM198" s="21" t="str">
        <f>[2]底表!EZ198</f>
        <v/>
      </c>
      <c r="DN198" s="21" t="str">
        <f>[2]底表!FA198</f>
        <v/>
      </c>
      <c r="DO198" s="21">
        <f>[2]底表!BQ198</f>
        <v>0</v>
      </c>
      <c r="DP198" s="21">
        <f>[2]底表!BR198</f>
        <v>0</v>
      </c>
      <c r="DQ198" s="24" t="str">
        <f>[2]底表!BS198</f>
        <v>持平</v>
      </c>
    </row>
    <row r="199" s="2" customFormat="1" ht="32" hidden="1" customHeight="1" spans="1:121">
      <c r="A199" s="27" t="str">
        <f>[2]底表!A199</f>
        <v>性侵</v>
      </c>
      <c r="B199" s="28" t="str">
        <f>[2]底表!B199</f>
        <v>罗定市</v>
      </c>
      <c r="C199" s="21">
        <f>[2]底表!AM199</f>
        <v>2</v>
      </c>
      <c r="D199" s="21">
        <f>[2]底表!AN199</f>
        <v>4</v>
      </c>
      <c r="E199" s="23">
        <f>[2]底表!AO199</f>
        <v>-0.5</v>
      </c>
      <c r="F199" s="21">
        <f>[2]底表!AP199</f>
        <v>3</v>
      </c>
      <c r="G199" s="21">
        <f>[2]底表!AQ199</f>
        <v>-0.3333</v>
      </c>
      <c r="H199" s="21">
        <f>[2]底表!AR199</f>
        <v>0.6667</v>
      </c>
      <c r="I199" s="21">
        <f>[2]底表!AS199</f>
        <v>-0.3333</v>
      </c>
      <c r="J199" s="21">
        <f>[2]底表!AT199</f>
        <v>2</v>
      </c>
      <c r="K199" s="21">
        <f>[2]底表!AU199</f>
        <v>3</v>
      </c>
      <c r="L199" s="21">
        <f>[2]底表!AV199</f>
        <v>-0.3333</v>
      </c>
      <c r="M199" s="21">
        <f>[2]底表!AW199</f>
        <v>2</v>
      </c>
      <c r="N199" s="21">
        <f>[2]底表!AX199</f>
        <v>0</v>
      </c>
      <c r="O199" s="21">
        <f>[2]底表!AY199</f>
        <v>1</v>
      </c>
      <c r="P199" s="21">
        <f>[2]底表!AZ199</f>
        <v>3</v>
      </c>
      <c r="Q199" s="21">
        <f>[2]底表!BA199</f>
        <v>-0.6667</v>
      </c>
      <c r="R199" s="21">
        <f>[2]底表!BB199</f>
        <v>2</v>
      </c>
      <c r="S199" s="21">
        <f>[2]底表!BC199</f>
        <v>-0.5</v>
      </c>
      <c r="T199" s="21">
        <f>[2]底表!BD199</f>
        <v>0.5</v>
      </c>
      <c r="U199" s="21">
        <f>[2]底表!BE199</f>
        <v>-0.5</v>
      </c>
      <c r="V199" s="21">
        <f>[2]底表!BF199</f>
        <v>1</v>
      </c>
      <c r="W199" s="21">
        <f>[2]底表!BG199</f>
        <v>1</v>
      </c>
      <c r="X199" s="21">
        <f>[2]底表!BH199</f>
        <v>0</v>
      </c>
      <c r="Y199" s="21">
        <f>[2]底表!BI199</f>
        <v>0</v>
      </c>
      <c r="Z199" s="21" t="str">
        <f>[2]底表!BJ199</f>
        <v>多1起</v>
      </c>
      <c r="AA199" s="21">
        <f>[2]底表!BK199</f>
        <v>0.3333</v>
      </c>
      <c r="AB199" s="21">
        <f>[2]底表!BL199</f>
        <v>1</v>
      </c>
      <c r="AC199" s="21">
        <f>[2]底表!BM199</f>
        <v>1</v>
      </c>
      <c r="AD199" s="21">
        <f>[2]底表!BN199</f>
        <v>0</v>
      </c>
      <c r="AE199" s="21">
        <f>[2]底表!BO199</f>
        <v>1</v>
      </c>
      <c r="AF199" s="21">
        <f>[2]底表!BP199</f>
        <v>0</v>
      </c>
      <c r="AG199" s="21">
        <f>[2]底表!BT199</f>
        <v>5</v>
      </c>
      <c r="AH199" s="21" t="str">
        <f>[2]底表!BU199</f>
        <v>少5起</v>
      </c>
      <c r="AI199" s="21">
        <f>[2]底表!BV199</f>
        <v>0</v>
      </c>
      <c r="AJ199" s="21">
        <f>[2]底表!BW199</f>
        <v>0</v>
      </c>
      <c r="AK199" s="21">
        <f>[2]底表!BX199</f>
        <v>0</v>
      </c>
      <c r="AL199" s="21">
        <f>[2]底表!BY199</f>
        <v>0</v>
      </c>
      <c r="AM199" s="21">
        <f>[2]底表!BZ199</f>
        <v>0</v>
      </c>
      <c r="AN199" s="21">
        <f>[2]底表!CA199</f>
        <v>0</v>
      </c>
      <c r="AO199" s="21" t="str">
        <f>[2]底表!CB199</f>
        <v>持平</v>
      </c>
      <c r="AP199" s="21">
        <f>[2]底表!CC199</f>
        <v>0</v>
      </c>
      <c r="AQ199" s="21" t="str">
        <f>[2]底表!CD199</f>
        <v>持平</v>
      </c>
      <c r="AR199" s="21" t="str">
        <f>[2]底表!CE199</f>
        <v/>
      </c>
      <c r="AS199" s="21" t="str">
        <f>[2]底表!CF199</f>
        <v/>
      </c>
      <c r="AT199" s="21">
        <f>[2]底表!CG199</f>
        <v>3</v>
      </c>
      <c r="AU199" s="21">
        <f>[2]底表!CH199</f>
        <v>7</v>
      </c>
      <c r="AV199" s="21">
        <f>[2]底表!CI199</f>
        <v>-0.5714</v>
      </c>
      <c r="AW199" s="21">
        <f>[2]底表!CJ199</f>
        <v>1</v>
      </c>
      <c r="AX199" s="21">
        <f>[2]底表!CK199</f>
        <v>2</v>
      </c>
      <c r="AY199" s="21">
        <f>[2]底表!CL199</f>
        <v>100</v>
      </c>
      <c r="AZ199" s="21">
        <f>[2]底表!CM199</f>
        <v>-75</v>
      </c>
      <c r="BA199" s="21">
        <f>[2]底表!CN199</f>
        <v>-0.4286</v>
      </c>
      <c r="BB199" s="21">
        <f>[2]底表!CO199</f>
        <v>4</v>
      </c>
      <c r="BC199" s="21">
        <f>[2]底表!CP199</f>
        <v>4</v>
      </c>
      <c r="BD199" s="21">
        <f>[2]底表!CQ199</f>
        <v>0</v>
      </c>
      <c r="BE199" s="21">
        <f>[2]底表!CR199</f>
        <v>1</v>
      </c>
      <c r="BF199" s="21">
        <f>[2]底表!CS199</f>
        <v>3</v>
      </c>
      <c r="BG199" s="21">
        <f>[2]底表!CT199</f>
        <v>1.3333</v>
      </c>
      <c r="BH199" s="21">
        <f>[2]底表!CU199</f>
        <v>0.7619</v>
      </c>
      <c r="BI199" s="21">
        <f>[2]底表!CV199</f>
        <v>133</v>
      </c>
      <c r="BJ199" s="21">
        <f>[2]底表!CW199</f>
        <v>33</v>
      </c>
      <c r="BK199" s="21">
        <f>[2]底表!CX199</f>
        <v>0.3333</v>
      </c>
      <c r="BL199" s="21">
        <f>[2]底表!CY199</f>
        <v>4</v>
      </c>
      <c r="BM199" s="21">
        <f>[2]底表!CZ199</f>
        <v>4</v>
      </c>
      <c r="BN199" s="23">
        <f>[2]底表!DA199</f>
        <v>0</v>
      </c>
      <c r="BO199" s="21">
        <f>[2]底表!DB199</f>
        <v>1</v>
      </c>
      <c r="BP199" s="21">
        <f>[2]底表!DC199</f>
        <v>3</v>
      </c>
      <c r="BQ199" s="21">
        <f>[2]底表!DD199</f>
        <v>1.3333</v>
      </c>
      <c r="BR199" s="21">
        <f>[2]底表!DE199</f>
        <v>0.7619</v>
      </c>
      <c r="BS199" s="21">
        <f>[2]底表!DF199</f>
        <v>133</v>
      </c>
      <c r="BT199" s="21">
        <f>[2]底表!DG199</f>
        <v>33</v>
      </c>
      <c r="BU199" s="21">
        <f>[2]底表!DH199</f>
        <v>0.3333</v>
      </c>
      <c r="BV199" s="21">
        <f>[2]底表!DI199</f>
        <v>4</v>
      </c>
      <c r="BW199" s="21">
        <f>[2]底表!DJ199</f>
        <v>0</v>
      </c>
      <c r="BX199" s="23" t="str">
        <f>[2]底表!DK199</f>
        <v>多4人</v>
      </c>
      <c r="BY199" s="21">
        <f>[2]底表!DL199</f>
        <v>1</v>
      </c>
      <c r="BZ199" s="21">
        <f>[2]底表!DM199</f>
        <v>3</v>
      </c>
      <c r="CA199" s="21">
        <f>[2]底表!DN199</f>
        <v>0</v>
      </c>
      <c r="CB199" s="21">
        <f>[2]底表!DO199</f>
        <v>0</v>
      </c>
      <c r="CC199" s="21" t="str">
        <f>[2]底表!DP199</f>
        <v>持平</v>
      </c>
      <c r="CD199" s="21">
        <f>[2]底表!DQ199</f>
        <v>0</v>
      </c>
      <c r="CE199" s="21" t="str">
        <f>[2]底表!DR199</f>
        <v>持平</v>
      </c>
      <c r="CF199" s="21">
        <f>[2]底表!DS199</f>
        <v>0</v>
      </c>
      <c r="CG199" s="21">
        <f>[2]底表!DT199</f>
        <v>0</v>
      </c>
      <c r="CH199" s="21" t="str">
        <f>[2]底表!DU199</f>
        <v>持平</v>
      </c>
      <c r="CI199" s="21">
        <f>[2]底表!DV199</f>
        <v>0</v>
      </c>
      <c r="CJ199" s="21" t="str">
        <f>[2]底表!DW199</f>
        <v>持平</v>
      </c>
      <c r="CK199" s="21">
        <f>[2]底表!DX199</f>
        <v>3</v>
      </c>
      <c r="CL199" s="21">
        <f>[2]底表!DY199</f>
        <v>2</v>
      </c>
      <c r="CM199" s="21">
        <f>[2]底表!DZ199</f>
        <v>0.5</v>
      </c>
      <c r="CN199" s="21">
        <f>[2]底表!EA199</f>
        <v>2</v>
      </c>
      <c r="CO199" s="21">
        <f>[2]底表!EB199</f>
        <v>0.5</v>
      </c>
      <c r="CP199" s="21">
        <f>[2]底表!EC199</f>
        <v>1</v>
      </c>
      <c r="CQ199" s="21">
        <f>[2]底表!ED199</f>
        <v>0</v>
      </c>
      <c r="CR199" s="21" t="str">
        <f>[2]底表!EE199</f>
        <v>多1人</v>
      </c>
      <c r="CS199" s="21">
        <f>[2]底表!EF199</f>
        <v>1</v>
      </c>
      <c r="CT199" s="21">
        <f>[2]底表!EG199</f>
        <v>0</v>
      </c>
      <c r="CU199" s="21">
        <f>[2]底表!EH199</f>
        <v>0.25</v>
      </c>
      <c r="CV199" s="21">
        <f>[2]底表!EI199</f>
        <v>0.25</v>
      </c>
      <c r="CW199" s="21">
        <f>[2]底表!EJ199</f>
        <v>33</v>
      </c>
      <c r="CX199" s="21">
        <f>[2]底表!EK199</f>
        <v>33</v>
      </c>
      <c r="CY199" s="21" t="str">
        <f>[2]底表!EL199</f>
        <v/>
      </c>
      <c r="CZ199" s="21">
        <f>[2]底表!EM199</f>
        <v>1</v>
      </c>
      <c r="DA199" s="21">
        <f>[2]底表!EN199</f>
        <v>0</v>
      </c>
      <c r="DB199" s="21" t="str">
        <f>[2]底表!EO199</f>
        <v>多1人</v>
      </c>
      <c r="DC199" s="21">
        <f>[2]底表!EP199</f>
        <v>1</v>
      </c>
      <c r="DD199" s="21">
        <f>[2]底表!EQ199</f>
        <v>0</v>
      </c>
      <c r="DE199" s="21">
        <f>[2]底表!ER199</f>
        <v>0</v>
      </c>
      <c r="DF199" s="21">
        <f>[2]底表!ES199</f>
        <v>0</v>
      </c>
      <c r="DG199" s="23" t="str">
        <f>[2]底表!ET199</f>
        <v>持平</v>
      </c>
      <c r="DH199" s="21">
        <f>[2]底表!EU199</f>
        <v>5</v>
      </c>
      <c r="DI199" s="21" t="str">
        <f>[2]底表!EV199</f>
        <v>少5人</v>
      </c>
      <c r="DJ199" s="21">
        <f>[2]底表!EW199</f>
        <v>0</v>
      </c>
      <c r="DK199" s="21">
        <f>[2]底表!EX199</f>
        <v>0</v>
      </c>
      <c r="DL199" s="21">
        <f>[2]底表!EY199</f>
        <v>0</v>
      </c>
      <c r="DM199" s="21">
        <f>[2]底表!EZ199</f>
        <v>0</v>
      </c>
      <c r="DN199" s="21" t="str">
        <f>[2]底表!FA199</f>
        <v/>
      </c>
      <c r="DO199" s="21">
        <f>[2]底表!BQ199</f>
        <v>0</v>
      </c>
      <c r="DP199" s="21">
        <f>[2]底表!BR199</f>
        <v>0</v>
      </c>
      <c r="DQ199" s="24" t="str">
        <f>[2]底表!BS199</f>
        <v>持平</v>
      </c>
    </row>
    <row r="200" s="2" customFormat="1" ht="32" hidden="1" customHeight="1" spans="1:121">
      <c r="A200" s="27" t="str">
        <f>[2]底表!A200</f>
        <v>强奸</v>
      </c>
      <c r="B200" s="28" t="str">
        <f>[2]底表!B200</f>
        <v>全省</v>
      </c>
      <c r="C200" s="21">
        <f>[2]底表!AM200</f>
        <v>473</v>
      </c>
      <c r="D200" s="21">
        <f>[2]底表!AN200</f>
        <v>318</v>
      </c>
      <c r="E200" s="23">
        <f>[2]底表!AO200</f>
        <v>0.4874</v>
      </c>
      <c r="F200" s="21">
        <f>[2]底表!AP200</f>
        <v>568</v>
      </c>
      <c r="G200" s="21">
        <f>[2]底表!AQ200</f>
        <v>-0.1673</v>
      </c>
      <c r="H200" s="21">
        <f>[2]底表!AR200</f>
        <v>0.9293</v>
      </c>
      <c r="I200" s="21">
        <f>[2]底表!AS200</f>
        <v>0.0075</v>
      </c>
      <c r="J200" s="21">
        <f>[2]底表!AT200</f>
        <v>352</v>
      </c>
      <c r="K200" s="21">
        <f>[2]底表!AU200</f>
        <v>245</v>
      </c>
      <c r="L200" s="21">
        <f>[2]底表!AV200</f>
        <v>0.4367</v>
      </c>
      <c r="M200" s="21">
        <f>[2]底表!AW200</f>
        <v>464</v>
      </c>
      <c r="N200" s="21">
        <f>[2]底表!AX200</f>
        <v>-0.2414</v>
      </c>
      <c r="O200" s="21">
        <f>[2]底表!AY200</f>
        <v>328</v>
      </c>
      <c r="P200" s="21">
        <f>[2]底表!AZ200</f>
        <v>218</v>
      </c>
      <c r="Q200" s="21">
        <f>[2]底表!BA200</f>
        <v>0.5046</v>
      </c>
      <c r="R200" s="21">
        <f>[2]底表!BB200</f>
        <v>506</v>
      </c>
      <c r="S200" s="21">
        <f>[2]底表!BC200</f>
        <v>-0.3518</v>
      </c>
      <c r="T200" s="21">
        <f>[2]底表!BD200</f>
        <v>0.9318</v>
      </c>
      <c r="U200" s="21">
        <f>[2]底表!BE200</f>
        <v>0.042</v>
      </c>
      <c r="V200" s="21">
        <f>[2]底表!BF200</f>
        <v>157</v>
      </c>
      <c r="W200" s="21">
        <f>[2]底表!BG200</f>
        <v>100</v>
      </c>
      <c r="X200" s="21">
        <f>[2]底表!BH200</f>
        <v>0.57</v>
      </c>
      <c r="Y200" s="21">
        <f>[2]底表!BI200</f>
        <v>32</v>
      </c>
      <c r="Z200" s="21">
        <f>[2]底表!BJ200</f>
        <v>3.9063</v>
      </c>
      <c r="AA200" s="21">
        <f>[2]底表!BK200</f>
        <v>0.3084</v>
      </c>
      <c r="AB200" s="21">
        <f>[2]底表!BL200</f>
        <v>145</v>
      </c>
      <c r="AC200" s="21">
        <f>[2]底表!BM200</f>
        <v>100</v>
      </c>
      <c r="AD200" s="21">
        <f>[2]底表!BN200</f>
        <v>0.45</v>
      </c>
      <c r="AE200" s="21">
        <f>[2]底表!BO200</f>
        <v>62</v>
      </c>
      <c r="AF200" s="21">
        <f>[2]底表!BP200</f>
        <v>1.3387</v>
      </c>
      <c r="AG200" s="21">
        <f>[2]底表!BT200</f>
        <v>472</v>
      </c>
      <c r="AH200" s="21">
        <f>[2]底表!BU200</f>
        <v>-0.4788</v>
      </c>
      <c r="AI200" s="21">
        <f>[2]底表!BV200</f>
        <v>0.4833</v>
      </c>
      <c r="AJ200" s="21">
        <f>[2]底表!BW200</f>
        <v>-0.1254</v>
      </c>
      <c r="AK200" s="21">
        <f>[2]底表!BX200</f>
        <v>0.6989</v>
      </c>
      <c r="AL200" s="21">
        <f>[2]底表!BY200</f>
        <v>-0.1583</v>
      </c>
      <c r="AM200" s="21">
        <f>[2]底表!BZ200</f>
        <v>1</v>
      </c>
      <c r="AN200" s="21">
        <f>[2]底表!CA200</f>
        <v>0</v>
      </c>
      <c r="AO200" s="21" t="str">
        <f>[2]底表!CB200</f>
        <v>多1起</v>
      </c>
      <c r="AP200" s="21">
        <f>[2]底表!CC200</f>
        <v>11</v>
      </c>
      <c r="AQ200" s="21">
        <f>[2]底表!CD200</f>
        <v>-0.9091</v>
      </c>
      <c r="AR200" s="21" t="str">
        <f>[2]底表!CE200</f>
        <v/>
      </c>
      <c r="AS200" s="21" t="str">
        <f>[2]底表!CF200</f>
        <v/>
      </c>
      <c r="AT200" s="21">
        <f>[2]底表!CG200</f>
        <v>616</v>
      </c>
      <c r="AU200" s="21">
        <f>[2]底表!CH200</f>
        <v>412</v>
      </c>
      <c r="AV200" s="21">
        <f>[2]底表!CI200</f>
        <v>0.4951</v>
      </c>
      <c r="AW200" s="21">
        <f>[2]底表!CJ200</f>
        <v>622</v>
      </c>
      <c r="AX200" s="21">
        <f>[2]底表!CK200</f>
        <v>-0.0096</v>
      </c>
      <c r="AY200" s="21">
        <f>[2]底表!CL200</f>
        <v>121</v>
      </c>
      <c r="AZ200" s="21">
        <f>[2]底表!CM200</f>
        <v>2</v>
      </c>
      <c r="BA200" s="21">
        <f>[2]底表!CN200</f>
        <v>0.0134</v>
      </c>
      <c r="BB200" s="21">
        <f>[2]底表!CO200</f>
        <v>420</v>
      </c>
      <c r="BC200" s="21">
        <f>[2]底表!CP200</f>
        <v>246</v>
      </c>
      <c r="BD200" s="21">
        <f>[2]底表!CQ200</f>
        <v>0.7073</v>
      </c>
      <c r="BE200" s="21">
        <f>[2]底表!CR200</f>
        <v>474</v>
      </c>
      <c r="BF200" s="21">
        <f>[2]底表!CS200</f>
        <v>-0.1139</v>
      </c>
      <c r="BG200" s="21">
        <f>[2]底表!CT200</f>
        <v>0.6818</v>
      </c>
      <c r="BH200" s="21">
        <f>[2]底表!CU200</f>
        <v>0.0847</v>
      </c>
      <c r="BI200" s="21">
        <f>[2]底表!CV200</f>
        <v>83</v>
      </c>
      <c r="BJ200" s="21">
        <f>[2]底表!CW200</f>
        <v>11</v>
      </c>
      <c r="BK200" s="21">
        <f>[2]底表!CX200</f>
        <v>0.1572</v>
      </c>
      <c r="BL200" s="21">
        <f>[2]底表!CY200</f>
        <v>524</v>
      </c>
      <c r="BM200" s="21">
        <f>[2]底表!CZ200</f>
        <v>341</v>
      </c>
      <c r="BN200" s="23">
        <f>[2]底表!DA200</f>
        <v>0.5367</v>
      </c>
      <c r="BO200" s="21">
        <f>[2]底表!DB200</f>
        <v>571</v>
      </c>
      <c r="BP200" s="21">
        <f>[2]底表!DC200</f>
        <v>-0.0823</v>
      </c>
      <c r="BQ200" s="21">
        <f>[2]底表!DD200</f>
        <v>0.8506</v>
      </c>
      <c r="BR200" s="21">
        <f>[2]底表!DE200</f>
        <v>0.023</v>
      </c>
      <c r="BS200" s="21">
        <f>[2]底表!DF200</f>
        <v>103</v>
      </c>
      <c r="BT200" s="21">
        <f>[2]底表!DG200</f>
        <v>4</v>
      </c>
      <c r="BU200" s="21">
        <f>[2]底表!DH200</f>
        <v>0.0415</v>
      </c>
      <c r="BV200" s="21">
        <f>[2]底表!DI200</f>
        <v>517</v>
      </c>
      <c r="BW200" s="21">
        <f>[2]底表!DJ200</f>
        <v>355</v>
      </c>
      <c r="BX200" s="23">
        <f>[2]底表!DK200</f>
        <v>0.4563</v>
      </c>
      <c r="BY200" s="21">
        <f>[2]底表!DL200</f>
        <v>582</v>
      </c>
      <c r="BZ200" s="21">
        <f>[2]底表!DM200</f>
        <v>-0.1117</v>
      </c>
      <c r="CA200" s="21">
        <f>[2]底表!DN200</f>
        <v>248</v>
      </c>
      <c r="CB200" s="21">
        <f>[2]底表!DO200</f>
        <v>181</v>
      </c>
      <c r="CC200" s="21">
        <f>[2]底表!DP200</f>
        <v>0.3702</v>
      </c>
      <c r="CD200" s="21">
        <f>[2]底表!DQ200</f>
        <v>314</v>
      </c>
      <c r="CE200" s="21">
        <f>[2]底表!DR200</f>
        <v>-0.2102</v>
      </c>
      <c r="CF200" s="21">
        <f>[2]底表!DS200</f>
        <v>248</v>
      </c>
      <c r="CG200" s="21">
        <f>[2]底表!DT200</f>
        <v>181</v>
      </c>
      <c r="CH200" s="21">
        <f>[2]底表!DU200</f>
        <v>0.3702</v>
      </c>
      <c r="CI200" s="21">
        <f>[2]底表!DV200</f>
        <v>314</v>
      </c>
      <c r="CJ200" s="21">
        <f>[2]底表!DW200</f>
        <v>-0.2102</v>
      </c>
      <c r="CK200" s="21">
        <f>[2]底表!DX200</f>
        <v>475</v>
      </c>
      <c r="CL200" s="21">
        <f>[2]底表!DY200</f>
        <v>373</v>
      </c>
      <c r="CM200" s="21">
        <f>[2]底表!DZ200</f>
        <v>0.2735</v>
      </c>
      <c r="CN200" s="21">
        <f>[2]底表!EA200</f>
        <v>525</v>
      </c>
      <c r="CO200" s="21">
        <f>[2]底表!EB200</f>
        <v>-0.0952</v>
      </c>
      <c r="CP200" s="21">
        <f>[2]底表!EC200</f>
        <v>270</v>
      </c>
      <c r="CQ200" s="21">
        <f>[2]底表!ED200</f>
        <v>245</v>
      </c>
      <c r="CR200" s="21">
        <f>[2]底表!EE200</f>
        <v>0.102</v>
      </c>
      <c r="CS200" s="21">
        <f>[2]底表!EF200</f>
        <v>332</v>
      </c>
      <c r="CT200" s="21">
        <f>[2]底表!EG200</f>
        <v>-0.1867</v>
      </c>
      <c r="CU200" s="21">
        <f>[2]底表!EH200</f>
        <v>0.6429</v>
      </c>
      <c r="CV200" s="21">
        <f>[2]底表!EI200</f>
        <v>-0.3531</v>
      </c>
      <c r="CW200" s="21">
        <f>[2]底表!EJ200</f>
        <v>53</v>
      </c>
      <c r="CX200" s="21">
        <f>[2]底表!EK200</f>
        <v>-18</v>
      </c>
      <c r="CY200" s="21">
        <f>[2]底表!EL200</f>
        <v>-0.253</v>
      </c>
      <c r="CZ200" s="21">
        <f>[2]底表!EM200</f>
        <v>277</v>
      </c>
      <c r="DA200" s="21">
        <f>[2]底表!EN200</f>
        <v>248</v>
      </c>
      <c r="DB200" s="21">
        <f>[2]底表!EO200</f>
        <v>0.1169</v>
      </c>
      <c r="DC200" s="21">
        <f>[2]底表!EP200</f>
        <v>328</v>
      </c>
      <c r="DD200" s="21">
        <f>[2]底表!EQ200</f>
        <v>-0.1555</v>
      </c>
      <c r="DE200" s="21">
        <f>[2]底表!ER200</f>
        <v>290</v>
      </c>
      <c r="DF200" s="21">
        <f>[2]底表!ES200</f>
        <v>246</v>
      </c>
      <c r="DG200" s="23">
        <f>[2]底表!ET200</f>
        <v>0.1789</v>
      </c>
      <c r="DH200" s="21">
        <f>[2]底表!EU200</f>
        <v>522</v>
      </c>
      <c r="DI200" s="21">
        <f>[2]底表!EV200</f>
        <v>-0.4444</v>
      </c>
      <c r="DJ200" s="21">
        <f>[2]底表!EW200</f>
        <v>0.6905</v>
      </c>
      <c r="DK200" s="21">
        <f>[2]底表!EX200</f>
        <v>-0.3095</v>
      </c>
      <c r="DL200" s="21">
        <f>[2]底表!EY200</f>
        <v>57</v>
      </c>
      <c r="DM200" s="21">
        <f>[2]底表!EZ200</f>
        <v>-14</v>
      </c>
      <c r="DN200" s="21">
        <f>[2]底表!FA200</f>
        <v>-0.201</v>
      </c>
      <c r="DO200" s="21">
        <f>[2]底表!BQ200</f>
        <v>246</v>
      </c>
      <c r="DP200" s="21">
        <f>[2]底表!BR200</f>
        <v>210</v>
      </c>
      <c r="DQ200" s="24">
        <f>[2]底表!BS200</f>
        <v>0.1714</v>
      </c>
    </row>
    <row r="201" s="2" customFormat="1" ht="32" hidden="1" customHeight="1" spans="1:121">
      <c r="A201" s="27" t="str">
        <f>[2]底表!A201</f>
        <v>强奸</v>
      </c>
      <c r="B201" s="28" t="str">
        <f>[2]底表!B201</f>
        <v>云浮</v>
      </c>
      <c r="C201" s="21">
        <f>[2]底表!AM201</f>
        <v>9</v>
      </c>
      <c r="D201" s="21">
        <f>[2]底表!AN201</f>
        <v>6</v>
      </c>
      <c r="E201" s="23">
        <f>[2]底表!AO201</f>
        <v>0.5</v>
      </c>
      <c r="F201" s="21">
        <f>[2]底表!AP201</f>
        <v>5</v>
      </c>
      <c r="G201" s="21">
        <f>[2]底表!AQ201</f>
        <v>0.8</v>
      </c>
      <c r="H201" s="21">
        <f>[2]底表!AR201</f>
        <v>0.75</v>
      </c>
      <c r="I201" s="21">
        <f>[2]底表!AS201</f>
        <v>-0.1071</v>
      </c>
      <c r="J201" s="21">
        <f>[2]底表!AT201</f>
        <v>7</v>
      </c>
      <c r="K201" s="21">
        <f>[2]底表!AU201</f>
        <v>4</v>
      </c>
      <c r="L201" s="21">
        <f>[2]底表!AV201</f>
        <v>0.75</v>
      </c>
      <c r="M201" s="21">
        <f>[2]底表!AW201</f>
        <v>3</v>
      </c>
      <c r="N201" s="21">
        <f>[2]底表!AX201</f>
        <v>1.3333</v>
      </c>
      <c r="O201" s="21">
        <f>[2]底表!AY201</f>
        <v>6</v>
      </c>
      <c r="P201" s="21">
        <f>[2]底表!AZ201</f>
        <v>4</v>
      </c>
      <c r="Q201" s="21">
        <f>[2]底表!BA201</f>
        <v>0.5</v>
      </c>
      <c r="R201" s="21">
        <f>[2]底表!BB201</f>
        <v>4</v>
      </c>
      <c r="S201" s="21">
        <f>[2]底表!BC201</f>
        <v>0.5</v>
      </c>
      <c r="T201" s="21">
        <f>[2]底表!BD201</f>
        <v>0.8571</v>
      </c>
      <c r="U201" s="21">
        <f>[2]底表!BE201</f>
        <v>-0.1429</v>
      </c>
      <c r="V201" s="21">
        <f>[2]底表!BF201</f>
        <v>5</v>
      </c>
      <c r="W201" s="21">
        <f>[2]底表!BG201</f>
        <v>3</v>
      </c>
      <c r="X201" s="21">
        <f>[2]底表!BH201</f>
        <v>0.6667</v>
      </c>
      <c r="Y201" s="21">
        <f>[2]底表!BI201</f>
        <v>0</v>
      </c>
      <c r="Z201" s="21" t="str">
        <f>[2]底表!BJ201</f>
        <v>多5起</v>
      </c>
      <c r="AA201" s="21">
        <f>[2]底表!BK201</f>
        <v>0.4167</v>
      </c>
      <c r="AB201" s="21">
        <f>[2]底表!BL201</f>
        <v>3</v>
      </c>
      <c r="AC201" s="21">
        <f>[2]底表!BM201</f>
        <v>2</v>
      </c>
      <c r="AD201" s="21">
        <f>[2]底表!BN201</f>
        <v>0.5</v>
      </c>
      <c r="AE201" s="21">
        <f>[2]底表!BO201</f>
        <v>1</v>
      </c>
      <c r="AF201" s="21">
        <f>[2]底表!BP201</f>
        <v>2</v>
      </c>
      <c r="AG201" s="21">
        <f>[2]底表!BT201</f>
        <v>6</v>
      </c>
      <c r="AH201" s="21" t="str">
        <f>[2]底表!BU201</f>
        <v>少6起</v>
      </c>
      <c r="AI201" s="21">
        <f>[2]底表!BV201</f>
        <v>0</v>
      </c>
      <c r="AJ201" s="21">
        <f>[2]底表!BW201</f>
        <v>0</v>
      </c>
      <c r="AK201" s="21">
        <f>[2]底表!BX201</f>
        <v>0</v>
      </c>
      <c r="AL201" s="21">
        <f>[2]底表!BY201</f>
        <v>0</v>
      </c>
      <c r="AM201" s="21">
        <f>[2]底表!BZ201</f>
        <v>0</v>
      </c>
      <c r="AN201" s="21">
        <f>[2]底表!CA201</f>
        <v>0</v>
      </c>
      <c r="AO201" s="21" t="str">
        <f>[2]底表!CB201</f>
        <v>持平</v>
      </c>
      <c r="AP201" s="21">
        <f>[2]底表!CC201</f>
        <v>0</v>
      </c>
      <c r="AQ201" s="21" t="str">
        <f>[2]底表!CD201</f>
        <v>持平</v>
      </c>
      <c r="AR201" s="21" t="str">
        <f>[2]底表!CE201</f>
        <v/>
      </c>
      <c r="AS201" s="21" t="str">
        <f>[2]底表!CF201</f>
        <v/>
      </c>
      <c r="AT201" s="21">
        <f>[2]底表!CG201</f>
        <v>12</v>
      </c>
      <c r="AU201" s="21">
        <f>[2]底表!CH201</f>
        <v>9</v>
      </c>
      <c r="AV201" s="21">
        <f>[2]底表!CI201</f>
        <v>0.3333</v>
      </c>
      <c r="AW201" s="21">
        <f>[2]底表!CJ201</f>
        <v>4</v>
      </c>
      <c r="AX201" s="21">
        <f>[2]底表!CK201</f>
        <v>2</v>
      </c>
      <c r="AY201" s="21">
        <f>[2]底表!CL201</f>
        <v>100</v>
      </c>
      <c r="AZ201" s="21">
        <f>[2]底表!CM201</f>
        <v>-29</v>
      </c>
      <c r="BA201" s="21">
        <f>[2]底表!CN201</f>
        <v>-0.2222</v>
      </c>
      <c r="BB201" s="21">
        <f>[2]底表!CO201</f>
        <v>10</v>
      </c>
      <c r="BC201" s="21">
        <f>[2]底表!CP201</f>
        <v>6</v>
      </c>
      <c r="BD201" s="21">
        <f>[2]底表!CQ201</f>
        <v>0.6667</v>
      </c>
      <c r="BE201" s="21">
        <f>[2]底表!CR201</f>
        <v>1</v>
      </c>
      <c r="BF201" s="21">
        <f>[2]底表!CS201</f>
        <v>9</v>
      </c>
      <c r="BG201" s="21">
        <f>[2]底表!CT201</f>
        <v>0.8333</v>
      </c>
      <c r="BH201" s="21">
        <f>[2]底表!CU201</f>
        <v>0.1667</v>
      </c>
      <c r="BI201" s="21">
        <f>[2]底表!CV201</f>
        <v>83</v>
      </c>
      <c r="BJ201" s="21">
        <f>[2]底表!CW201</f>
        <v>-2</v>
      </c>
      <c r="BK201" s="21">
        <f>[2]底表!CX201</f>
        <v>-0.0278</v>
      </c>
      <c r="BL201" s="21">
        <f>[2]底表!CY201</f>
        <v>11</v>
      </c>
      <c r="BM201" s="21">
        <f>[2]底表!CZ201</f>
        <v>6</v>
      </c>
      <c r="BN201" s="23">
        <f>[2]底表!DA201</f>
        <v>0.8333</v>
      </c>
      <c r="BO201" s="21">
        <f>[2]底表!DB201</f>
        <v>1</v>
      </c>
      <c r="BP201" s="21">
        <f>[2]底表!DC201</f>
        <v>10</v>
      </c>
      <c r="BQ201" s="21">
        <f>[2]底表!DD201</f>
        <v>0.9167</v>
      </c>
      <c r="BR201" s="21">
        <f>[2]底表!DE201</f>
        <v>0.25</v>
      </c>
      <c r="BS201" s="21">
        <f>[2]底表!DF201</f>
        <v>92</v>
      </c>
      <c r="BT201" s="21">
        <f>[2]底表!DG201</f>
        <v>6</v>
      </c>
      <c r="BU201" s="21">
        <f>[2]底表!DH201</f>
        <v>0.0694</v>
      </c>
      <c r="BV201" s="21">
        <f>[2]底表!DI201</f>
        <v>14</v>
      </c>
      <c r="BW201" s="21">
        <f>[2]底表!DJ201</f>
        <v>5</v>
      </c>
      <c r="BX201" s="23">
        <f>[2]底表!DK201</f>
        <v>1.8</v>
      </c>
      <c r="BY201" s="21">
        <f>[2]底表!DL201</f>
        <v>1</v>
      </c>
      <c r="BZ201" s="21">
        <f>[2]底表!DM201</f>
        <v>13</v>
      </c>
      <c r="CA201" s="21">
        <f>[2]底表!DN201</f>
        <v>1</v>
      </c>
      <c r="CB201" s="21">
        <f>[2]底表!DO201</f>
        <v>0</v>
      </c>
      <c r="CC201" s="21" t="str">
        <f>[2]底表!DP201</f>
        <v>多1人</v>
      </c>
      <c r="CD201" s="21">
        <f>[2]底表!DQ201</f>
        <v>0</v>
      </c>
      <c r="CE201" s="21" t="str">
        <f>[2]底表!DR201</f>
        <v>多1人</v>
      </c>
      <c r="CF201" s="21">
        <f>[2]底表!DS201</f>
        <v>1</v>
      </c>
      <c r="CG201" s="21">
        <f>[2]底表!DT201</f>
        <v>0</v>
      </c>
      <c r="CH201" s="21" t="str">
        <f>[2]底表!DU201</f>
        <v>多1人</v>
      </c>
      <c r="CI201" s="21">
        <f>[2]底表!DV201</f>
        <v>0</v>
      </c>
      <c r="CJ201" s="21" t="str">
        <f>[2]底表!DW201</f>
        <v>多1人</v>
      </c>
      <c r="CK201" s="21">
        <f>[2]底表!DX201</f>
        <v>8</v>
      </c>
      <c r="CL201" s="21">
        <f>[2]底表!DY201</f>
        <v>7</v>
      </c>
      <c r="CM201" s="21">
        <f>[2]底表!DZ201</f>
        <v>0.1429</v>
      </c>
      <c r="CN201" s="21">
        <f>[2]底表!EA201</f>
        <v>4</v>
      </c>
      <c r="CO201" s="21">
        <f>[2]底表!EB201</f>
        <v>1</v>
      </c>
      <c r="CP201" s="21">
        <f>[2]底表!EC201</f>
        <v>2</v>
      </c>
      <c r="CQ201" s="21">
        <f>[2]底表!ED201</f>
        <v>7</v>
      </c>
      <c r="CR201" s="21">
        <f>[2]底表!EE201</f>
        <v>-0.7143</v>
      </c>
      <c r="CS201" s="21">
        <f>[2]底表!EF201</f>
        <v>3</v>
      </c>
      <c r="CT201" s="21">
        <f>[2]底表!EG201</f>
        <v>-0.3333</v>
      </c>
      <c r="CU201" s="21">
        <f>[2]底表!EH201</f>
        <v>0.2</v>
      </c>
      <c r="CV201" s="21">
        <f>[2]底表!EI201</f>
        <v>-0.9667</v>
      </c>
      <c r="CW201" s="21">
        <f>[2]底表!EJ201</f>
        <v>17</v>
      </c>
      <c r="CX201" s="21">
        <f>[2]底表!EK201</f>
        <v>-83</v>
      </c>
      <c r="CY201" s="21">
        <f>[2]底表!EL201</f>
        <v>-0.8333</v>
      </c>
      <c r="CZ201" s="21">
        <f>[2]底表!EM201</f>
        <v>2</v>
      </c>
      <c r="DA201" s="21">
        <f>[2]底表!EN201</f>
        <v>7</v>
      </c>
      <c r="DB201" s="21">
        <f>[2]底表!EO201</f>
        <v>-0.7143</v>
      </c>
      <c r="DC201" s="21">
        <f>[2]底表!EP201</f>
        <v>3</v>
      </c>
      <c r="DD201" s="21">
        <f>[2]底表!EQ201</f>
        <v>-0.3333</v>
      </c>
      <c r="DE201" s="21">
        <f>[2]底表!ER201</f>
        <v>0</v>
      </c>
      <c r="DF201" s="21">
        <f>[2]底表!ES201</f>
        <v>0</v>
      </c>
      <c r="DG201" s="23" t="str">
        <f>[2]底表!ET201</f>
        <v>持平</v>
      </c>
      <c r="DH201" s="21">
        <f>[2]底表!EU201</f>
        <v>6</v>
      </c>
      <c r="DI201" s="21" t="str">
        <f>[2]底表!EV201</f>
        <v>少6人</v>
      </c>
      <c r="DJ201" s="21">
        <f>[2]底表!EW201</f>
        <v>0</v>
      </c>
      <c r="DK201" s="21">
        <f>[2]底表!EX201</f>
        <v>0</v>
      </c>
      <c r="DL201" s="21">
        <f>[2]底表!EY201</f>
        <v>0</v>
      </c>
      <c r="DM201" s="21">
        <f>[2]底表!EZ201</f>
        <v>0</v>
      </c>
      <c r="DN201" s="21" t="str">
        <f>[2]底表!FA201</f>
        <v/>
      </c>
      <c r="DO201" s="21">
        <f>[2]底表!BQ201</f>
        <v>0</v>
      </c>
      <c r="DP201" s="21">
        <f>[2]底表!BR201</f>
        <v>0</v>
      </c>
      <c r="DQ201" s="24" t="str">
        <f>[2]底表!BS201</f>
        <v>持平</v>
      </c>
    </row>
    <row r="202" s="2" customFormat="1" ht="32" hidden="1" customHeight="1" spans="1:121">
      <c r="A202" s="27" t="str">
        <f>[2]底表!A202</f>
        <v>强奸</v>
      </c>
      <c r="B202" s="28" t="str">
        <f>[2]底表!B202</f>
        <v>云城区</v>
      </c>
      <c r="C202" s="21">
        <f>[2]底表!AM202</f>
        <v>2</v>
      </c>
      <c r="D202" s="21">
        <f>[2]底表!AN202</f>
        <v>2</v>
      </c>
      <c r="E202" s="23">
        <f>[2]底表!AO202</f>
        <v>0</v>
      </c>
      <c r="F202" s="21">
        <f>[2]底表!AP202</f>
        <v>0</v>
      </c>
      <c r="G202" s="21" t="str">
        <f>[2]底表!AQ202</f>
        <v>多2起</v>
      </c>
      <c r="H202" s="21">
        <f>[2]底表!AR202</f>
        <v>1</v>
      </c>
      <c r="I202" s="21">
        <f>[2]底表!AS202</f>
        <v>0</v>
      </c>
      <c r="J202" s="21">
        <f>[2]底表!AT202</f>
        <v>1</v>
      </c>
      <c r="K202" s="21">
        <f>[2]底表!AU202</f>
        <v>2</v>
      </c>
      <c r="L202" s="21">
        <f>[2]底表!AV202</f>
        <v>-0.5</v>
      </c>
      <c r="M202" s="21">
        <f>[2]底表!AW202</f>
        <v>0</v>
      </c>
      <c r="N202" s="21" t="str">
        <f>[2]底表!AX202</f>
        <v>多1起</v>
      </c>
      <c r="O202" s="21">
        <f>[2]底表!AY202</f>
        <v>1</v>
      </c>
      <c r="P202" s="21">
        <f>[2]底表!AZ202</f>
        <v>2</v>
      </c>
      <c r="Q202" s="21">
        <f>[2]底表!BA202</f>
        <v>-0.5</v>
      </c>
      <c r="R202" s="21">
        <f>[2]底表!BB202</f>
        <v>0</v>
      </c>
      <c r="S202" s="21" t="str">
        <f>[2]底表!BC202</f>
        <v>多1起</v>
      </c>
      <c r="T202" s="21">
        <f>[2]底表!BD202</f>
        <v>1</v>
      </c>
      <c r="U202" s="21">
        <f>[2]底表!BE202</f>
        <v>0</v>
      </c>
      <c r="V202" s="21">
        <f>[2]底表!BF202</f>
        <v>1</v>
      </c>
      <c r="W202" s="21">
        <f>[2]底表!BG202</f>
        <v>0</v>
      </c>
      <c r="X202" s="21" t="str">
        <f>[2]底表!BH202</f>
        <v>多1起</v>
      </c>
      <c r="Y202" s="21">
        <f>[2]底表!BI202</f>
        <v>0</v>
      </c>
      <c r="Z202" s="21" t="str">
        <f>[2]底表!BJ202</f>
        <v>多1起</v>
      </c>
      <c r="AA202" s="21">
        <f>[2]底表!BK202</f>
        <v>0.5</v>
      </c>
      <c r="AB202" s="21">
        <f>[2]底表!BL202</f>
        <v>1</v>
      </c>
      <c r="AC202" s="21">
        <f>[2]底表!BM202</f>
        <v>0</v>
      </c>
      <c r="AD202" s="21" t="str">
        <f>[2]底表!BN202</f>
        <v>多1起</v>
      </c>
      <c r="AE202" s="21">
        <f>[2]底表!BO202</f>
        <v>0</v>
      </c>
      <c r="AF202" s="21" t="str">
        <f>[2]底表!BP202</f>
        <v>多1起</v>
      </c>
      <c r="AG202" s="21">
        <f>[2]底表!BT202</f>
        <v>1</v>
      </c>
      <c r="AH202" s="21" t="str">
        <f>[2]底表!BU202</f>
        <v>少1起</v>
      </c>
      <c r="AI202" s="21">
        <f>[2]底表!BV202</f>
        <v>0</v>
      </c>
      <c r="AJ202" s="21">
        <f>[2]底表!BW202</f>
        <v>0</v>
      </c>
      <c r="AK202" s="21">
        <f>[2]底表!BX202</f>
        <v>0</v>
      </c>
      <c r="AL202" s="21">
        <f>[2]底表!BY202</f>
        <v>0</v>
      </c>
      <c r="AM202" s="21">
        <f>[2]底表!BZ202</f>
        <v>0</v>
      </c>
      <c r="AN202" s="21">
        <f>[2]底表!CA202</f>
        <v>0</v>
      </c>
      <c r="AO202" s="21" t="str">
        <f>[2]底表!CB202</f>
        <v>持平</v>
      </c>
      <c r="AP202" s="21">
        <f>[2]底表!CC202</f>
        <v>0</v>
      </c>
      <c r="AQ202" s="21" t="str">
        <f>[2]底表!CD202</f>
        <v>持平</v>
      </c>
      <c r="AR202" s="21" t="str">
        <f>[2]底表!CE202</f>
        <v/>
      </c>
      <c r="AS202" s="21" t="str">
        <f>[2]底表!CF202</f>
        <v/>
      </c>
      <c r="AT202" s="21">
        <f>[2]底表!CG202</f>
        <v>1</v>
      </c>
      <c r="AU202" s="21">
        <f>[2]底表!CH202</f>
        <v>2</v>
      </c>
      <c r="AV202" s="21">
        <f>[2]底表!CI202</f>
        <v>-0.5</v>
      </c>
      <c r="AW202" s="21">
        <f>[2]底表!CJ202</f>
        <v>1</v>
      </c>
      <c r="AX202" s="21">
        <f>[2]底表!CK202</f>
        <v>0</v>
      </c>
      <c r="AY202" s="21">
        <f>[2]底表!CL202</f>
        <v>50</v>
      </c>
      <c r="AZ202" s="21">
        <f>[2]底表!CM202</f>
        <v>-50</v>
      </c>
      <c r="BA202" s="21">
        <f>[2]底表!CN202</f>
        <v>-0.5</v>
      </c>
      <c r="BB202" s="21">
        <f>[2]底表!CO202</f>
        <v>1</v>
      </c>
      <c r="BC202" s="21">
        <f>[2]底表!CP202</f>
        <v>2</v>
      </c>
      <c r="BD202" s="21">
        <f>[2]底表!CQ202</f>
        <v>-0.5</v>
      </c>
      <c r="BE202" s="21">
        <f>[2]底表!CR202</f>
        <v>0</v>
      </c>
      <c r="BF202" s="21" t="str">
        <f>[2]底表!CS202</f>
        <v>多1人</v>
      </c>
      <c r="BG202" s="21">
        <f>[2]底表!CT202</f>
        <v>1</v>
      </c>
      <c r="BH202" s="21">
        <f>[2]底表!CU202</f>
        <v>0</v>
      </c>
      <c r="BI202" s="21">
        <f>[2]底表!CV202</f>
        <v>50</v>
      </c>
      <c r="BJ202" s="21">
        <f>[2]底表!CW202</f>
        <v>-50</v>
      </c>
      <c r="BK202" s="21">
        <f>[2]底表!CX202</f>
        <v>-0.5</v>
      </c>
      <c r="BL202" s="21">
        <f>[2]底表!CY202</f>
        <v>1</v>
      </c>
      <c r="BM202" s="21">
        <f>[2]底表!CZ202</f>
        <v>2</v>
      </c>
      <c r="BN202" s="23">
        <f>[2]底表!DA202</f>
        <v>-0.5</v>
      </c>
      <c r="BO202" s="21">
        <f>[2]底表!DB202</f>
        <v>0</v>
      </c>
      <c r="BP202" s="21" t="str">
        <f>[2]底表!DC202</f>
        <v>多1人</v>
      </c>
      <c r="BQ202" s="21">
        <f>[2]底表!DD202</f>
        <v>1</v>
      </c>
      <c r="BR202" s="21">
        <f>[2]底表!DE202</f>
        <v>0</v>
      </c>
      <c r="BS202" s="21">
        <f>[2]底表!DF202</f>
        <v>50</v>
      </c>
      <c r="BT202" s="21">
        <f>[2]底表!DG202</f>
        <v>-50</v>
      </c>
      <c r="BU202" s="21">
        <f>[2]底表!DH202</f>
        <v>-0.5</v>
      </c>
      <c r="BV202" s="21">
        <f>[2]底表!DI202</f>
        <v>0</v>
      </c>
      <c r="BW202" s="21">
        <f>[2]底表!DJ202</f>
        <v>0</v>
      </c>
      <c r="BX202" s="23" t="str">
        <f>[2]底表!DK202</f>
        <v>持平</v>
      </c>
      <c r="BY202" s="21">
        <f>[2]底表!DL202</f>
        <v>0</v>
      </c>
      <c r="BZ202" s="21" t="str">
        <f>[2]底表!DM202</f>
        <v>持平</v>
      </c>
      <c r="CA202" s="21">
        <f>[2]底表!DN202</f>
        <v>0</v>
      </c>
      <c r="CB202" s="21">
        <f>[2]底表!DO202</f>
        <v>0</v>
      </c>
      <c r="CC202" s="21" t="str">
        <f>[2]底表!DP202</f>
        <v>持平</v>
      </c>
      <c r="CD202" s="21">
        <f>[2]底表!DQ202</f>
        <v>0</v>
      </c>
      <c r="CE202" s="21" t="str">
        <f>[2]底表!DR202</f>
        <v>持平</v>
      </c>
      <c r="CF202" s="21">
        <f>[2]底表!DS202</f>
        <v>0</v>
      </c>
      <c r="CG202" s="21">
        <f>[2]底表!DT202</f>
        <v>0</v>
      </c>
      <c r="CH202" s="21" t="str">
        <f>[2]底表!DU202</f>
        <v>持平</v>
      </c>
      <c r="CI202" s="21">
        <f>[2]底表!DV202</f>
        <v>0</v>
      </c>
      <c r="CJ202" s="21" t="str">
        <f>[2]底表!DW202</f>
        <v>持平</v>
      </c>
      <c r="CK202" s="21">
        <f>[2]底表!DX202</f>
        <v>0</v>
      </c>
      <c r="CL202" s="21">
        <f>[2]底表!DY202</f>
        <v>6</v>
      </c>
      <c r="CM202" s="21" t="str">
        <f>[2]底表!DZ202</f>
        <v>少6人</v>
      </c>
      <c r="CN202" s="21">
        <f>[2]底表!EA202</f>
        <v>0</v>
      </c>
      <c r="CO202" s="21" t="str">
        <f>[2]底表!EB202</f>
        <v>持平</v>
      </c>
      <c r="CP202" s="21">
        <f>[2]底表!EC202</f>
        <v>0</v>
      </c>
      <c r="CQ202" s="21">
        <f>[2]底表!ED202</f>
        <v>6</v>
      </c>
      <c r="CR202" s="21" t="str">
        <f>[2]底表!EE202</f>
        <v>少6人</v>
      </c>
      <c r="CS202" s="21">
        <f>[2]底表!EF202</f>
        <v>0</v>
      </c>
      <c r="CT202" s="21" t="str">
        <f>[2]底表!EG202</f>
        <v>持平</v>
      </c>
      <c r="CU202" s="21">
        <f>[2]底表!EH202</f>
        <v>0</v>
      </c>
      <c r="CV202" s="21">
        <f>[2]底表!EI202</f>
        <v>-3</v>
      </c>
      <c r="CW202" s="21">
        <f>[2]底表!EJ202</f>
        <v>0</v>
      </c>
      <c r="CX202" s="21">
        <f>[2]底表!EK202</f>
        <v>-300</v>
      </c>
      <c r="CY202" s="21">
        <f>[2]底表!EL202</f>
        <v>-1</v>
      </c>
      <c r="CZ202" s="21">
        <f>[2]底表!EM202</f>
        <v>0</v>
      </c>
      <c r="DA202" s="21">
        <f>[2]底表!EN202</f>
        <v>6</v>
      </c>
      <c r="DB202" s="21" t="str">
        <f>[2]底表!EO202</f>
        <v>少6人</v>
      </c>
      <c r="DC202" s="21">
        <f>[2]底表!EP202</f>
        <v>0</v>
      </c>
      <c r="DD202" s="21" t="str">
        <f>[2]底表!EQ202</f>
        <v>持平</v>
      </c>
      <c r="DE202" s="21">
        <f>[2]底表!ER202</f>
        <v>0</v>
      </c>
      <c r="DF202" s="21">
        <f>[2]底表!ES202</f>
        <v>0</v>
      </c>
      <c r="DG202" s="23" t="str">
        <f>[2]底表!ET202</f>
        <v>持平</v>
      </c>
      <c r="DH202" s="21">
        <f>[2]底表!EU202</f>
        <v>1</v>
      </c>
      <c r="DI202" s="21" t="str">
        <f>[2]底表!EV202</f>
        <v>少1人</v>
      </c>
      <c r="DJ202" s="21">
        <f>[2]底表!EW202</f>
        <v>0</v>
      </c>
      <c r="DK202" s="21">
        <f>[2]底表!EX202</f>
        <v>0</v>
      </c>
      <c r="DL202" s="21">
        <f>[2]底表!EY202</f>
        <v>0</v>
      </c>
      <c r="DM202" s="21">
        <f>[2]底表!EZ202</f>
        <v>0</v>
      </c>
      <c r="DN202" s="21" t="str">
        <f>[2]底表!FA202</f>
        <v/>
      </c>
      <c r="DO202" s="21">
        <f>[2]底表!BQ202</f>
        <v>0</v>
      </c>
      <c r="DP202" s="21">
        <f>[2]底表!BR202</f>
        <v>0</v>
      </c>
      <c r="DQ202" s="24" t="str">
        <f>[2]底表!BS202</f>
        <v>持平</v>
      </c>
    </row>
    <row r="203" s="2" customFormat="1" ht="32" hidden="1" customHeight="1" spans="1:121">
      <c r="A203" s="27" t="str">
        <f>[2]底表!A203</f>
        <v>强奸</v>
      </c>
      <c r="B203" s="28" t="str">
        <f>[2]底表!B203</f>
        <v>云安区</v>
      </c>
      <c r="C203" s="21">
        <f>[2]底表!AM203</f>
        <v>2</v>
      </c>
      <c r="D203" s="21">
        <f>[2]底表!AN203</f>
        <v>0</v>
      </c>
      <c r="E203" s="23" t="str">
        <f>[2]底表!AO203</f>
        <v>多2起</v>
      </c>
      <c r="F203" s="21">
        <f>[2]底表!AP203</f>
        <v>0</v>
      </c>
      <c r="G203" s="21" t="str">
        <f>[2]底表!AQ203</f>
        <v>多2起</v>
      </c>
      <c r="H203" s="21">
        <f>[2]底表!AR203</f>
        <v>1</v>
      </c>
      <c r="I203" s="21" t="str">
        <f>[2]底表!AS203</f>
        <v/>
      </c>
      <c r="J203" s="21">
        <f>[2]底表!AT203</f>
        <v>2</v>
      </c>
      <c r="K203" s="21">
        <f>[2]底表!AU203</f>
        <v>0</v>
      </c>
      <c r="L203" s="21" t="str">
        <f>[2]底表!AV203</f>
        <v>多2起</v>
      </c>
      <c r="M203" s="21">
        <f>[2]底表!AW203</f>
        <v>0</v>
      </c>
      <c r="N203" s="21" t="str">
        <f>[2]底表!AX203</f>
        <v>多2起</v>
      </c>
      <c r="O203" s="21">
        <f>[2]底表!AY203</f>
        <v>2</v>
      </c>
      <c r="P203" s="21">
        <f>[2]底表!AZ203</f>
        <v>0</v>
      </c>
      <c r="Q203" s="21" t="str">
        <f>[2]底表!BA203</f>
        <v>多2起</v>
      </c>
      <c r="R203" s="21">
        <f>[2]底表!BB203</f>
        <v>0</v>
      </c>
      <c r="S203" s="21" t="str">
        <f>[2]底表!BC203</f>
        <v>多2起</v>
      </c>
      <c r="T203" s="21">
        <f>[2]底表!BD203</f>
        <v>1</v>
      </c>
      <c r="U203" s="21" t="str">
        <f>[2]底表!BE203</f>
        <v/>
      </c>
      <c r="V203" s="21">
        <f>[2]底表!BF203</f>
        <v>0</v>
      </c>
      <c r="W203" s="21">
        <f>[2]底表!BG203</f>
        <v>0</v>
      </c>
      <c r="X203" s="21" t="str">
        <f>[2]底表!BH203</f>
        <v>持平</v>
      </c>
      <c r="Y203" s="21">
        <f>[2]底表!BI203</f>
        <v>0</v>
      </c>
      <c r="Z203" s="21" t="str">
        <f>[2]底表!BJ203</f>
        <v>持平</v>
      </c>
      <c r="AA203" s="21">
        <f>[2]底表!BK203</f>
        <v>0</v>
      </c>
      <c r="AB203" s="21">
        <f>[2]底表!BL203</f>
        <v>0</v>
      </c>
      <c r="AC203" s="21">
        <f>[2]底表!BM203</f>
        <v>0</v>
      </c>
      <c r="AD203" s="21" t="str">
        <f>[2]底表!BN203</f>
        <v>持平</v>
      </c>
      <c r="AE203" s="21">
        <f>[2]底表!BO203</f>
        <v>0</v>
      </c>
      <c r="AF203" s="21" t="str">
        <f>[2]底表!BP203</f>
        <v>持平</v>
      </c>
      <c r="AG203" s="21">
        <f>[2]底表!BT203</f>
        <v>0</v>
      </c>
      <c r="AH203" s="21" t="str">
        <f>[2]底表!BU203</f>
        <v>持平</v>
      </c>
      <c r="AI203" s="21">
        <f>[2]底表!BV203</f>
        <v>0</v>
      </c>
      <c r="AJ203" s="21" t="str">
        <f>[2]底表!BW203</f>
        <v/>
      </c>
      <c r="AK203" s="21">
        <f>[2]底表!BX203</f>
        <v>0</v>
      </c>
      <c r="AL203" s="21" t="str">
        <f>[2]底表!BY203</f>
        <v/>
      </c>
      <c r="AM203" s="21">
        <f>[2]底表!BZ203</f>
        <v>0</v>
      </c>
      <c r="AN203" s="21">
        <f>[2]底表!CA203</f>
        <v>0</v>
      </c>
      <c r="AO203" s="21" t="str">
        <f>[2]底表!CB203</f>
        <v>持平</v>
      </c>
      <c r="AP203" s="21">
        <f>[2]底表!CC203</f>
        <v>0</v>
      </c>
      <c r="AQ203" s="21" t="str">
        <f>[2]底表!CD203</f>
        <v>持平</v>
      </c>
      <c r="AR203" s="21" t="str">
        <f>[2]底表!CE203</f>
        <v/>
      </c>
      <c r="AS203" s="21" t="str">
        <f>[2]底表!CF203</f>
        <v/>
      </c>
      <c r="AT203" s="21">
        <f>[2]底表!CG203</f>
        <v>2</v>
      </c>
      <c r="AU203" s="21">
        <f>[2]底表!CH203</f>
        <v>0</v>
      </c>
      <c r="AV203" s="21" t="str">
        <f>[2]底表!CI203</f>
        <v>多2人</v>
      </c>
      <c r="AW203" s="21">
        <f>[2]底表!CJ203</f>
        <v>0</v>
      </c>
      <c r="AX203" s="21" t="str">
        <f>[2]底表!CK203</f>
        <v>多2人</v>
      </c>
      <c r="AY203" s="21">
        <f>[2]底表!CL203</f>
        <v>100</v>
      </c>
      <c r="AZ203" s="21" t="str">
        <f>[2]底表!CM203</f>
        <v/>
      </c>
      <c r="BA203" s="21" t="str">
        <f>[2]底表!CN203</f>
        <v/>
      </c>
      <c r="BB203" s="21">
        <f>[2]底表!CO203</f>
        <v>2</v>
      </c>
      <c r="BC203" s="21">
        <f>[2]底表!CP203</f>
        <v>0</v>
      </c>
      <c r="BD203" s="21" t="str">
        <f>[2]底表!CQ203</f>
        <v>多2人</v>
      </c>
      <c r="BE203" s="21">
        <f>[2]底表!CR203</f>
        <v>0</v>
      </c>
      <c r="BF203" s="21" t="str">
        <f>[2]底表!CS203</f>
        <v>多2人</v>
      </c>
      <c r="BG203" s="21">
        <f>[2]底表!CT203</f>
        <v>1</v>
      </c>
      <c r="BH203" s="21" t="str">
        <f>[2]底表!CU203</f>
        <v/>
      </c>
      <c r="BI203" s="21">
        <f>[2]底表!CV203</f>
        <v>100</v>
      </c>
      <c r="BJ203" s="21" t="str">
        <f>[2]底表!CW203</f>
        <v/>
      </c>
      <c r="BK203" s="21" t="str">
        <f>[2]底表!CX203</f>
        <v/>
      </c>
      <c r="BL203" s="21">
        <f>[2]底表!CY203</f>
        <v>2</v>
      </c>
      <c r="BM203" s="21">
        <f>[2]底表!CZ203</f>
        <v>0</v>
      </c>
      <c r="BN203" s="23" t="str">
        <f>[2]底表!DA203</f>
        <v>多2人</v>
      </c>
      <c r="BO203" s="21">
        <f>[2]底表!DB203</f>
        <v>0</v>
      </c>
      <c r="BP203" s="21" t="str">
        <f>[2]底表!DC203</f>
        <v>多2人</v>
      </c>
      <c r="BQ203" s="21">
        <f>[2]底表!DD203</f>
        <v>1</v>
      </c>
      <c r="BR203" s="21" t="str">
        <f>[2]底表!DE203</f>
        <v/>
      </c>
      <c r="BS203" s="21">
        <f>[2]底表!DF203</f>
        <v>100</v>
      </c>
      <c r="BT203" s="21" t="str">
        <f>[2]底表!DG203</f>
        <v/>
      </c>
      <c r="BU203" s="21" t="str">
        <f>[2]底表!DH203</f>
        <v/>
      </c>
      <c r="BV203" s="21">
        <f>[2]底表!DI203</f>
        <v>0</v>
      </c>
      <c r="BW203" s="21">
        <f>[2]底表!DJ203</f>
        <v>0</v>
      </c>
      <c r="BX203" s="23" t="str">
        <f>[2]底表!DK203</f>
        <v>持平</v>
      </c>
      <c r="BY203" s="21">
        <f>[2]底表!DL203</f>
        <v>0</v>
      </c>
      <c r="BZ203" s="21" t="str">
        <f>[2]底表!DM203</f>
        <v>持平</v>
      </c>
      <c r="CA203" s="21">
        <f>[2]底表!DN203</f>
        <v>1</v>
      </c>
      <c r="CB203" s="21">
        <f>[2]底表!DO203</f>
        <v>0</v>
      </c>
      <c r="CC203" s="21" t="str">
        <f>[2]底表!DP203</f>
        <v>多1人</v>
      </c>
      <c r="CD203" s="21">
        <f>[2]底表!DQ203</f>
        <v>0</v>
      </c>
      <c r="CE203" s="21" t="str">
        <f>[2]底表!DR203</f>
        <v>多1人</v>
      </c>
      <c r="CF203" s="21">
        <f>[2]底表!DS203</f>
        <v>1</v>
      </c>
      <c r="CG203" s="21">
        <f>[2]底表!DT203</f>
        <v>0</v>
      </c>
      <c r="CH203" s="21" t="str">
        <f>[2]底表!DU203</f>
        <v>多1人</v>
      </c>
      <c r="CI203" s="21">
        <f>[2]底表!DV203</f>
        <v>0</v>
      </c>
      <c r="CJ203" s="21" t="str">
        <f>[2]底表!DW203</f>
        <v>多1人</v>
      </c>
      <c r="CK203" s="21">
        <f>[2]底表!DX203</f>
        <v>2</v>
      </c>
      <c r="CL203" s="21">
        <f>[2]底表!DY203</f>
        <v>0</v>
      </c>
      <c r="CM203" s="21" t="str">
        <f>[2]底表!DZ203</f>
        <v>多2人</v>
      </c>
      <c r="CN203" s="21">
        <f>[2]底表!EA203</f>
        <v>0</v>
      </c>
      <c r="CO203" s="21" t="str">
        <f>[2]底表!EB203</f>
        <v>多2人</v>
      </c>
      <c r="CP203" s="21">
        <f>[2]底表!EC203</f>
        <v>1</v>
      </c>
      <c r="CQ203" s="21">
        <f>[2]底表!ED203</f>
        <v>0</v>
      </c>
      <c r="CR203" s="21" t="str">
        <f>[2]底表!EE203</f>
        <v>多1人</v>
      </c>
      <c r="CS203" s="21">
        <f>[2]底表!EF203</f>
        <v>0</v>
      </c>
      <c r="CT203" s="21" t="str">
        <f>[2]底表!EG203</f>
        <v>多1人</v>
      </c>
      <c r="CU203" s="21">
        <f>[2]底表!EH203</f>
        <v>0.5</v>
      </c>
      <c r="CV203" s="21" t="str">
        <f>[2]底表!EI203</f>
        <v/>
      </c>
      <c r="CW203" s="21">
        <f>[2]底表!EJ203</f>
        <v>50</v>
      </c>
      <c r="CX203" s="21" t="str">
        <f>[2]底表!EK203</f>
        <v/>
      </c>
      <c r="CY203" s="21" t="str">
        <f>[2]底表!EL203</f>
        <v/>
      </c>
      <c r="CZ203" s="21">
        <f>[2]底表!EM203</f>
        <v>1</v>
      </c>
      <c r="DA203" s="21">
        <f>[2]底表!EN203</f>
        <v>0</v>
      </c>
      <c r="DB203" s="21" t="str">
        <f>[2]底表!EO203</f>
        <v>多1人</v>
      </c>
      <c r="DC203" s="21">
        <f>[2]底表!EP203</f>
        <v>0</v>
      </c>
      <c r="DD203" s="21" t="str">
        <f>[2]底表!EQ203</f>
        <v>多1人</v>
      </c>
      <c r="DE203" s="21">
        <f>[2]底表!ER203</f>
        <v>0</v>
      </c>
      <c r="DF203" s="21">
        <f>[2]底表!ES203</f>
        <v>0</v>
      </c>
      <c r="DG203" s="23" t="str">
        <f>[2]底表!ET203</f>
        <v>持平</v>
      </c>
      <c r="DH203" s="21">
        <f>[2]底表!EU203</f>
        <v>0</v>
      </c>
      <c r="DI203" s="21" t="str">
        <f>[2]底表!EV203</f>
        <v>持平</v>
      </c>
      <c r="DJ203" s="21">
        <f>[2]底表!EW203</f>
        <v>0</v>
      </c>
      <c r="DK203" s="21" t="str">
        <f>[2]底表!EX203</f>
        <v/>
      </c>
      <c r="DL203" s="21">
        <f>[2]底表!EY203</f>
        <v>0</v>
      </c>
      <c r="DM203" s="21" t="str">
        <f>[2]底表!EZ203</f>
        <v/>
      </c>
      <c r="DN203" s="21" t="str">
        <f>[2]底表!FA203</f>
        <v/>
      </c>
      <c r="DO203" s="21">
        <f>[2]底表!BQ203</f>
        <v>0</v>
      </c>
      <c r="DP203" s="21">
        <f>[2]底表!BR203</f>
        <v>0</v>
      </c>
      <c r="DQ203" s="24" t="str">
        <f>[2]底表!BS203</f>
        <v>持平</v>
      </c>
    </row>
    <row r="204" s="2" customFormat="1" ht="32" hidden="1" customHeight="1" spans="1:121">
      <c r="A204" s="27" t="str">
        <f>[2]底表!A204</f>
        <v>强奸</v>
      </c>
      <c r="B204" s="28" t="str">
        <f>[2]底表!B204</f>
        <v>新兴县</v>
      </c>
      <c r="C204" s="21">
        <f>[2]底表!AM204</f>
        <v>1</v>
      </c>
      <c r="D204" s="21">
        <f>[2]底表!AN204</f>
        <v>2</v>
      </c>
      <c r="E204" s="23">
        <f>[2]底表!AO204</f>
        <v>-0.5</v>
      </c>
      <c r="F204" s="21">
        <f>[2]底表!AP204</f>
        <v>2</v>
      </c>
      <c r="G204" s="21">
        <f>[2]底表!AQ204</f>
        <v>-0.5</v>
      </c>
      <c r="H204" s="21">
        <f>[2]底表!AR204</f>
        <v>0.3333</v>
      </c>
      <c r="I204" s="21">
        <f>[2]底表!AS204</f>
        <v>-0.3333</v>
      </c>
      <c r="J204" s="21">
        <f>[2]底表!AT204</f>
        <v>1</v>
      </c>
      <c r="K204" s="21">
        <f>[2]底表!AU204</f>
        <v>1</v>
      </c>
      <c r="L204" s="21">
        <f>[2]底表!AV204</f>
        <v>0</v>
      </c>
      <c r="M204" s="21">
        <f>[2]底表!AW204</f>
        <v>1</v>
      </c>
      <c r="N204" s="21">
        <f>[2]底表!AX204</f>
        <v>0</v>
      </c>
      <c r="O204" s="21">
        <f>[2]底表!AY204</f>
        <v>1</v>
      </c>
      <c r="P204" s="21">
        <f>[2]底表!AZ204</f>
        <v>1</v>
      </c>
      <c r="Q204" s="21">
        <f>[2]底表!BA204</f>
        <v>0</v>
      </c>
      <c r="R204" s="21">
        <f>[2]底表!BB204</f>
        <v>2</v>
      </c>
      <c r="S204" s="21">
        <f>[2]底表!BC204</f>
        <v>-0.5</v>
      </c>
      <c r="T204" s="21">
        <f>[2]底表!BD204</f>
        <v>1</v>
      </c>
      <c r="U204" s="21">
        <f>[2]底表!BE204</f>
        <v>0</v>
      </c>
      <c r="V204" s="21">
        <f>[2]底表!BF204</f>
        <v>2</v>
      </c>
      <c r="W204" s="21">
        <f>[2]底表!BG204</f>
        <v>2</v>
      </c>
      <c r="X204" s="21">
        <f>[2]底表!BH204</f>
        <v>0</v>
      </c>
      <c r="Y204" s="21">
        <f>[2]底表!BI204</f>
        <v>0</v>
      </c>
      <c r="Z204" s="21" t="str">
        <f>[2]底表!BJ204</f>
        <v>多2起</v>
      </c>
      <c r="AA204" s="21">
        <f>[2]底表!BK204</f>
        <v>0.6667</v>
      </c>
      <c r="AB204" s="21">
        <f>[2]底表!BL204</f>
        <v>0</v>
      </c>
      <c r="AC204" s="21">
        <f>[2]底表!BM204</f>
        <v>1</v>
      </c>
      <c r="AD204" s="21" t="str">
        <f>[2]底表!BN204</f>
        <v>少1起</v>
      </c>
      <c r="AE204" s="21">
        <f>[2]底表!BO204</f>
        <v>0</v>
      </c>
      <c r="AF204" s="21" t="str">
        <f>[2]底表!BP204</f>
        <v>持平</v>
      </c>
      <c r="AG204" s="21">
        <f>[2]底表!BT204</f>
        <v>0</v>
      </c>
      <c r="AH204" s="21" t="str">
        <f>[2]底表!BU204</f>
        <v>持平</v>
      </c>
      <c r="AI204" s="21">
        <f>[2]底表!BV204</f>
        <v>0</v>
      </c>
      <c r="AJ204" s="21">
        <f>[2]底表!BW204</f>
        <v>0</v>
      </c>
      <c r="AK204" s="21">
        <f>[2]底表!BX204</f>
        <v>0</v>
      </c>
      <c r="AL204" s="21">
        <f>[2]底表!BY204</f>
        <v>0</v>
      </c>
      <c r="AM204" s="21">
        <f>[2]底表!BZ204</f>
        <v>0</v>
      </c>
      <c r="AN204" s="21">
        <f>[2]底表!CA204</f>
        <v>0</v>
      </c>
      <c r="AO204" s="21" t="str">
        <f>[2]底表!CB204</f>
        <v>持平</v>
      </c>
      <c r="AP204" s="21">
        <f>[2]底表!CC204</f>
        <v>0</v>
      </c>
      <c r="AQ204" s="21" t="str">
        <f>[2]底表!CD204</f>
        <v>持平</v>
      </c>
      <c r="AR204" s="21" t="str">
        <f>[2]底表!CE204</f>
        <v/>
      </c>
      <c r="AS204" s="21" t="str">
        <f>[2]底表!CF204</f>
        <v/>
      </c>
      <c r="AT204" s="21">
        <f>[2]底表!CG204</f>
        <v>2</v>
      </c>
      <c r="AU204" s="21">
        <f>[2]底表!CH204</f>
        <v>2</v>
      </c>
      <c r="AV204" s="21">
        <f>[2]底表!CI204</f>
        <v>0</v>
      </c>
      <c r="AW204" s="21">
        <f>[2]底表!CJ204</f>
        <v>2</v>
      </c>
      <c r="AX204" s="21">
        <f>[2]底表!CK204</f>
        <v>0</v>
      </c>
      <c r="AY204" s="21">
        <f>[2]底表!CL204</f>
        <v>67</v>
      </c>
      <c r="AZ204" s="21">
        <f>[2]底表!CM204</f>
        <v>0</v>
      </c>
      <c r="BA204" s="21">
        <f>[2]底表!CN204</f>
        <v>0</v>
      </c>
      <c r="BB204" s="21">
        <f>[2]底表!CO204</f>
        <v>0</v>
      </c>
      <c r="BC204" s="21">
        <f>[2]底表!CP204</f>
        <v>2</v>
      </c>
      <c r="BD204" s="21" t="str">
        <f>[2]底表!CQ204</f>
        <v>少2人</v>
      </c>
      <c r="BE204" s="21">
        <f>[2]底表!CR204</f>
        <v>0</v>
      </c>
      <c r="BF204" s="21" t="str">
        <f>[2]底表!CS204</f>
        <v>持平</v>
      </c>
      <c r="BG204" s="21">
        <f>[2]底表!CT204</f>
        <v>0</v>
      </c>
      <c r="BH204" s="21">
        <f>[2]底表!CU204</f>
        <v>-1</v>
      </c>
      <c r="BI204" s="21">
        <f>[2]底表!CV204</f>
        <v>0</v>
      </c>
      <c r="BJ204" s="21">
        <f>[2]底表!CW204</f>
        <v>-67</v>
      </c>
      <c r="BK204" s="21">
        <f>[2]底表!CX204</f>
        <v>-1</v>
      </c>
      <c r="BL204" s="21">
        <f>[2]底表!CY204</f>
        <v>1</v>
      </c>
      <c r="BM204" s="21">
        <f>[2]底表!CZ204</f>
        <v>2</v>
      </c>
      <c r="BN204" s="23">
        <f>[2]底表!DA204</f>
        <v>-0.5</v>
      </c>
      <c r="BO204" s="21">
        <f>[2]底表!DB204</f>
        <v>0</v>
      </c>
      <c r="BP204" s="21" t="str">
        <f>[2]底表!DC204</f>
        <v>多1人</v>
      </c>
      <c r="BQ204" s="21">
        <f>[2]底表!DD204</f>
        <v>0.5</v>
      </c>
      <c r="BR204" s="21">
        <f>[2]底表!DE204</f>
        <v>-0.5</v>
      </c>
      <c r="BS204" s="21">
        <f>[2]底表!DF204</f>
        <v>33</v>
      </c>
      <c r="BT204" s="21">
        <f>[2]底表!DG204</f>
        <v>-33</v>
      </c>
      <c r="BU204" s="21">
        <f>[2]底表!DH204</f>
        <v>-0.5</v>
      </c>
      <c r="BV204" s="21">
        <f>[2]底表!DI204</f>
        <v>1</v>
      </c>
      <c r="BW204" s="21">
        <f>[2]底表!DJ204</f>
        <v>2</v>
      </c>
      <c r="BX204" s="23">
        <f>[2]底表!DK204</f>
        <v>-0.5</v>
      </c>
      <c r="BY204" s="21">
        <f>[2]底表!DL204</f>
        <v>0</v>
      </c>
      <c r="BZ204" s="21" t="str">
        <f>[2]底表!DM204</f>
        <v>多1人</v>
      </c>
      <c r="CA204" s="21">
        <f>[2]底表!DN204</f>
        <v>0</v>
      </c>
      <c r="CB204" s="21">
        <f>[2]底表!DO204</f>
        <v>0</v>
      </c>
      <c r="CC204" s="21" t="str">
        <f>[2]底表!DP204</f>
        <v>持平</v>
      </c>
      <c r="CD204" s="21">
        <f>[2]底表!DQ204</f>
        <v>0</v>
      </c>
      <c r="CE204" s="21" t="str">
        <f>[2]底表!DR204</f>
        <v>持平</v>
      </c>
      <c r="CF204" s="21">
        <f>[2]底表!DS204</f>
        <v>0</v>
      </c>
      <c r="CG204" s="21">
        <f>[2]底表!DT204</f>
        <v>0</v>
      </c>
      <c r="CH204" s="21" t="str">
        <f>[2]底表!DU204</f>
        <v>持平</v>
      </c>
      <c r="CI204" s="21">
        <f>[2]底表!DV204</f>
        <v>0</v>
      </c>
      <c r="CJ204" s="21" t="str">
        <f>[2]底表!DW204</f>
        <v>持平</v>
      </c>
      <c r="CK204" s="21">
        <f>[2]底表!DX204</f>
        <v>1</v>
      </c>
      <c r="CL204" s="21">
        <f>[2]底表!DY204</f>
        <v>1</v>
      </c>
      <c r="CM204" s="21">
        <f>[2]底表!DZ204</f>
        <v>0</v>
      </c>
      <c r="CN204" s="21">
        <f>[2]底表!EA204</f>
        <v>0</v>
      </c>
      <c r="CO204" s="21" t="str">
        <f>[2]底表!EB204</f>
        <v>多1人</v>
      </c>
      <c r="CP204" s="21">
        <f>[2]底表!EC204</f>
        <v>0</v>
      </c>
      <c r="CQ204" s="21">
        <f>[2]底表!ED204</f>
        <v>1</v>
      </c>
      <c r="CR204" s="21" t="str">
        <f>[2]底表!EE204</f>
        <v>少1人</v>
      </c>
      <c r="CS204" s="21">
        <f>[2]底表!EF204</f>
        <v>0</v>
      </c>
      <c r="CT204" s="21" t="str">
        <f>[2]底表!EG204</f>
        <v>持平</v>
      </c>
      <c r="CU204" s="21" t="str">
        <f>[2]底表!EH204</f>
        <v/>
      </c>
      <c r="CV204" s="21" t="str">
        <f>[2]底表!EI204</f>
        <v/>
      </c>
      <c r="CW204" s="21">
        <f>[2]底表!EJ204</f>
        <v>0</v>
      </c>
      <c r="CX204" s="21">
        <f>[2]底表!EK204</f>
        <v>-33</v>
      </c>
      <c r="CY204" s="21">
        <f>[2]底表!EL204</f>
        <v>-1</v>
      </c>
      <c r="CZ204" s="21">
        <f>[2]底表!EM204</f>
        <v>0</v>
      </c>
      <c r="DA204" s="21">
        <f>[2]底表!EN204</f>
        <v>1</v>
      </c>
      <c r="DB204" s="21" t="str">
        <f>[2]底表!EO204</f>
        <v>少1人</v>
      </c>
      <c r="DC204" s="21">
        <f>[2]底表!EP204</f>
        <v>0</v>
      </c>
      <c r="DD204" s="21" t="str">
        <f>[2]底表!EQ204</f>
        <v>持平</v>
      </c>
      <c r="DE204" s="21">
        <f>[2]底表!ER204</f>
        <v>0</v>
      </c>
      <c r="DF204" s="21">
        <f>[2]底表!ES204</f>
        <v>0</v>
      </c>
      <c r="DG204" s="23" t="str">
        <f>[2]底表!ET204</f>
        <v>持平</v>
      </c>
      <c r="DH204" s="21">
        <f>[2]底表!EU204</f>
        <v>0</v>
      </c>
      <c r="DI204" s="21" t="str">
        <f>[2]底表!EV204</f>
        <v>持平</v>
      </c>
      <c r="DJ204" s="21" t="str">
        <f>[2]底表!EW204</f>
        <v/>
      </c>
      <c r="DK204" s="21" t="str">
        <f>[2]底表!EX204</f>
        <v/>
      </c>
      <c r="DL204" s="21">
        <f>[2]底表!EY204</f>
        <v>0</v>
      </c>
      <c r="DM204" s="21">
        <f>[2]底表!EZ204</f>
        <v>0</v>
      </c>
      <c r="DN204" s="21" t="str">
        <f>[2]底表!FA204</f>
        <v/>
      </c>
      <c r="DO204" s="21">
        <f>[2]底表!BQ204</f>
        <v>0</v>
      </c>
      <c r="DP204" s="21">
        <f>[2]底表!BR204</f>
        <v>0</v>
      </c>
      <c r="DQ204" s="24" t="str">
        <f>[2]底表!BS204</f>
        <v>持平</v>
      </c>
    </row>
    <row r="205" s="2" customFormat="1" ht="32" hidden="1" customHeight="1" spans="1:121">
      <c r="A205" s="27" t="str">
        <f>[2]底表!A205</f>
        <v>强奸</v>
      </c>
      <c r="B205" s="28" t="str">
        <f>[2]底表!B205</f>
        <v>郁南县</v>
      </c>
      <c r="C205" s="21">
        <f>[2]底表!AM205</f>
        <v>2</v>
      </c>
      <c r="D205" s="21">
        <f>[2]底表!AN205</f>
        <v>0</v>
      </c>
      <c r="E205" s="23" t="str">
        <f>[2]底表!AO205</f>
        <v>多2起</v>
      </c>
      <c r="F205" s="21">
        <f>[2]底表!AP205</f>
        <v>0</v>
      </c>
      <c r="G205" s="21" t="str">
        <f>[2]底表!AQ205</f>
        <v>多2起</v>
      </c>
      <c r="H205" s="21">
        <f>[2]底表!AR205</f>
        <v>1</v>
      </c>
      <c r="I205" s="21" t="str">
        <f>[2]底表!AS205</f>
        <v/>
      </c>
      <c r="J205" s="21">
        <f>[2]底表!AT205</f>
        <v>1</v>
      </c>
      <c r="K205" s="21">
        <f>[2]底表!AU205</f>
        <v>0</v>
      </c>
      <c r="L205" s="21" t="str">
        <f>[2]底表!AV205</f>
        <v>多1起</v>
      </c>
      <c r="M205" s="21">
        <f>[2]底表!AW205</f>
        <v>0</v>
      </c>
      <c r="N205" s="21" t="str">
        <f>[2]底表!AX205</f>
        <v>多1起</v>
      </c>
      <c r="O205" s="21">
        <f>[2]底表!AY205</f>
        <v>1</v>
      </c>
      <c r="P205" s="21">
        <f>[2]底表!AZ205</f>
        <v>0</v>
      </c>
      <c r="Q205" s="21" t="str">
        <f>[2]底表!BA205</f>
        <v>多1起</v>
      </c>
      <c r="R205" s="21">
        <f>[2]底表!BB205</f>
        <v>0</v>
      </c>
      <c r="S205" s="21" t="str">
        <f>[2]底表!BC205</f>
        <v>多1起</v>
      </c>
      <c r="T205" s="21">
        <f>[2]底表!BD205</f>
        <v>1</v>
      </c>
      <c r="U205" s="21" t="str">
        <f>[2]底表!BE205</f>
        <v/>
      </c>
      <c r="V205" s="21">
        <f>[2]底表!BF205</f>
        <v>1</v>
      </c>
      <c r="W205" s="21">
        <f>[2]底表!BG205</f>
        <v>0</v>
      </c>
      <c r="X205" s="21" t="str">
        <f>[2]底表!BH205</f>
        <v>多1起</v>
      </c>
      <c r="Y205" s="21">
        <f>[2]底表!BI205</f>
        <v>0</v>
      </c>
      <c r="Z205" s="21" t="str">
        <f>[2]底表!BJ205</f>
        <v>多1起</v>
      </c>
      <c r="AA205" s="21">
        <f>[2]底表!BK205</f>
        <v>0.5</v>
      </c>
      <c r="AB205" s="21">
        <f>[2]底表!BL205</f>
        <v>1</v>
      </c>
      <c r="AC205" s="21">
        <f>[2]底表!BM205</f>
        <v>0</v>
      </c>
      <c r="AD205" s="21" t="str">
        <f>[2]底表!BN205</f>
        <v>多1起</v>
      </c>
      <c r="AE205" s="21">
        <f>[2]底表!BO205</f>
        <v>0</v>
      </c>
      <c r="AF205" s="21" t="str">
        <f>[2]底表!BP205</f>
        <v>多1起</v>
      </c>
      <c r="AG205" s="21">
        <f>[2]底表!BT205</f>
        <v>1</v>
      </c>
      <c r="AH205" s="21" t="str">
        <f>[2]底表!BU205</f>
        <v>少1起</v>
      </c>
      <c r="AI205" s="21">
        <f>[2]底表!BV205</f>
        <v>0</v>
      </c>
      <c r="AJ205" s="21" t="str">
        <f>[2]底表!BW205</f>
        <v/>
      </c>
      <c r="AK205" s="21">
        <f>[2]底表!BX205</f>
        <v>0</v>
      </c>
      <c r="AL205" s="21" t="str">
        <f>[2]底表!BY205</f>
        <v/>
      </c>
      <c r="AM205" s="21">
        <f>[2]底表!BZ205</f>
        <v>0</v>
      </c>
      <c r="AN205" s="21">
        <f>[2]底表!CA205</f>
        <v>0</v>
      </c>
      <c r="AO205" s="21" t="str">
        <f>[2]底表!CB205</f>
        <v>持平</v>
      </c>
      <c r="AP205" s="21">
        <f>[2]底表!CC205</f>
        <v>0</v>
      </c>
      <c r="AQ205" s="21" t="str">
        <f>[2]底表!CD205</f>
        <v>持平</v>
      </c>
      <c r="AR205" s="21" t="str">
        <f>[2]底表!CE205</f>
        <v/>
      </c>
      <c r="AS205" s="21" t="str">
        <f>[2]底表!CF205</f>
        <v/>
      </c>
      <c r="AT205" s="21">
        <f>[2]底表!CG205</f>
        <v>4</v>
      </c>
      <c r="AU205" s="21">
        <f>[2]底表!CH205</f>
        <v>0</v>
      </c>
      <c r="AV205" s="21" t="str">
        <f>[2]底表!CI205</f>
        <v>多4人</v>
      </c>
      <c r="AW205" s="21">
        <f>[2]底表!CJ205</f>
        <v>0</v>
      </c>
      <c r="AX205" s="21" t="str">
        <f>[2]底表!CK205</f>
        <v>多4人</v>
      </c>
      <c r="AY205" s="21">
        <f>[2]底表!CL205</f>
        <v>200</v>
      </c>
      <c r="AZ205" s="21" t="str">
        <f>[2]底表!CM205</f>
        <v/>
      </c>
      <c r="BA205" s="21" t="str">
        <f>[2]底表!CN205</f>
        <v/>
      </c>
      <c r="BB205" s="21">
        <f>[2]底表!CO205</f>
        <v>3</v>
      </c>
      <c r="BC205" s="21">
        <f>[2]底表!CP205</f>
        <v>0</v>
      </c>
      <c r="BD205" s="21" t="str">
        <f>[2]底表!CQ205</f>
        <v>多3人</v>
      </c>
      <c r="BE205" s="21">
        <f>[2]底表!CR205</f>
        <v>0</v>
      </c>
      <c r="BF205" s="21" t="str">
        <f>[2]底表!CS205</f>
        <v>多3人</v>
      </c>
      <c r="BG205" s="21">
        <f>[2]底表!CT205</f>
        <v>0.75</v>
      </c>
      <c r="BH205" s="21" t="str">
        <f>[2]底表!CU205</f>
        <v/>
      </c>
      <c r="BI205" s="21">
        <f>[2]底表!CV205</f>
        <v>150</v>
      </c>
      <c r="BJ205" s="21" t="str">
        <f>[2]底表!CW205</f>
        <v/>
      </c>
      <c r="BK205" s="21" t="str">
        <f>[2]底表!CX205</f>
        <v/>
      </c>
      <c r="BL205" s="21">
        <f>[2]底表!CY205</f>
        <v>3</v>
      </c>
      <c r="BM205" s="21">
        <f>[2]底表!CZ205</f>
        <v>0</v>
      </c>
      <c r="BN205" s="23" t="str">
        <f>[2]底表!DA205</f>
        <v>多3人</v>
      </c>
      <c r="BO205" s="21">
        <f>[2]底表!DB205</f>
        <v>0</v>
      </c>
      <c r="BP205" s="21" t="str">
        <f>[2]底表!DC205</f>
        <v>多3人</v>
      </c>
      <c r="BQ205" s="21">
        <f>[2]底表!DD205</f>
        <v>0.75</v>
      </c>
      <c r="BR205" s="21" t="str">
        <f>[2]底表!DE205</f>
        <v/>
      </c>
      <c r="BS205" s="21">
        <f>[2]底表!DF205</f>
        <v>150</v>
      </c>
      <c r="BT205" s="21" t="str">
        <f>[2]底表!DG205</f>
        <v/>
      </c>
      <c r="BU205" s="21" t="str">
        <f>[2]底表!DH205</f>
        <v/>
      </c>
      <c r="BV205" s="21">
        <f>[2]底表!DI205</f>
        <v>5</v>
      </c>
      <c r="BW205" s="21">
        <f>[2]底表!DJ205</f>
        <v>0</v>
      </c>
      <c r="BX205" s="23" t="str">
        <f>[2]底表!DK205</f>
        <v>多5人</v>
      </c>
      <c r="BY205" s="21">
        <f>[2]底表!DL205</f>
        <v>0</v>
      </c>
      <c r="BZ205" s="21" t="str">
        <f>[2]底表!DM205</f>
        <v>多5人</v>
      </c>
      <c r="CA205" s="21">
        <f>[2]底表!DN205</f>
        <v>0</v>
      </c>
      <c r="CB205" s="21">
        <f>[2]底表!DO205</f>
        <v>0</v>
      </c>
      <c r="CC205" s="21" t="str">
        <f>[2]底表!DP205</f>
        <v>持平</v>
      </c>
      <c r="CD205" s="21">
        <f>[2]底表!DQ205</f>
        <v>0</v>
      </c>
      <c r="CE205" s="21" t="str">
        <f>[2]底表!DR205</f>
        <v>持平</v>
      </c>
      <c r="CF205" s="21">
        <f>[2]底表!DS205</f>
        <v>0</v>
      </c>
      <c r="CG205" s="21">
        <f>[2]底表!DT205</f>
        <v>0</v>
      </c>
      <c r="CH205" s="21" t="str">
        <f>[2]底表!DU205</f>
        <v>持平</v>
      </c>
      <c r="CI205" s="21">
        <f>[2]底表!DV205</f>
        <v>0</v>
      </c>
      <c r="CJ205" s="21" t="str">
        <f>[2]底表!DW205</f>
        <v>持平</v>
      </c>
      <c r="CK205" s="21">
        <f>[2]底表!DX205</f>
        <v>2</v>
      </c>
      <c r="CL205" s="21">
        <f>[2]底表!DY205</f>
        <v>0</v>
      </c>
      <c r="CM205" s="21" t="str">
        <f>[2]底表!DZ205</f>
        <v>多2人</v>
      </c>
      <c r="CN205" s="21">
        <f>[2]底表!EA205</f>
        <v>2</v>
      </c>
      <c r="CO205" s="21">
        <f>[2]底表!EB205</f>
        <v>0</v>
      </c>
      <c r="CP205" s="21">
        <f>[2]底表!EC205</f>
        <v>0</v>
      </c>
      <c r="CQ205" s="21">
        <f>[2]底表!ED205</f>
        <v>0</v>
      </c>
      <c r="CR205" s="21" t="str">
        <f>[2]底表!EE205</f>
        <v>持平</v>
      </c>
      <c r="CS205" s="21">
        <f>[2]底表!EF205</f>
        <v>2</v>
      </c>
      <c r="CT205" s="21" t="str">
        <f>[2]底表!EG205</f>
        <v>少2人</v>
      </c>
      <c r="CU205" s="21">
        <f>[2]底表!EH205</f>
        <v>0</v>
      </c>
      <c r="CV205" s="21" t="str">
        <f>[2]底表!EI205</f>
        <v/>
      </c>
      <c r="CW205" s="21">
        <f>[2]底表!EJ205</f>
        <v>0</v>
      </c>
      <c r="CX205" s="21" t="str">
        <f>[2]底表!EK205</f>
        <v/>
      </c>
      <c r="CY205" s="21" t="str">
        <f>[2]底表!EL205</f>
        <v/>
      </c>
      <c r="CZ205" s="21">
        <f>[2]底表!EM205</f>
        <v>0</v>
      </c>
      <c r="DA205" s="21">
        <f>[2]底表!EN205</f>
        <v>0</v>
      </c>
      <c r="DB205" s="21" t="str">
        <f>[2]底表!EO205</f>
        <v>持平</v>
      </c>
      <c r="DC205" s="21">
        <f>[2]底表!EP205</f>
        <v>2</v>
      </c>
      <c r="DD205" s="21" t="str">
        <f>[2]底表!EQ205</f>
        <v>少2人</v>
      </c>
      <c r="DE205" s="21">
        <f>[2]底表!ER205</f>
        <v>0</v>
      </c>
      <c r="DF205" s="21">
        <f>[2]底表!ES205</f>
        <v>0</v>
      </c>
      <c r="DG205" s="23" t="str">
        <f>[2]底表!ET205</f>
        <v>持平</v>
      </c>
      <c r="DH205" s="21">
        <f>[2]底表!EU205</f>
        <v>1</v>
      </c>
      <c r="DI205" s="21" t="str">
        <f>[2]底表!EV205</f>
        <v>少1人</v>
      </c>
      <c r="DJ205" s="21">
        <f>[2]底表!EW205</f>
        <v>0</v>
      </c>
      <c r="DK205" s="21" t="str">
        <f>[2]底表!EX205</f>
        <v/>
      </c>
      <c r="DL205" s="21">
        <f>[2]底表!EY205</f>
        <v>0</v>
      </c>
      <c r="DM205" s="21" t="str">
        <f>[2]底表!EZ205</f>
        <v/>
      </c>
      <c r="DN205" s="21" t="str">
        <f>[2]底表!FA205</f>
        <v/>
      </c>
      <c r="DO205" s="21">
        <f>[2]底表!BQ205</f>
        <v>0</v>
      </c>
      <c r="DP205" s="21">
        <f>[2]底表!BR205</f>
        <v>0</v>
      </c>
      <c r="DQ205" s="24" t="str">
        <f>[2]底表!BS205</f>
        <v>持平</v>
      </c>
    </row>
    <row r="206" s="2" customFormat="1" ht="32" hidden="1" customHeight="1" spans="1:121">
      <c r="A206" s="27" t="str">
        <f>[2]底表!A206</f>
        <v>强奸</v>
      </c>
      <c r="B206" s="28" t="str">
        <f>[2]底表!B206</f>
        <v>罗定市</v>
      </c>
      <c r="C206" s="21">
        <f>[2]底表!AM206</f>
        <v>2</v>
      </c>
      <c r="D206" s="21">
        <f>[2]底表!AN206</f>
        <v>2</v>
      </c>
      <c r="E206" s="23">
        <f>[2]底表!AO206</f>
        <v>0</v>
      </c>
      <c r="F206" s="21">
        <f>[2]底表!AP206</f>
        <v>3</v>
      </c>
      <c r="G206" s="21">
        <f>[2]底表!AQ206</f>
        <v>-0.3333</v>
      </c>
      <c r="H206" s="21">
        <f>[2]底表!AR206</f>
        <v>0.6667</v>
      </c>
      <c r="I206" s="21">
        <f>[2]底表!AS206</f>
        <v>-0.3333</v>
      </c>
      <c r="J206" s="21">
        <f>[2]底表!AT206</f>
        <v>2</v>
      </c>
      <c r="K206" s="21">
        <f>[2]底表!AU206</f>
        <v>1</v>
      </c>
      <c r="L206" s="21">
        <f>[2]底表!AV206</f>
        <v>1</v>
      </c>
      <c r="M206" s="21">
        <f>[2]底表!AW206</f>
        <v>2</v>
      </c>
      <c r="N206" s="21">
        <f>[2]底表!AX206</f>
        <v>0</v>
      </c>
      <c r="O206" s="21">
        <f>[2]底表!AY206</f>
        <v>1</v>
      </c>
      <c r="P206" s="21">
        <f>[2]底表!AZ206</f>
        <v>1</v>
      </c>
      <c r="Q206" s="21">
        <f>[2]底表!BA206</f>
        <v>0</v>
      </c>
      <c r="R206" s="21">
        <f>[2]底表!BB206</f>
        <v>2</v>
      </c>
      <c r="S206" s="21">
        <f>[2]底表!BC206</f>
        <v>-0.5</v>
      </c>
      <c r="T206" s="21">
        <f>[2]底表!BD206</f>
        <v>0.5</v>
      </c>
      <c r="U206" s="21">
        <f>[2]底表!BE206</f>
        <v>-0.5</v>
      </c>
      <c r="V206" s="21">
        <f>[2]底表!BF206</f>
        <v>1</v>
      </c>
      <c r="W206" s="21">
        <f>[2]底表!BG206</f>
        <v>1</v>
      </c>
      <c r="X206" s="21">
        <f>[2]底表!BH206</f>
        <v>0</v>
      </c>
      <c r="Y206" s="21">
        <f>[2]底表!BI206</f>
        <v>0</v>
      </c>
      <c r="Z206" s="21" t="str">
        <f>[2]底表!BJ206</f>
        <v>多1起</v>
      </c>
      <c r="AA206" s="21">
        <f>[2]底表!BK206</f>
        <v>0.3333</v>
      </c>
      <c r="AB206" s="21">
        <f>[2]底表!BL206</f>
        <v>1</v>
      </c>
      <c r="AC206" s="21">
        <f>[2]底表!BM206</f>
        <v>1</v>
      </c>
      <c r="AD206" s="21">
        <f>[2]底表!BN206</f>
        <v>0</v>
      </c>
      <c r="AE206" s="21">
        <f>[2]底表!BO206</f>
        <v>1</v>
      </c>
      <c r="AF206" s="21">
        <f>[2]底表!BP206</f>
        <v>0</v>
      </c>
      <c r="AG206" s="21">
        <f>[2]底表!BT206</f>
        <v>4</v>
      </c>
      <c r="AH206" s="21" t="str">
        <f>[2]底表!BU206</f>
        <v>少4起</v>
      </c>
      <c r="AI206" s="21">
        <f>[2]底表!BV206</f>
        <v>0</v>
      </c>
      <c r="AJ206" s="21">
        <f>[2]底表!BW206</f>
        <v>0</v>
      </c>
      <c r="AK206" s="21">
        <f>[2]底表!BX206</f>
        <v>0</v>
      </c>
      <c r="AL206" s="21">
        <f>[2]底表!BY206</f>
        <v>0</v>
      </c>
      <c r="AM206" s="21">
        <f>[2]底表!BZ206</f>
        <v>0</v>
      </c>
      <c r="AN206" s="21">
        <f>[2]底表!CA206</f>
        <v>0</v>
      </c>
      <c r="AO206" s="21" t="str">
        <f>[2]底表!CB206</f>
        <v>持平</v>
      </c>
      <c r="AP206" s="21">
        <f>[2]底表!CC206</f>
        <v>0</v>
      </c>
      <c r="AQ206" s="21" t="str">
        <f>[2]底表!CD206</f>
        <v>持平</v>
      </c>
      <c r="AR206" s="21" t="str">
        <f>[2]底表!CE206</f>
        <v/>
      </c>
      <c r="AS206" s="21" t="str">
        <f>[2]底表!CF206</f>
        <v/>
      </c>
      <c r="AT206" s="21">
        <f>[2]底表!CG206</f>
        <v>3</v>
      </c>
      <c r="AU206" s="21">
        <f>[2]底表!CH206</f>
        <v>5</v>
      </c>
      <c r="AV206" s="21">
        <f>[2]底表!CI206</f>
        <v>-0.4</v>
      </c>
      <c r="AW206" s="21">
        <f>[2]底表!CJ206</f>
        <v>1</v>
      </c>
      <c r="AX206" s="21">
        <f>[2]底表!CK206</f>
        <v>2</v>
      </c>
      <c r="AY206" s="21">
        <f>[2]底表!CL206</f>
        <v>100</v>
      </c>
      <c r="AZ206" s="21">
        <f>[2]底表!CM206</f>
        <v>-150</v>
      </c>
      <c r="BA206" s="21">
        <f>[2]底表!CN206</f>
        <v>-0.6</v>
      </c>
      <c r="BB206" s="21">
        <f>[2]底表!CO206</f>
        <v>4</v>
      </c>
      <c r="BC206" s="21">
        <f>[2]底表!CP206</f>
        <v>2</v>
      </c>
      <c r="BD206" s="21">
        <f>[2]底表!CQ206</f>
        <v>1</v>
      </c>
      <c r="BE206" s="21">
        <f>[2]底表!CR206</f>
        <v>1</v>
      </c>
      <c r="BF206" s="21">
        <f>[2]底表!CS206</f>
        <v>3</v>
      </c>
      <c r="BG206" s="21">
        <f>[2]底表!CT206</f>
        <v>1.3333</v>
      </c>
      <c r="BH206" s="21">
        <f>[2]底表!CU206</f>
        <v>0.9333</v>
      </c>
      <c r="BI206" s="21">
        <f>[2]底表!CV206</f>
        <v>133</v>
      </c>
      <c r="BJ206" s="21">
        <f>[2]底表!CW206</f>
        <v>33</v>
      </c>
      <c r="BK206" s="21">
        <f>[2]底表!CX206</f>
        <v>0.3333</v>
      </c>
      <c r="BL206" s="21">
        <f>[2]底表!CY206</f>
        <v>4</v>
      </c>
      <c r="BM206" s="21">
        <f>[2]底表!CZ206</f>
        <v>2</v>
      </c>
      <c r="BN206" s="23">
        <f>[2]底表!DA206</f>
        <v>1</v>
      </c>
      <c r="BO206" s="21">
        <f>[2]底表!DB206</f>
        <v>1</v>
      </c>
      <c r="BP206" s="21">
        <f>[2]底表!DC206</f>
        <v>3</v>
      </c>
      <c r="BQ206" s="21">
        <f>[2]底表!DD206</f>
        <v>1.3333</v>
      </c>
      <c r="BR206" s="21">
        <f>[2]底表!DE206</f>
        <v>0.9333</v>
      </c>
      <c r="BS206" s="21">
        <f>[2]底表!DF206</f>
        <v>133</v>
      </c>
      <c r="BT206" s="21">
        <f>[2]底表!DG206</f>
        <v>33</v>
      </c>
      <c r="BU206" s="21">
        <f>[2]底表!DH206</f>
        <v>0.3333</v>
      </c>
      <c r="BV206" s="21">
        <f>[2]底表!DI206</f>
        <v>4</v>
      </c>
      <c r="BW206" s="21">
        <f>[2]底表!DJ206</f>
        <v>0</v>
      </c>
      <c r="BX206" s="23" t="str">
        <f>[2]底表!DK206</f>
        <v>多4人</v>
      </c>
      <c r="BY206" s="21">
        <f>[2]底表!DL206</f>
        <v>1</v>
      </c>
      <c r="BZ206" s="21">
        <f>[2]底表!DM206</f>
        <v>3</v>
      </c>
      <c r="CA206" s="21">
        <f>[2]底表!DN206</f>
        <v>0</v>
      </c>
      <c r="CB206" s="21">
        <f>[2]底表!DO206</f>
        <v>0</v>
      </c>
      <c r="CC206" s="21" t="str">
        <f>[2]底表!DP206</f>
        <v>持平</v>
      </c>
      <c r="CD206" s="21">
        <f>[2]底表!DQ206</f>
        <v>0</v>
      </c>
      <c r="CE206" s="21" t="str">
        <f>[2]底表!DR206</f>
        <v>持平</v>
      </c>
      <c r="CF206" s="21">
        <f>[2]底表!DS206</f>
        <v>0</v>
      </c>
      <c r="CG206" s="21">
        <f>[2]底表!DT206</f>
        <v>0</v>
      </c>
      <c r="CH206" s="21" t="str">
        <f>[2]底表!DU206</f>
        <v>持平</v>
      </c>
      <c r="CI206" s="21">
        <f>[2]底表!DV206</f>
        <v>0</v>
      </c>
      <c r="CJ206" s="21" t="str">
        <f>[2]底表!DW206</f>
        <v>持平</v>
      </c>
      <c r="CK206" s="21">
        <f>[2]底表!DX206</f>
        <v>3</v>
      </c>
      <c r="CL206" s="21">
        <f>[2]底表!DY206</f>
        <v>0</v>
      </c>
      <c r="CM206" s="21" t="str">
        <f>[2]底表!DZ206</f>
        <v>多3人</v>
      </c>
      <c r="CN206" s="21">
        <f>[2]底表!EA206</f>
        <v>2</v>
      </c>
      <c r="CO206" s="21">
        <f>[2]底表!EB206</f>
        <v>0.5</v>
      </c>
      <c r="CP206" s="21">
        <f>[2]底表!EC206</f>
        <v>1</v>
      </c>
      <c r="CQ206" s="21">
        <f>[2]底表!ED206</f>
        <v>0</v>
      </c>
      <c r="CR206" s="21" t="str">
        <f>[2]底表!EE206</f>
        <v>多1人</v>
      </c>
      <c r="CS206" s="21">
        <f>[2]底表!EF206</f>
        <v>1</v>
      </c>
      <c r="CT206" s="21">
        <f>[2]底表!EG206</f>
        <v>0</v>
      </c>
      <c r="CU206" s="21">
        <f>[2]底表!EH206</f>
        <v>0.25</v>
      </c>
      <c r="CV206" s="21">
        <f>[2]底表!EI206</f>
        <v>0.25</v>
      </c>
      <c r="CW206" s="21">
        <f>[2]底表!EJ206</f>
        <v>33</v>
      </c>
      <c r="CX206" s="21">
        <f>[2]底表!EK206</f>
        <v>33</v>
      </c>
      <c r="CY206" s="21" t="str">
        <f>[2]底表!EL206</f>
        <v/>
      </c>
      <c r="CZ206" s="21">
        <f>[2]底表!EM206</f>
        <v>1</v>
      </c>
      <c r="DA206" s="21">
        <f>[2]底表!EN206</f>
        <v>0</v>
      </c>
      <c r="DB206" s="21" t="str">
        <f>[2]底表!EO206</f>
        <v>多1人</v>
      </c>
      <c r="DC206" s="21">
        <f>[2]底表!EP206</f>
        <v>1</v>
      </c>
      <c r="DD206" s="21">
        <f>[2]底表!EQ206</f>
        <v>0</v>
      </c>
      <c r="DE206" s="21">
        <f>[2]底表!ER206</f>
        <v>0</v>
      </c>
      <c r="DF206" s="21">
        <f>[2]底表!ES206</f>
        <v>0</v>
      </c>
      <c r="DG206" s="23" t="str">
        <f>[2]底表!ET206</f>
        <v>持平</v>
      </c>
      <c r="DH206" s="21">
        <f>[2]底表!EU206</f>
        <v>4</v>
      </c>
      <c r="DI206" s="21" t="str">
        <f>[2]底表!EV206</f>
        <v>少4人</v>
      </c>
      <c r="DJ206" s="21">
        <f>[2]底表!EW206</f>
        <v>0</v>
      </c>
      <c r="DK206" s="21">
        <f>[2]底表!EX206</f>
        <v>0</v>
      </c>
      <c r="DL206" s="21">
        <f>[2]底表!EY206</f>
        <v>0</v>
      </c>
      <c r="DM206" s="21">
        <f>[2]底表!EZ206</f>
        <v>0</v>
      </c>
      <c r="DN206" s="21" t="str">
        <f>[2]底表!FA206</f>
        <v/>
      </c>
      <c r="DO206" s="21">
        <f>[2]底表!BQ206</f>
        <v>0</v>
      </c>
      <c r="DP206" s="21">
        <f>[2]底表!BR206</f>
        <v>0</v>
      </c>
      <c r="DQ206" s="24" t="str">
        <f>[2]底表!BS206</f>
        <v>持平</v>
      </c>
    </row>
    <row r="207" s="2" customFormat="1" ht="32" hidden="1" customHeight="1" spans="1:121">
      <c r="A207" s="27" t="str">
        <f>[2]底表!A207</f>
        <v>交通类</v>
      </c>
      <c r="B207" s="28" t="str">
        <f>[2]底表!B207</f>
        <v>全省</v>
      </c>
      <c r="C207" s="21">
        <f>[2]底表!AM207</f>
        <v>3222</v>
      </c>
      <c r="D207" s="21">
        <f>[2]底表!AN207</f>
        <v>2294</v>
      </c>
      <c r="E207" s="23">
        <f>[2]底表!AO207</f>
        <v>0.4045</v>
      </c>
      <c r="F207" s="21">
        <f>[2]底表!AP207</f>
        <v>4107</v>
      </c>
      <c r="G207" s="21">
        <f>[2]底表!AQ207</f>
        <v>-0.2155</v>
      </c>
      <c r="H207" s="21">
        <f>[2]底表!AR207</f>
        <v>0.8832</v>
      </c>
      <c r="I207" s="21">
        <f>[2]底表!AS207</f>
        <v>0.1382</v>
      </c>
      <c r="J207" s="21">
        <f>[2]底表!AT207</f>
        <v>2554</v>
      </c>
      <c r="K207" s="21">
        <f>[2]底表!AU207</f>
        <v>2068</v>
      </c>
      <c r="L207" s="21">
        <f>[2]底表!AV207</f>
        <v>0.235</v>
      </c>
      <c r="M207" s="21">
        <f>[2]底表!AW207</f>
        <v>3586</v>
      </c>
      <c r="N207" s="21">
        <f>[2]底表!AX207</f>
        <v>-0.2878</v>
      </c>
      <c r="O207" s="21">
        <f>[2]底表!AY207</f>
        <v>1751</v>
      </c>
      <c r="P207" s="21">
        <f>[2]底表!AZ207</f>
        <v>1124</v>
      </c>
      <c r="Q207" s="21">
        <f>[2]底表!BA207</f>
        <v>0.5578</v>
      </c>
      <c r="R207" s="21">
        <f>[2]底表!BB207</f>
        <v>3937</v>
      </c>
      <c r="S207" s="21">
        <f>[2]底表!BC207</f>
        <v>-0.5552</v>
      </c>
      <c r="T207" s="21">
        <f>[2]底表!BD207</f>
        <v>0.6856</v>
      </c>
      <c r="U207" s="21">
        <f>[2]底表!BE207</f>
        <v>0.1421</v>
      </c>
      <c r="V207" s="21">
        <f>[2]底表!BF207</f>
        <v>1094</v>
      </c>
      <c r="W207" s="21">
        <f>[2]底表!BG207</f>
        <v>1011</v>
      </c>
      <c r="X207" s="21">
        <f>[2]底表!BH207</f>
        <v>0.0821</v>
      </c>
      <c r="Y207" s="21">
        <f>[2]底表!BI207</f>
        <v>14</v>
      </c>
      <c r="Z207" s="21">
        <f>[2]底表!BJ207</f>
        <v>77.1429</v>
      </c>
      <c r="AA207" s="21">
        <f>[2]底表!BK207</f>
        <v>0.2999</v>
      </c>
      <c r="AB207" s="21">
        <f>[2]底表!BL207</f>
        <v>1471</v>
      </c>
      <c r="AC207" s="21">
        <f>[2]底表!BM207</f>
        <v>1170</v>
      </c>
      <c r="AD207" s="21">
        <f>[2]底表!BN207</f>
        <v>0.2573</v>
      </c>
      <c r="AE207" s="21">
        <f>[2]底表!BO207</f>
        <v>170</v>
      </c>
      <c r="AF207" s="21">
        <f>[2]底表!BP207</f>
        <v>7.6529</v>
      </c>
      <c r="AG207" s="21">
        <f>[2]底表!BT207</f>
        <v>3914</v>
      </c>
      <c r="AH207" s="21">
        <f>[2]底表!BU207</f>
        <v>-0.2936</v>
      </c>
      <c r="AI207" s="21">
        <f>[2]底表!BV207</f>
        <v>0.7579</v>
      </c>
      <c r="AJ207" s="21">
        <f>[2]底表!BW207</f>
        <v>0.0395</v>
      </c>
      <c r="AK207" s="21">
        <f>[2]底表!BX207</f>
        <v>1.0826</v>
      </c>
      <c r="AL207" s="21">
        <f>[2]底表!BY207</f>
        <v>0.013</v>
      </c>
      <c r="AM207" s="21">
        <f>[2]底表!BZ207</f>
        <v>19</v>
      </c>
      <c r="AN207" s="21">
        <f>[2]底表!CA207</f>
        <v>65</v>
      </c>
      <c r="AO207" s="21">
        <f>[2]底表!CB207</f>
        <v>-0.7077</v>
      </c>
      <c r="AP207" s="21">
        <f>[2]底表!CC207</f>
        <v>129</v>
      </c>
      <c r="AQ207" s="21">
        <f>[2]底表!CD207</f>
        <v>-0.8527</v>
      </c>
      <c r="AR207" s="21" t="str">
        <f>[2]底表!CE207</f>
        <v/>
      </c>
      <c r="AS207" s="21" t="str">
        <f>[2]底表!CF207</f>
        <v/>
      </c>
      <c r="AT207" s="21">
        <f>[2]底表!CG207</f>
        <v>4005</v>
      </c>
      <c r="AU207" s="21">
        <f>[2]底表!CH207</f>
        <v>3693</v>
      </c>
      <c r="AV207" s="21">
        <f>[2]底表!CI207</f>
        <v>0.0845</v>
      </c>
      <c r="AW207" s="21">
        <f>[2]底表!CJ207</f>
        <v>4525</v>
      </c>
      <c r="AX207" s="21">
        <f>[2]底表!CK207</f>
        <v>-0.1149</v>
      </c>
      <c r="AY207" s="21">
        <f>[2]底表!CL207</f>
        <v>110</v>
      </c>
      <c r="AZ207" s="21">
        <f>[2]底表!CM207</f>
        <v>-10</v>
      </c>
      <c r="BA207" s="21">
        <f>[2]底表!CN207</f>
        <v>-0.0847</v>
      </c>
      <c r="BB207" s="21">
        <f>[2]底表!CO207</f>
        <v>1006</v>
      </c>
      <c r="BC207" s="21">
        <f>[2]底表!CP207</f>
        <v>376</v>
      </c>
      <c r="BD207" s="21">
        <f>[2]底表!CQ207</f>
        <v>1.6755</v>
      </c>
      <c r="BE207" s="21">
        <f>[2]底表!CR207</f>
        <v>1040</v>
      </c>
      <c r="BF207" s="21">
        <f>[2]底表!CS207</f>
        <v>-0.0327</v>
      </c>
      <c r="BG207" s="21">
        <f>[2]底表!CT207</f>
        <v>0.2512</v>
      </c>
      <c r="BH207" s="21">
        <f>[2]底表!CU207</f>
        <v>0.1494</v>
      </c>
      <c r="BI207" s="21">
        <f>[2]底表!CV207</f>
        <v>28</v>
      </c>
      <c r="BJ207" s="21">
        <f>[2]底表!CW207</f>
        <v>15</v>
      </c>
      <c r="BK207" s="21">
        <f>[2]底表!CX207</f>
        <v>1.2582</v>
      </c>
      <c r="BL207" s="21">
        <f>[2]底表!CY207</f>
        <v>3035</v>
      </c>
      <c r="BM207" s="21">
        <f>[2]底表!CZ207</f>
        <v>1824</v>
      </c>
      <c r="BN207" s="23">
        <f>[2]底表!DA207</f>
        <v>0.6639</v>
      </c>
      <c r="BO207" s="21">
        <f>[2]底表!DB207</f>
        <v>3316</v>
      </c>
      <c r="BP207" s="21">
        <f>[2]底表!DC207</f>
        <v>-0.0847</v>
      </c>
      <c r="BQ207" s="21">
        <f>[2]底表!DD207</f>
        <v>0.7578</v>
      </c>
      <c r="BR207" s="21">
        <f>[2]底表!DE207</f>
        <v>0.2639</v>
      </c>
      <c r="BS207" s="21">
        <f>[2]底表!DF207</f>
        <v>83</v>
      </c>
      <c r="BT207" s="21">
        <f>[2]底表!DG207</f>
        <v>24</v>
      </c>
      <c r="BU207" s="21">
        <f>[2]底表!DH207</f>
        <v>0.4044</v>
      </c>
      <c r="BV207" s="21">
        <f>[2]底表!DI207</f>
        <v>2939</v>
      </c>
      <c r="BW207" s="21">
        <f>[2]底表!DJ207</f>
        <v>1823</v>
      </c>
      <c r="BX207" s="23">
        <f>[2]底表!DK207</f>
        <v>0.6122</v>
      </c>
      <c r="BY207" s="21">
        <f>[2]底表!DL207</f>
        <v>3222</v>
      </c>
      <c r="BZ207" s="21">
        <f>[2]底表!DM207</f>
        <v>-0.0878</v>
      </c>
      <c r="CA207" s="21">
        <f>[2]底表!DN207</f>
        <v>2954</v>
      </c>
      <c r="CB207" s="21">
        <f>[2]底表!DO207</f>
        <v>2348</v>
      </c>
      <c r="CC207" s="21">
        <f>[2]底表!DP207</f>
        <v>0.2581</v>
      </c>
      <c r="CD207" s="21">
        <f>[2]底表!DQ207</f>
        <v>3346</v>
      </c>
      <c r="CE207" s="21">
        <f>[2]底表!DR207</f>
        <v>-0.1172</v>
      </c>
      <c r="CF207" s="21">
        <f>[2]底表!DS207</f>
        <v>2957</v>
      </c>
      <c r="CG207" s="21">
        <f>[2]底表!DT207</f>
        <v>2348</v>
      </c>
      <c r="CH207" s="21">
        <f>[2]底表!DU207</f>
        <v>0.2594</v>
      </c>
      <c r="CI207" s="21">
        <f>[2]底表!DV207</f>
        <v>3352</v>
      </c>
      <c r="CJ207" s="21">
        <f>[2]底表!DW207</f>
        <v>-0.1178</v>
      </c>
      <c r="CK207" s="21">
        <f>[2]底表!DX207</f>
        <v>295</v>
      </c>
      <c r="CL207" s="21">
        <f>[2]底表!DY207</f>
        <v>243</v>
      </c>
      <c r="CM207" s="21">
        <f>[2]底表!DZ207</f>
        <v>0.214</v>
      </c>
      <c r="CN207" s="21">
        <f>[2]底表!EA207</f>
        <v>316</v>
      </c>
      <c r="CO207" s="21">
        <f>[2]底表!EB207</f>
        <v>-0.0665</v>
      </c>
      <c r="CP207" s="21">
        <f>[2]底表!EC207</f>
        <v>191</v>
      </c>
      <c r="CQ207" s="21">
        <f>[2]底表!ED207</f>
        <v>182</v>
      </c>
      <c r="CR207" s="21">
        <f>[2]底表!EE207</f>
        <v>0.0495</v>
      </c>
      <c r="CS207" s="21">
        <f>[2]底表!EF207</f>
        <v>219</v>
      </c>
      <c r="CT207" s="21">
        <f>[2]底表!EG207</f>
        <v>-0.1279</v>
      </c>
      <c r="CU207" s="21">
        <f>[2]底表!EH207</f>
        <v>0.1899</v>
      </c>
      <c r="CV207" s="21">
        <f>[2]底表!EI207</f>
        <v>-0.2942</v>
      </c>
      <c r="CW207" s="21">
        <f>[2]底表!EJ207</f>
        <v>5</v>
      </c>
      <c r="CX207" s="21">
        <f>[2]底表!EK207</f>
        <v>-1</v>
      </c>
      <c r="CY207" s="21">
        <f>[2]底表!EL207</f>
        <v>-0.1142</v>
      </c>
      <c r="CZ207" s="21">
        <f>[2]底表!EM207</f>
        <v>208</v>
      </c>
      <c r="DA207" s="21">
        <f>[2]底表!EN207</f>
        <v>210</v>
      </c>
      <c r="DB207" s="21">
        <f>[2]底表!EO207</f>
        <v>-0.0095</v>
      </c>
      <c r="DC207" s="21">
        <f>[2]底表!EP207</f>
        <v>239</v>
      </c>
      <c r="DD207" s="21">
        <f>[2]底表!EQ207</f>
        <v>-0.1297</v>
      </c>
      <c r="DE207" s="21">
        <f>[2]底表!ER207</f>
        <v>2893</v>
      </c>
      <c r="DF207" s="21">
        <f>[2]底表!ES207</f>
        <v>2221</v>
      </c>
      <c r="DG207" s="23">
        <f>[2]底表!ET207</f>
        <v>0.3026</v>
      </c>
      <c r="DH207" s="21">
        <f>[2]底表!EU207</f>
        <v>3933</v>
      </c>
      <c r="DI207" s="21">
        <f>[2]底表!EV207</f>
        <v>-0.2644</v>
      </c>
      <c r="DJ207" s="21">
        <f>[2]底表!EW207</f>
        <v>2.8757</v>
      </c>
      <c r="DK207" s="21">
        <f>[2]底表!EX207</f>
        <v>-3.0312</v>
      </c>
      <c r="DL207" s="21">
        <f>[2]底表!EY207</f>
        <v>79</v>
      </c>
      <c r="DM207" s="21">
        <f>[2]底表!EZ207</f>
        <v>7</v>
      </c>
      <c r="DN207" s="21">
        <f>[2]底表!FA207</f>
        <v>0.0994</v>
      </c>
      <c r="DO207" s="21">
        <f>[2]底表!BQ207</f>
        <v>2765</v>
      </c>
      <c r="DP207" s="21">
        <f>[2]底表!BR207</f>
        <v>2212</v>
      </c>
      <c r="DQ207" s="24">
        <f>[2]底表!BS207</f>
        <v>0.25</v>
      </c>
    </row>
    <row r="208" s="2" customFormat="1" ht="32" hidden="1" customHeight="1" spans="1:121">
      <c r="A208" s="27" t="str">
        <f>[2]底表!A208</f>
        <v>交通类</v>
      </c>
      <c r="B208" s="28" t="str">
        <f>[2]底表!B208</f>
        <v>云浮</v>
      </c>
      <c r="C208" s="21">
        <f>[2]底表!AM208</f>
        <v>20</v>
      </c>
      <c r="D208" s="21">
        <f>[2]底表!AN208</f>
        <v>15</v>
      </c>
      <c r="E208" s="23">
        <f>[2]底表!AO208</f>
        <v>0.3333</v>
      </c>
      <c r="F208" s="21">
        <f>[2]底表!AP208</f>
        <v>47</v>
      </c>
      <c r="G208" s="21">
        <f>[2]底表!AQ208</f>
        <v>-0.5745</v>
      </c>
      <c r="H208" s="21">
        <f>[2]底表!AR208</f>
        <v>0.5128</v>
      </c>
      <c r="I208" s="21">
        <f>[2]底表!AS208</f>
        <v>0.0716</v>
      </c>
      <c r="J208" s="21">
        <f>[2]底表!AT208</f>
        <v>12</v>
      </c>
      <c r="K208" s="21">
        <f>[2]底表!AU208</f>
        <v>13</v>
      </c>
      <c r="L208" s="21">
        <f>[2]底表!AV208</f>
        <v>-0.0769</v>
      </c>
      <c r="M208" s="21">
        <f>[2]底表!AW208</f>
        <v>30</v>
      </c>
      <c r="N208" s="21">
        <f>[2]底表!AX208</f>
        <v>-0.6</v>
      </c>
      <c r="O208" s="21">
        <f>[2]底表!AY208</f>
        <v>6</v>
      </c>
      <c r="P208" s="21">
        <f>[2]底表!AZ208</f>
        <v>0</v>
      </c>
      <c r="Q208" s="21" t="str">
        <f>[2]底表!BA208</f>
        <v>多6起</v>
      </c>
      <c r="R208" s="21">
        <f>[2]底表!BB208</f>
        <v>47</v>
      </c>
      <c r="S208" s="21">
        <f>[2]底表!BC208</f>
        <v>-0.8723</v>
      </c>
      <c r="T208" s="21">
        <f>[2]底表!BD208</f>
        <v>0.5</v>
      </c>
      <c r="U208" s="21">
        <f>[2]底表!BE208</f>
        <v>0.5</v>
      </c>
      <c r="V208" s="21">
        <f>[2]底表!BF208</f>
        <v>27</v>
      </c>
      <c r="W208" s="21">
        <f>[2]底表!BG208</f>
        <v>21</v>
      </c>
      <c r="X208" s="21">
        <f>[2]底表!BH208</f>
        <v>0.2857</v>
      </c>
      <c r="Y208" s="21">
        <f>[2]底表!BI208</f>
        <v>0</v>
      </c>
      <c r="Z208" s="21" t="str">
        <f>[2]底表!BJ208</f>
        <v>多27起</v>
      </c>
      <c r="AA208" s="21">
        <f>[2]底表!BK208</f>
        <v>0.6923</v>
      </c>
      <c r="AB208" s="21">
        <f>[2]底表!BL208</f>
        <v>14</v>
      </c>
      <c r="AC208" s="21">
        <f>[2]底表!BM208</f>
        <v>15</v>
      </c>
      <c r="AD208" s="21">
        <f>[2]底表!BN208</f>
        <v>-0.0667</v>
      </c>
      <c r="AE208" s="21">
        <f>[2]底表!BO208</f>
        <v>0</v>
      </c>
      <c r="AF208" s="21" t="str">
        <f>[2]底表!BP208</f>
        <v>多14起</v>
      </c>
      <c r="AG208" s="21">
        <f>[2]底表!BT208</f>
        <v>48</v>
      </c>
      <c r="AH208" s="21">
        <f>[2]底表!BU208</f>
        <v>-0.7292</v>
      </c>
      <c r="AI208" s="21">
        <f>[2]底表!BV208</f>
        <v>0.3333</v>
      </c>
      <c r="AJ208" s="21">
        <f>[2]底表!BW208</f>
        <v>-0.6961</v>
      </c>
      <c r="AK208" s="21">
        <f>[2]底表!BX208</f>
        <v>1.0833</v>
      </c>
      <c r="AL208" s="21">
        <f>[2]底表!BY208</f>
        <v>-1.609</v>
      </c>
      <c r="AM208" s="21">
        <f>[2]底表!BZ208</f>
        <v>0</v>
      </c>
      <c r="AN208" s="21">
        <f>[2]底表!CA208</f>
        <v>0</v>
      </c>
      <c r="AO208" s="21" t="str">
        <f>[2]底表!CB208</f>
        <v>持平</v>
      </c>
      <c r="AP208" s="21">
        <f>[2]底表!CC208</f>
        <v>0</v>
      </c>
      <c r="AQ208" s="21" t="str">
        <f>[2]底表!CD208</f>
        <v>持平</v>
      </c>
      <c r="AR208" s="21" t="str">
        <f>[2]底表!CE208</f>
        <v/>
      </c>
      <c r="AS208" s="21" t="str">
        <f>[2]底表!CF208</f>
        <v/>
      </c>
      <c r="AT208" s="21">
        <f>[2]底表!CG208</f>
        <v>23</v>
      </c>
      <c r="AU208" s="21">
        <f>[2]底表!CH208</f>
        <v>25</v>
      </c>
      <c r="AV208" s="21">
        <f>[2]底表!CI208</f>
        <v>-0.08</v>
      </c>
      <c r="AW208" s="21">
        <f>[2]底表!CJ208</f>
        <v>17</v>
      </c>
      <c r="AX208" s="21">
        <f>[2]底表!CK208</f>
        <v>0.3529</v>
      </c>
      <c r="AY208" s="21">
        <f>[2]底表!CL208</f>
        <v>59</v>
      </c>
      <c r="AZ208" s="21">
        <f>[2]底表!CM208</f>
        <v>-15</v>
      </c>
      <c r="BA208" s="21">
        <f>[2]底表!CN208</f>
        <v>-0.1979</v>
      </c>
      <c r="BB208" s="21">
        <f>[2]底表!CO208</f>
        <v>12</v>
      </c>
      <c r="BC208" s="21">
        <f>[2]底表!CP208</f>
        <v>2</v>
      </c>
      <c r="BD208" s="21">
        <f>[2]底表!CQ208</f>
        <v>5</v>
      </c>
      <c r="BE208" s="21">
        <f>[2]底表!CR208</f>
        <v>9</v>
      </c>
      <c r="BF208" s="21">
        <f>[2]底表!CS208</f>
        <v>0.3333</v>
      </c>
      <c r="BG208" s="21">
        <f>[2]底表!CT208</f>
        <v>0.5217</v>
      </c>
      <c r="BH208" s="21">
        <f>[2]底表!CU208</f>
        <v>0.4417</v>
      </c>
      <c r="BI208" s="21">
        <f>[2]底表!CV208</f>
        <v>31</v>
      </c>
      <c r="BJ208" s="21">
        <f>[2]底表!CW208</f>
        <v>25</v>
      </c>
      <c r="BK208" s="21">
        <f>[2]底表!CX208</f>
        <v>4.2308</v>
      </c>
      <c r="BL208" s="21">
        <f>[2]底表!CY208</f>
        <v>16</v>
      </c>
      <c r="BM208" s="21">
        <f>[2]底表!CZ208</f>
        <v>9</v>
      </c>
      <c r="BN208" s="23">
        <f>[2]底表!DA208</f>
        <v>0.7778</v>
      </c>
      <c r="BO208" s="21">
        <f>[2]底表!DB208</f>
        <v>19</v>
      </c>
      <c r="BP208" s="21">
        <f>[2]底表!DC208</f>
        <v>-0.1579</v>
      </c>
      <c r="BQ208" s="21">
        <f>[2]底表!DD208</f>
        <v>0.6957</v>
      </c>
      <c r="BR208" s="21">
        <f>[2]底表!DE208</f>
        <v>0.3357</v>
      </c>
      <c r="BS208" s="21">
        <f>[2]底表!DF208</f>
        <v>41</v>
      </c>
      <c r="BT208" s="21">
        <f>[2]底表!DG208</f>
        <v>15</v>
      </c>
      <c r="BU208" s="21">
        <f>[2]底表!DH208</f>
        <v>0.5499</v>
      </c>
      <c r="BV208" s="21">
        <f>[2]底表!DI208</f>
        <v>16</v>
      </c>
      <c r="BW208" s="21">
        <f>[2]底表!DJ208</f>
        <v>9</v>
      </c>
      <c r="BX208" s="23">
        <f>[2]底表!DK208</f>
        <v>0.7778</v>
      </c>
      <c r="BY208" s="21">
        <f>[2]底表!DL208</f>
        <v>17</v>
      </c>
      <c r="BZ208" s="21">
        <f>[2]底表!DM208</f>
        <v>-0.0588</v>
      </c>
      <c r="CA208" s="21">
        <f>[2]底表!DN208</f>
        <v>18</v>
      </c>
      <c r="CB208" s="21">
        <f>[2]底表!DO208</f>
        <v>28</v>
      </c>
      <c r="CC208" s="21">
        <f>[2]底表!DP208</f>
        <v>-0.3571</v>
      </c>
      <c r="CD208" s="21">
        <f>[2]底表!DQ208</f>
        <v>39</v>
      </c>
      <c r="CE208" s="21">
        <f>[2]底表!DR208</f>
        <v>-0.5385</v>
      </c>
      <c r="CF208" s="21">
        <f>[2]底表!DS208</f>
        <v>18</v>
      </c>
      <c r="CG208" s="21">
        <f>[2]底表!DT208</f>
        <v>28</v>
      </c>
      <c r="CH208" s="21">
        <f>[2]底表!DU208</f>
        <v>-0.3571</v>
      </c>
      <c r="CI208" s="21">
        <f>[2]底表!DV208</f>
        <v>39</v>
      </c>
      <c r="CJ208" s="21">
        <f>[2]底表!DW208</f>
        <v>-0.5385</v>
      </c>
      <c r="CK208" s="21">
        <f>[2]底表!DX208</f>
        <v>12</v>
      </c>
      <c r="CL208" s="21">
        <f>[2]底表!DY208</f>
        <v>4</v>
      </c>
      <c r="CM208" s="21">
        <f>[2]底表!DZ208</f>
        <v>2</v>
      </c>
      <c r="CN208" s="21">
        <f>[2]底表!EA208</f>
        <v>12</v>
      </c>
      <c r="CO208" s="21">
        <f>[2]底表!EB208</f>
        <v>0</v>
      </c>
      <c r="CP208" s="21">
        <f>[2]底表!EC208</f>
        <v>6</v>
      </c>
      <c r="CQ208" s="21">
        <f>[2]底表!ED208</f>
        <v>3</v>
      </c>
      <c r="CR208" s="21">
        <f>[2]底表!EE208</f>
        <v>1</v>
      </c>
      <c r="CS208" s="21">
        <f>[2]底表!EF208</f>
        <v>5</v>
      </c>
      <c r="CT208" s="21">
        <f>[2]底表!EG208</f>
        <v>0.2</v>
      </c>
      <c r="CU208" s="21">
        <f>[2]底表!EH208</f>
        <v>0.5</v>
      </c>
      <c r="CV208" s="21">
        <f>[2]底表!EI208</f>
        <v>-1</v>
      </c>
      <c r="CW208" s="21">
        <f>[2]底表!EJ208</f>
        <v>15</v>
      </c>
      <c r="CX208" s="21">
        <f>[2]底表!EK208</f>
        <v>7</v>
      </c>
      <c r="CY208" s="21">
        <f>[2]底表!EL208</f>
        <v>0.7436</v>
      </c>
      <c r="CZ208" s="21">
        <f>[2]底表!EM208</f>
        <v>6</v>
      </c>
      <c r="DA208" s="21">
        <f>[2]底表!EN208</f>
        <v>3</v>
      </c>
      <c r="DB208" s="21">
        <f>[2]底表!EO208</f>
        <v>1</v>
      </c>
      <c r="DC208" s="21">
        <f>[2]底表!EP208</f>
        <v>5</v>
      </c>
      <c r="DD208" s="21">
        <f>[2]底表!EQ208</f>
        <v>0.2</v>
      </c>
      <c r="DE208" s="21">
        <f>[2]底表!ER208</f>
        <v>13</v>
      </c>
      <c r="DF208" s="21">
        <f>[2]底表!ES208</f>
        <v>37</v>
      </c>
      <c r="DG208" s="23">
        <f>[2]底表!ET208</f>
        <v>-0.6486</v>
      </c>
      <c r="DH208" s="21">
        <f>[2]底表!EU208</f>
        <v>48</v>
      </c>
      <c r="DI208" s="21">
        <f>[2]底表!EV208</f>
        <v>-0.7292</v>
      </c>
      <c r="DJ208" s="21">
        <f>[2]底表!EW208</f>
        <v>1.0833</v>
      </c>
      <c r="DK208" s="21">
        <f>[2]底表!EX208</f>
        <v>-17.4167</v>
      </c>
      <c r="DL208" s="21">
        <f>[2]底表!EY208</f>
        <v>33</v>
      </c>
      <c r="DM208" s="21">
        <f>[2]底表!EZ208</f>
        <v>-75</v>
      </c>
      <c r="DN208" s="21">
        <f>[2]底表!FA208</f>
        <v>-0.6937</v>
      </c>
      <c r="DO208" s="21">
        <f>[2]底表!BQ208</f>
        <v>13</v>
      </c>
      <c r="DP208" s="21">
        <f>[2]底表!BR208</f>
        <v>35</v>
      </c>
      <c r="DQ208" s="24">
        <f>[2]底表!BS208</f>
        <v>-0.6286</v>
      </c>
    </row>
    <row r="209" s="2" customFormat="1" ht="32" hidden="1" customHeight="1" spans="1:121">
      <c r="A209" s="27" t="str">
        <f>[2]底表!A209</f>
        <v>交通类</v>
      </c>
      <c r="B209" s="28" t="str">
        <f>[2]底表!B209</f>
        <v>云城区</v>
      </c>
      <c r="C209" s="21">
        <f>[2]底表!AM209</f>
        <v>0</v>
      </c>
      <c r="D209" s="21">
        <f>[2]底表!AN209</f>
        <v>0</v>
      </c>
      <c r="E209" s="23" t="str">
        <f>[2]底表!AO209</f>
        <v>持平</v>
      </c>
      <c r="F209" s="21">
        <f>[2]底表!AP209</f>
        <v>0</v>
      </c>
      <c r="G209" s="21" t="str">
        <f>[2]底表!AQ209</f>
        <v>持平</v>
      </c>
      <c r="H209" s="21" t="str">
        <f>[2]底表!AR209</f>
        <v/>
      </c>
      <c r="I209" s="21" t="str">
        <f>[2]底表!AS209</f>
        <v/>
      </c>
      <c r="J209" s="21">
        <f>[2]底表!AT209</f>
        <v>0</v>
      </c>
      <c r="K209" s="21">
        <f>[2]底表!AU209</f>
        <v>0</v>
      </c>
      <c r="L209" s="21" t="str">
        <f>[2]底表!AV209</f>
        <v>持平</v>
      </c>
      <c r="M209" s="21">
        <f>[2]底表!AW209</f>
        <v>0</v>
      </c>
      <c r="N209" s="21" t="str">
        <f>[2]底表!AX209</f>
        <v>持平</v>
      </c>
      <c r="O209" s="21">
        <f>[2]底表!AY209</f>
        <v>0</v>
      </c>
      <c r="P209" s="21">
        <f>[2]底表!AZ209</f>
        <v>0</v>
      </c>
      <c r="Q209" s="21" t="str">
        <f>[2]底表!BA209</f>
        <v>持平</v>
      </c>
      <c r="R209" s="21">
        <f>[2]底表!BB209</f>
        <v>0</v>
      </c>
      <c r="S209" s="21" t="str">
        <f>[2]底表!BC209</f>
        <v>持平</v>
      </c>
      <c r="T209" s="21" t="str">
        <f>[2]底表!BD209</f>
        <v/>
      </c>
      <c r="U209" s="21" t="str">
        <f>[2]底表!BE209</f>
        <v/>
      </c>
      <c r="V209" s="21">
        <f>[2]底表!BF209</f>
        <v>0</v>
      </c>
      <c r="W209" s="21">
        <f>[2]底表!BG209</f>
        <v>0</v>
      </c>
      <c r="X209" s="21" t="str">
        <f>[2]底表!BH209</f>
        <v>持平</v>
      </c>
      <c r="Y209" s="21">
        <f>[2]底表!BI209</f>
        <v>0</v>
      </c>
      <c r="Z209" s="21" t="str">
        <f>[2]底表!BJ209</f>
        <v>持平</v>
      </c>
      <c r="AA209" s="21" t="str">
        <f>[2]底表!BK209</f>
        <v/>
      </c>
      <c r="AB209" s="21">
        <f>[2]底表!BL209</f>
        <v>0</v>
      </c>
      <c r="AC209" s="21">
        <f>[2]底表!BM209</f>
        <v>0</v>
      </c>
      <c r="AD209" s="21" t="str">
        <f>[2]底表!BN209</f>
        <v>持平</v>
      </c>
      <c r="AE209" s="21">
        <f>[2]底表!BO209</f>
        <v>0</v>
      </c>
      <c r="AF209" s="21" t="str">
        <f>[2]底表!BP209</f>
        <v>持平</v>
      </c>
      <c r="AG209" s="21">
        <f>[2]底表!BT209</f>
        <v>0</v>
      </c>
      <c r="AH209" s="21" t="str">
        <f>[2]底表!BU209</f>
        <v>持平</v>
      </c>
      <c r="AI209" s="21" t="str">
        <f>[2]底表!BV209</f>
        <v/>
      </c>
      <c r="AJ209" s="21" t="str">
        <f>[2]底表!BW209</f>
        <v/>
      </c>
      <c r="AK209" s="21" t="str">
        <f>[2]底表!BX209</f>
        <v/>
      </c>
      <c r="AL209" s="21" t="str">
        <f>[2]底表!BY209</f>
        <v/>
      </c>
      <c r="AM209" s="21">
        <f>[2]底表!BZ209</f>
        <v>0</v>
      </c>
      <c r="AN209" s="21">
        <f>[2]底表!CA209</f>
        <v>0</v>
      </c>
      <c r="AO209" s="21" t="str">
        <f>[2]底表!CB209</f>
        <v>持平</v>
      </c>
      <c r="AP209" s="21">
        <f>[2]底表!CC209</f>
        <v>0</v>
      </c>
      <c r="AQ209" s="21" t="str">
        <f>[2]底表!CD209</f>
        <v>持平</v>
      </c>
      <c r="AR209" s="21" t="str">
        <f>[2]底表!CE209</f>
        <v/>
      </c>
      <c r="AS209" s="21" t="str">
        <f>[2]底表!CF209</f>
        <v/>
      </c>
      <c r="AT209" s="21">
        <f>[2]底表!CG209</f>
        <v>0</v>
      </c>
      <c r="AU209" s="21">
        <f>[2]底表!CH209</f>
        <v>0</v>
      </c>
      <c r="AV209" s="21" t="str">
        <f>[2]底表!CI209</f>
        <v>持平</v>
      </c>
      <c r="AW209" s="21">
        <f>[2]底表!CJ209</f>
        <v>0</v>
      </c>
      <c r="AX209" s="21" t="str">
        <f>[2]底表!CK209</f>
        <v>持平</v>
      </c>
      <c r="AY209" s="21" t="str">
        <f>[2]底表!CL209</f>
        <v/>
      </c>
      <c r="AZ209" s="21" t="str">
        <f>[2]底表!CM209</f>
        <v/>
      </c>
      <c r="BA209" s="21" t="str">
        <f>[2]底表!CN209</f>
        <v/>
      </c>
      <c r="BB209" s="21">
        <f>[2]底表!CO209</f>
        <v>0</v>
      </c>
      <c r="BC209" s="21">
        <f>[2]底表!CP209</f>
        <v>0</v>
      </c>
      <c r="BD209" s="21" t="str">
        <f>[2]底表!CQ209</f>
        <v>持平</v>
      </c>
      <c r="BE209" s="21">
        <f>[2]底表!CR209</f>
        <v>0</v>
      </c>
      <c r="BF209" s="21" t="str">
        <f>[2]底表!CS209</f>
        <v>持平</v>
      </c>
      <c r="BG209" s="21" t="str">
        <f>[2]底表!CT209</f>
        <v/>
      </c>
      <c r="BH209" s="21" t="str">
        <f>[2]底表!CU209</f>
        <v/>
      </c>
      <c r="BI209" s="21" t="str">
        <f>[2]底表!CV209</f>
        <v/>
      </c>
      <c r="BJ209" s="21" t="str">
        <f>[2]底表!CW209</f>
        <v/>
      </c>
      <c r="BK209" s="21" t="str">
        <f>[2]底表!CX209</f>
        <v/>
      </c>
      <c r="BL209" s="21">
        <f>[2]底表!CY209</f>
        <v>0</v>
      </c>
      <c r="BM209" s="21">
        <f>[2]底表!CZ209</f>
        <v>0</v>
      </c>
      <c r="BN209" s="23" t="str">
        <f>[2]底表!DA209</f>
        <v>持平</v>
      </c>
      <c r="BO209" s="21">
        <f>[2]底表!DB209</f>
        <v>0</v>
      </c>
      <c r="BP209" s="21" t="str">
        <f>[2]底表!DC209</f>
        <v>持平</v>
      </c>
      <c r="BQ209" s="21" t="str">
        <f>[2]底表!DD209</f>
        <v/>
      </c>
      <c r="BR209" s="21" t="str">
        <f>[2]底表!DE209</f>
        <v/>
      </c>
      <c r="BS209" s="21" t="str">
        <f>[2]底表!DF209</f>
        <v/>
      </c>
      <c r="BT209" s="21" t="str">
        <f>[2]底表!DG209</f>
        <v/>
      </c>
      <c r="BU209" s="21" t="str">
        <f>[2]底表!DH209</f>
        <v/>
      </c>
      <c r="BV209" s="21">
        <f>[2]底表!DI209</f>
        <v>0</v>
      </c>
      <c r="BW209" s="21">
        <f>[2]底表!DJ209</f>
        <v>0</v>
      </c>
      <c r="BX209" s="23" t="str">
        <f>[2]底表!DK209</f>
        <v>持平</v>
      </c>
      <c r="BY209" s="21">
        <f>[2]底表!DL209</f>
        <v>0</v>
      </c>
      <c r="BZ209" s="21" t="str">
        <f>[2]底表!DM209</f>
        <v>持平</v>
      </c>
      <c r="CA209" s="21">
        <f>[2]底表!DN209</f>
        <v>0</v>
      </c>
      <c r="CB209" s="21">
        <f>[2]底表!DO209</f>
        <v>0</v>
      </c>
      <c r="CC209" s="21" t="str">
        <f>[2]底表!DP209</f>
        <v>持平</v>
      </c>
      <c r="CD209" s="21">
        <f>[2]底表!DQ209</f>
        <v>0</v>
      </c>
      <c r="CE209" s="21" t="str">
        <f>[2]底表!DR209</f>
        <v>持平</v>
      </c>
      <c r="CF209" s="21">
        <f>[2]底表!DS209</f>
        <v>0</v>
      </c>
      <c r="CG209" s="21">
        <f>[2]底表!DT209</f>
        <v>0</v>
      </c>
      <c r="CH209" s="21" t="str">
        <f>[2]底表!DU209</f>
        <v>持平</v>
      </c>
      <c r="CI209" s="21">
        <f>[2]底表!DV209</f>
        <v>0</v>
      </c>
      <c r="CJ209" s="21" t="str">
        <f>[2]底表!DW209</f>
        <v>持平</v>
      </c>
      <c r="CK209" s="21">
        <f>[2]底表!DX209</f>
        <v>0</v>
      </c>
      <c r="CL209" s="21">
        <f>[2]底表!DY209</f>
        <v>0</v>
      </c>
      <c r="CM209" s="21" t="str">
        <f>[2]底表!DZ209</f>
        <v>持平</v>
      </c>
      <c r="CN209" s="21">
        <f>[2]底表!EA209</f>
        <v>0</v>
      </c>
      <c r="CO209" s="21" t="str">
        <f>[2]底表!EB209</f>
        <v>持平</v>
      </c>
      <c r="CP209" s="21">
        <f>[2]底表!EC209</f>
        <v>0</v>
      </c>
      <c r="CQ209" s="21">
        <f>[2]底表!ED209</f>
        <v>0</v>
      </c>
      <c r="CR209" s="21" t="str">
        <f>[2]底表!EE209</f>
        <v>持平</v>
      </c>
      <c r="CS209" s="21">
        <f>[2]底表!EF209</f>
        <v>0</v>
      </c>
      <c r="CT209" s="21" t="str">
        <f>[2]底表!EG209</f>
        <v>持平</v>
      </c>
      <c r="CU209" s="21" t="str">
        <f>[2]底表!EH209</f>
        <v/>
      </c>
      <c r="CV209" s="21" t="str">
        <f>[2]底表!EI209</f>
        <v/>
      </c>
      <c r="CW209" s="21" t="str">
        <f>[2]底表!EJ209</f>
        <v/>
      </c>
      <c r="CX209" s="21" t="str">
        <f>[2]底表!EK209</f>
        <v/>
      </c>
      <c r="CY209" s="21" t="str">
        <f>[2]底表!EL209</f>
        <v/>
      </c>
      <c r="CZ209" s="21">
        <f>[2]底表!EM209</f>
        <v>0</v>
      </c>
      <c r="DA209" s="21">
        <f>[2]底表!EN209</f>
        <v>0</v>
      </c>
      <c r="DB209" s="21" t="str">
        <f>[2]底表!EO209</f>
        <v>持平</v>
      </c>
      <c r="DC209" s="21">
        <f>[2]底表!EP209</f>
        <v>0</v>
      </c>
      <c r="DD209" s="21" t="str">
        <f>[2]底表!EQ209</f>
        <v>持平</v>
      </c>
      <c r="DE209" s="21">
        <f>[2]底表!ER209</f>
        <v>0</v>
      </c>
      <c r="DF209" s="21">
        <f>[2]底表!ES209</f>
        <v>0</v>
      </c>
      <c r="DG209" s="23" t="str">
        <f>[2]底表!ET209</f>
        <v>持平</v>
      </c>
      <c r="DH209" s="21">
        <f>[2]底表!EU209</f>
        <v>0</v>
      </c>
      <c r="DI209" s="21" t="str">
        <f>[2]底表!EV209</f>
        <v>持平</v>
      </c>
      <c r="DJ209" s="21" t="str">
        <f>[2]底表!EW209</f>
        <v/>
      </c>
      <c r="DK209" s="21" t="str">
        <f>[2]底表!EX209</f>
        <v/>
      </c>
      <c r="DL209" s="21" t="str">
        <f>[2]底表!EY209</f>
        <v/>
      </c>
      <c r="DM209" s="21" t="str">
        <f>[2]底表!EZ209</f>
        <v/>
      </c>
      <c r="DN209" s="21" t="str">
        <f>[2]底表!FA209</f>
        <v/>
      </c>
      <c r="DO209" s="21">
        <f>[2]底表!BQ209</f>
        <v>0</v>
      </c>
      <c r="DP209" s="21">
        <f>[2]底表!BR209</f>
        <v>0</v>
      </c>
      <c r="DQ209" s="24" t="str">
        <f>[2]底表!BS209</f>
        <v>持平</v>
      </c>
    </row>
    <row r="210" s="2" customFormat="1" ht="32" hidden="1" customHeight="1" spans="1:121">
      <c r="A210" s="27" t="str">
        <f>[2]底表!A210</f>
        <v>交通类</v>
      </c>
      <c r="B210" s="28" t="str">
        <f>[2]底表!B210</f>
        <v>云安区</v>
      </c>
      <c r="C210" s="21">
        <f>[2]底表!AM210</f>
        <v>1</v>
      </c>
      <c r="D210" s="21">
        <f>[2]底表!AN210</f>
        <v>0</v>
      </c>
      <c r="E210" s="23" t="str">
        <f>[2]底表!AO210</f>
        <v>多1起</v>
      </c>
      <c r="F210" s="21">
        <f>[2]底表!AP210</f>
        <v>1</v>
      </c>
      <c r="G210" s="21">
        <f>[2]底表!AQ210</f>
        <v>0</v>
      </c>
      <c r="H210" s="21">
        <f>[2]底表!AR210</f>
        <v>1</v>
      </c>
      <c r="I210" s="21">
        <f>[2]底表!AS210</f>
        <v>1</v>
      </c>
      <c r="J210" s="21">
        <f>[2]底表!AT210</f>
        <v>0</v>
      </c>
      <c r="K210" s="21">
        <f>[2]底表!AU210</f>
        <v>0</v>
      </c>
      <c r="L210" s="21" t="str">
        <f>[2]底表!AV210</f>
        <v>持平</v>
      </c>
      <c r="M210" s="21">
        <f>[2]底表!AW210</f>
        <v>1</v>
      </c>
      <c r="N210" s="21" t="str">
        <f>[2]底表!AX210</f>
        <v>少1起</v>
      </c>
      <c r="O210" s="21">
        <f>[2]底表!AY210</f>
        <v>0</v>
      </c>
      <c r="P210" s="21">
        <f>[2]底表!AZ210</f>
        <v>0</v>
      </c>
      <c r="Q210" s="21" t="str">
        <f>[2]底表!BA210</f>
        <v>持平</v>
      </c>
      <c r="R210" s="21">
        <f>[2]底表!BB210</f>
        <v>1</v>
      </c>
      <c r="S210" s="21" t="str">
        <f>[2]底表!BC210</f>
        <v>少1起</v>
      </c>
      <c r="T210" s="21" t="str">
        <f>[2]底表!BD210</f>
        <v/>
      </c>
      <c r="U210" s="21" t="str">
        <f>[2]底表!BE210</f>
        <v/>
      </c>
      <c r="V210" s="21">
        <f>[2]底表!BF210</f>
        <v>1</v>
      </c>
      <c r="W210" s="21">
        <f>[2]底表!BG210</f>
        <v>1</v>
      </c>
      <c r="X210" s="21">
        <f>[2]底表!BH210</f>
        <v>0</v>
      </c>
      <c r="Y210" s="21">
        <f>[2]底表!BI210</f>
        <v>0</v>
      </c>
      <c r="Z210" s="21" t="str">
        <f>[2]底表!BJ210</f>
        <v>多1起</v>
      </c>
      <c r="AA210" s="21">
        <f>[2]底表!BK210</f>
        <v>1</v>
      </c>
      <c r="AB210" s="21">
        <f>[2]底表!BL210</f>
        <v>1</v>
      </c>
      <c r="AC210" s="21">
        <f>[2]底表!BM210</f>
        <v>0</v>
      </c>
      <c r="AD210" s="21" t="str">
        <f>[2]底表!BN210</f>
        <v>多1起</v>
      </c>
      <c r="AE210" s="21">
        <f>[2]底表!BO210</f>
        <v>0</v>
      </c>
      <c r="AF210" s="21" t="str">
        <f>[2]底表!BP210</f>
        <v>多1起</v>
      </c>
      <c r="AG210" s="21">
        <f>[2]底表!BT210</f>
        <v>1</v>
      </c>
      <c r="AH210" s="21" t="str">
        <f>[2]底表!BU210</f>
        <v>少1起</v>
      </c>
      <c r="AI210" s="21">
        <f>[2]底表!BV210</f>
        <v>0</v>
      </c>
      <c r="AJ210" s="21">
        <f>[2]底表!BW210</f>
        <v>-2</v>
      </c>
      <c r="AK210" s="21" t="str">
        <f>[2]底表!BX210</f>
        <v/>
      </c>
      <c r="AL210" s="21" t="str">
        <f>[2]底表!BY210</f>
        <v/>
      </c>
      <c r="AM210" s="21">
        <f>[2]底表!BZ210</f>
        <v>0</v>
      </c>
      <c r="AN210" s="21">
        <f>[2]底表!CA210</f>
        <v>0</v>
      </c>
      <c r="AO210" s="21" t="str">
        <f>[2]底表!CB210</f>
        <v>持平</v>
      </c>
      <c r="AP210" s="21">
        <f>[2]底表!CC210</f>
        <v>0</v>
      </c>
      <c r="AQ210" s="21" t="str">
        <f>[2]底表!CD210</f>
        <v>持平</v>
      </c>
      <c r="AR210" s="21" t="str">
        <f>[2]底表!CE210</f>
        <v/>
      </c>
      <c r="AS210" s="21" t="str">
        <f>[2]底表!CF210</f>
        <v/>
      </c>
      <c r="AT210" s="21">
        <f>[2]底表!CG210</f>
        <v>1</v>
      </c>
      <c r="AU210" s="21">
        <f>[2]底表!CH210</f>
        <v>1</v>
      </c>
      <c r="AV210" s="21">
        <f>[2]底表!CI210</f>
        <v>0</v>
      </c>
      <c r="AW210" s="21">
        <f>[2]底表!CJ210</f>
        <v>1</v>
      </c>
      <c r="AX210" s="21">
        <f>[2]底表!CK210</f>
        <v>0</v>
      </c>
      <c r="AY210" s="21">
        <f>[2]底表!CL210</f>
        <v>100</v>
      </c>
      <c r="AZ210" s="21">
        <f>[2]底表!CM210</f>
        <v>0</v>
      </c>
      <c r="BA210" s="21">
        <f>[2]底表!CN210</f>
        <v>0</v>
      </c>
      <c r="BB210" s="21">
        <f>[2]底表!CO210</f>
        <v>1</v>
      </c>
      <c r="BC210" s="21">
        <f>[2]底表!CP210</f>
        <v>0</v>
      </c>
      <c r="BD210" s="21" t="str">
        <f>[2]底表!CQ210</f>
        <v>多1人</v>
      </c>
      <c r="BE210" s="21">
        <f>[2]底表!CR210</f>
        <v>1</v>
      </c>
      <c r="BF210" s="21">
        <f>[2]底表!CS210</f>
        <v>0</v>
      </c>
      <c r="BG210" s="21">
        <f>[2]底表!CT210</f>
        <v>1</v>
      </c>
      <c r="BH210" s="21">
        <f>[2]底表!CU210</f>
        <v>1</v>
      </c>
      <c r="BI210" s="21">
        <f>[2]底表!CV210</f>
        <v>100</v>
      </c>
      <c r="BJ210" s="21">
        <f>[2]底表!CW210</f>
        <v>100</v>
      </c>
      <c r="BK210" s="21" t="str">
        <f>[2]底表!CX210</f>
        <v/>
      </c>
      <c r="BL210" s="21">
        <f>[2]底表!CY210</f>
        <v>1</v>
      </c>
      <c r="BM210" s="21">
        <f>[2]底表!CZ210</f>
        <v>1</v>
      </c>
      <c r="BN210" s="23">
        <f>[2]底表!DA210</f>
        <v>0</v>
      </c>
      <c r="BO210" s="21">
        <f>[2]底表!DB210</f>
        <v>1</v>
      </c>
      <c r="BP210" s="21">
        <f>[2]底表!DC210</f>
        <v>0</v>
      </c>
      <c r="BQ210" s="21">
        <f>[2]底表!DD210</f>
        <v>1</v>
      </c>
      <c r="BR210" s="21">
        <f>[2]底表!DE210</f>
        <v>0</v>
      </c>
      <c r="BS210" s="21">
        <f>[2]底表!DF210</f>
        <v>100</v>
      </c>
      <c r="BT210" s="21">
        <f>[2]底表!DG210</f>
        <v>0</v>
      </c>
      <c r="BU210" s="21">
        <f>[2]底表!DH210</f>
        <v>0</v>
      </c>
      <c r="BV210" s="21">
        <f>[2]底表!DI210</f>
        <v>0</v>
      </c>
      <c r="BW210" s="21">
        <f>[2]底表!DJ210</f>
        <v>0</v>
      </c>
      <c r="BX210" s="23" t="str">
        <f>[2]底表!DK210</f>
        <v>持平</v>
      </c>
      <c r="BY210" s="21">
        <f>[2]底表!DL210</f>
        <v>0</v>
      </c>
      <c r="BZ210" s="21" t="str">
        <f>[2]底表!DM210</f>
        <v>持平</v>
      </c>
      <c r="CA210" s="21">
        <f>[2]底表!DN210</f>
        <v>0</v>
      </c>
      <c r="CB210" s="21">
        <f>[2]底表!DO210</f>
        <v>2</v>
      </c>
      <c r="CC210" s="21" t="str">
        <f>[2]底表!DP210</f>
        <v>少2人</v>
      </c>
      <c r="CD210" s="21">
        <f>[2]底表!DQ210</f>
        <v>0</v>
      </c>
      <c r="CE210" s="21" t="str">
        <f>[2]底表!DR210</f>
        <v>持平</v>
      </c>
      <c r="CF210" s="21">
        <f>[2]底表!DS210</f>
        <v>0</v>
      </c>
      <c r="CG210" s="21">
        <f>[2]底表!DT210</f>
        <v>2</v>
      </c>
      <c r="CH210" s="21" t="str">
        <f>[2]底表!DU210</f>
        <v>少2人</v>
      </c>
      <c r="CI210" s="21">
        <f>[2]底表!DV210</f>
        <v>0</v>
      </c>
      <c r="CJ210" s="21" t="str">
        <f>[2]底表!DW210</f>
        <v>持平</v>
      </c>
      <c r="CK210" s="21">
        <f>[2]底表!DX210</f>
        <v>1</v>
      </c>
      <c r="CL210" s="21">
        <f>[2]底表!DY210</f>
        <v>1</v>
      </c>
      <c r="CM210" s="21">
        <f>[2]底表!DZ210</f>
        <v>0</v>
      </c>
      <c r="CN210" s="21">
        <f>[2]底表!EA210</f>
        <v>1</v>
      </c>
      <c r="CO210" s="21">
        <f>[2]底表!EB210</f>
        <v>0</v>
      </c>
      <c r="CP210" s="21">
        <f>[2]底表!EC210</f>
        <v>1</v>
      </c>
      <c r="CQ210" s="21">
        <f>[2]底表!ED210</f>
        <v>0</v>
      </c>
      <c r="CR210" s="21" t="str">
        <f>[2]底表!EE210</f>
        <v>多1人</v>
      </c>
      <c r="CS210" s="21">
        <f>[2]底表!EF210</f>
        <v>1</v>
      </c>
      <c r="CT210" s="21">
        <f>[2]底表!EG210</f>
        <v>0</v>
      </c>
      <c r="CU210" s="21">
        <f>[2]底表!EH210</f>
        <v>1</v>
      </c>
      <c r="CV210" s="21" t="str">
        <f>[2]底表!EI210</f>
        <v/>
      </c>
      <c r="CW210" s="21">
        <f>[2]底表!EJ210</f>
        <v>100</v>
      </c>
      <c r="CX210" s="21">
        <f>[2]底表!EK210</f>
        <v>100</v>
      </c>
      <c r="CY210" s="21" t="str">
        <f>[2]底表!EL210</f>
        <v/>
      </c>
      <c r="CZ210" s="21">
        <f>[2]底表!EM210</f>
        <v>1</v>
      </c>
      <c r="DA210" s="21">
        <f>[2]底表!EN210</f>
        <v>0</v>
      </c>
      <c r="DB210" s="21" t="str">
        <f>[2]底表!EO210</f>
        <v>多1人</v>
      </c>
      <c r="DC210" s="21">
        <f>[2]底表!EP210</f>
        <v>1</v>
      </c>
      <c r="DD210" s="21">
        <f>[2]底表!EQ210</f>
        <v>0</v>
      </c>
      <c r="DE210" s="21">
        <f>[2]底表!ER210</f>
        <v>0</v>
      </c>
      <c r="DF210" s="21">
        <f>[2]底表!ES210</f>
        <v>2</v>
      </c>
      <c r="DG210" s="23" t="str">
        <f>[2]底表!ET210</f>
        <v>少2人</v>
      </c>
      <c r="DH210" s="21">
        <f>[2]底表!EU210</f>
        <v>1</v>
      </c>
      <c r="DI210" s="21" t="str">
        <f>[2]底表!EV210</f>
        <v>少1人</v>
      </c>
      <c r="DJ210" s="21">
        <f>[2]底表!EW210</f>
        <v>0</v>
      </c>
      <c r="DK210" s="21" t="str">
        <f>[2]底表!EX210</f>
        <v/>
      </c>
      <c r="DL210" s="21">
        <f>[2]底表!EY210</f>
        <v>0</v>
      </c>
      <c r="DM210" s="21">
        <f>[2]底表!EZ210</f>
        <v>-200</v>
      </c>
      <c r="DN210" s="21">
        <f>[2]底表!FA210</f>
        <v>-1</v>
      </c>
      <c r="DO210" s="21">
        <f>[2]底表!BQ210</f>
        <v>0</v>
      </c>
      <c r="DP210" s="21">
        <f>[2]底表!BR210</f>
        <v>2</v>
      </c>
      <c r="DQ210" s="24" t="str">
        <f>[2]底表!BS210</f>
        <v>少2起</v>
      </c>
    </row>
    <row r="211" s="2" customFormat="1" ht="32" hidden="1" customHeight="1" spans="1:121">
      <c r="A211" s="27" t="str">
        <f>[2]底表!A211</f>
        <v>交通类</v>
      </c>
      <c r="B211" s="28" t="str">
        <f>[2]底表!B211</f>
        <v>新兴县</v>
      </c>
      <c r="C211" s="21">
        <f>[2]底表!AM211</f>
        <v>5</v>
      </c>
      <c r="D211" s="21">
        <f>[2]底表!AN211</f>
        <v>5</v>
      </c>
      <c r="E211" s="23">
        <f>[2]底表!AO211</f>
        <v>0</v>
      </c>
      <c r="F211" s="21">
        <f>[2]底表!AP211</f>
        <v>15</v>
      </c>
      <c r="G211" s="21">
        <f>[2]底表!AQ211</f>
        <v>-0.6667</v>
      </c>
      <c r="H211" s="21">
        <f>[2]底表!AR211</f>
        <v>0.7143</v>
      </c>
      <c r="I211" s="21">
        <f>[2]底表!AS211</f>
        <v>-0.2857</v>
      </c>
      <c r="J211" s="21">
        <f>[2]底表!AT211</f>
        <v>2</v>
      </c>
      <c r="K211" s="21">
        <f>[2]底表!AU211</f>
        <v>0</v>
      </c>
      <c r="L211" s="21" t="str">
        <f>[2]底表!AV211</f>
        <v>多2起</v>
      </c>
      <c r="M211" s="21">
        <f>[2]底表!AW211</f>
        <v>7</v>
      </c>
      <c r="N211" s="21">
        <f>[2]底表!AX211</f>
        <v>-0.7143</v>
      </c>
      <c r="O211" s="21">
        <f>[2]底表!AY211</f>
        <v>0</v>
      </c>
      <c r="P211" s="21">
        <f>[2]底表!AZ211</f>
        <v>0</v>
      </c>
      <c r="Q211" s="21" t="str">
        <f>[2]底表!BA211</f>
        <v>持平</v>
      </c>
      <c r="R211" s="21">
        <f>[2]底表!BB211</f>
        <v>15</v>
      </c>
      <c r="S211" s="21" t="str">
        <f>[2]底表!BC211</f>
        <v>少15起</v>
      </c>
      <c r="T211" s="21">
        <f>[2]底表!BD211</f>
        <v>0</v>
      </c>
      <c r="U211" s="21" t="str">
        <f>[2]底表!BE211</f>
        <v/>
      </c>
      <c r="V211" s="21">
        <f>[2]底表!BF211</f>
        <v>5</v>
      </c>
      <c r="W211" s="21">
        <f>[2]底表!BG211</f>
        <v>5</v>
      </c>
      <c r="X211" s="21">
        <f>[2]底表!BH211</f>
        <v>0</v>
      </c>
      <c r="Y211" s="21">
        <f>[2]底表!BI211</f>
        <v>0</v>
      </c>
      <c r="Z211" s="21" t="str">
        <f>[2]底表!BJ211</f>
        <v>多5起</v>
      </c>
      <c r="AA211" s="21">
        <f>[2]底表!BK211</f>
        <v>0.7143</v>
      </c>
      <c r="AB211" s="21">
        <f>[2]底表!BL211</f>
        <v>5</v>
      </c>
      <c r="AC211" s="21">
        <f>[2]底表!BM211</f>
        <v>5</v>
      </c>
      <c r="AD211" s="21">
        <f>[2]底表!BN211</f>
        <v>0</v>
      </c>
      <c r="AE211" s="21">
        <f>[2]底表!BO211</f>
        <v>0</v>
      </c>
      <c r="AF211" s="21" t="str">
        <f>[2]底表!BP211</f>
        <v>多5起</v>
      </c>
      <c r="AG211" s="21">
        <f>[2]底表!BT211</f>
        <v>15</v>
      </c>
      <c r="AH211" s="21">
        <f>[2]底表!BU211</f>
        <v>-0.8667</v>
      </c>
      <c r="AI211" s="21">
        <f>[2]底表!BV211</f>
        <v>0.2857</v>
      </c>
      <c r="AJ211" s="21">
        <f>[2]底表!BW211</f>
        <v>-0.9143</v>
      </c>
      <c r="AK211" s="21">
        <f>[2]底表!BX211</f>
        <v>1</v>
      </c>
      <c r="AL211" s="21" t="str">
        <f>[2]底表!BY211</f>
        <v/>
      </c>
      <c r="AM211" s="21">
        <f>[2]底表!BZ211</f>
        <v>0</v>
      </c>
      <c r="AN211" s="21">
        <f>[2]底表!CA211</f>
        <v>0</v>
      </c>
      <c r="AO211" s="21" t="str">
        <f>[2]底表!CB211</f>
        <v>持平</v>
      </c>
      <c r="AP211" s="21">
        <f>[2]底表!CC211</f>
        <v>0</v>
      </c>
      <c r="AQ211" s="21" t="str">
        <f>[2]底表!CD211</f>
        <v>持平</v>
      </c>
      <c r="AR211" s="21" t="str">
        <f>[2]底表!CE211</f>
        <v/>
      </c>
      <c r="AS211" s="21" t="str">
        <f>[2]底表!CF211</f>
        <v/>
      </c>
      <c r="AT211" s="21">
        <f>[2]底表!CG211</f>
        <v>6</v>
      </c>
      <c r="AU211" s="21">
        <f>[2]底表!CH211</f>
        <v>3</v>
      </c>
      <c r="AV211" s="21">
        <f>[2]底表!CI211</f>
        <v>1</v>
      </c>
      <c r="AW211" s="21">
        <f>[2]底表!CJ211</f>
        <v>4</v>
      </c>
      <c r="AX211" s="21">
        <f>[2]底表!CK211</f>
        <v>0.5</v>
      </c>
      <c r="AY211" s="21">
        <f>[2]底表!CL211</f>
        <v>86</v>
      </c>
      <c r="AZ211" s="21">
        <f>[2]底表!CM211</f>
        <v>26</v>
      </c>
      <c r="BA211" s="21">
        <f>[2]底表!CN211</f>
        <v>0.4286</v>
      </c>
      <c r="BB211" s="21">
        <f>[2]底表!CO211</f>
        <v>4</v>
      </c>
      <c r="BC211" s="21">
        <f>[2]底表!CP211</f>
        <v>0</v>
      </c>
      <c r="BD211" s="21" t="str">
        <f>[2]底表!CQ211</f>
        <v>多4人</v>
      </c>
      <c r="BE211" s="21">
        <f>[2]底表!CR211</f>
        <v>4</v>
      </c>
      <c r="BF211" s="21">
        <f>[2]底表!CS211</f>
        <v>0</v>
      </c>
      <c r="BG211" s="21">
        <f>[2]底表!CT211</f>
        <v>0.6667</v>
      </c>
      <c r="BH211" s="21">
        <f>[2]底表!CU211</f>
        <v>0.6667</v>
      </c>
      <c r="BI211" s="21">
        <f>[2]底表!CV211</f>
        <v>57</v>
      </c>
      <c r="BJ211" s="21">
        <f>[2]底表!CW211</f>
        <v>57</v>
      </c>
      <c r="BK211" s="21" t="str">
        <f>[2]底表!CX211</f>
        <v/>
      </c>
      <c r="BL211" s="21">
        <f>[2]底表!CY211</f>
        <v>7</v>
      </c>
      <c r="BM211" s="21">
        <f>[2]底表!CZ211</f>
        <v>3</v>
      </c>
      <c r="BN211" s="23">
        <f>[2]底表!DA211</f>
        <v>1.3333</v>
      </c>
      <c r="BO211" s="21">
        <f>[2]底表!DB211</f>
        <v>9</v>
      </c>
      <c r="BP211" s="21">
        <f>[2]底表!DC211</f>
        <v>-0.2222</v>
      </c>
      <c r="BQ211" s="21">
        <f>[2]底表!DD211</f>
        <v>1.1667</v>
      </c>
      <c r="BR211" s="21">
        <f>[2]底表!DE211</f>
        <v>0.1667</v>
      </c>
      <c r="BS211" s="21">
        <f>[2]底表!DF211</f>
        <v>100</v>
      </c>
      <c r="BT211" s="21">
        <f>[2]底表!DG211</f>
        <v>40</v>
      </c>
      <c r="BU211" s="21">
        <f>[2]底表!DH211</f>
        <v>0.6667</v>
      </c>
      <c r="BV211" s="21">
        <f>[2]底表!DI211</f>
        <v>7</v>
      </c>
      <c r="BW211" s="21">
        <f>[2]底表!DJ211</f>
        <v>3</v>
      </c>
      <c r="BX211" s="23">
        <f>[2]底表!DK211</f>
        <v>1.3333</v>
      </c>
      <c r="BY211" s="21">
        <f>[2]底表!DL211</f>
        <v>8</v>
      </c>
      <c r="BZ211" s="21">
        <f>[2]底表!DM211</f>
        <v>-0.125</v>
      </c>
      <c r="CA211" s="21">
        <f>[2]底表!DN211</f>
        <v>6</v>
      </c>
      <c r="CB211" s="21">
        <f>[2]底表!DO211</f>
        <v>4</v>
      </c>
      <c r="CC211" s="21">
        <f>[2]底表!DP211</f>
        <v>0.5</v>
      </c>
      <c r="CD211" s="21">
        <f>[2]底表!DQ211</f>
        <v>8</v>
      </c>
      <c r="CE211" s="21">
        <f>[2]底表!DR211</f>
        <v>-0.25</v>
      </c>
      <c r="CF211" s="21">
        <f>[2]底表!DS211</f>
        <v>6</v>
      </c>
      <c r="CG211" s="21">
        <f>[2]底表!DT211</f>
        <v>4</v>
      </c>
      <c r="CH211" s="21">
        <f>[2]底表!DU211</f>
        <v>0.5</v>
      </c>
      <c r="CI211" s="21">
        <f>[2]底表!DV211</f>
        <v>8</v>
      </c>
      <c r="CJ211" s="21">
        <f>[2]底表!DW211</f>
        <v>-0.25</v>
      </c>
      <c r="CK211" s="21">
        <f>[2]底表!DX211</f>
        <v>6</v>
      </c>
      <c r="CL211" s="21">
        <f>[2]底表!DY211</f>
        <v>0</v>
      </c>
      <c r="CM211" s="21" t="str">
        <f>[2]底表!DZ211</f>
        <v>多6人</v>
      </c>
      <c r="CN211" s="21">
        <f>[2]底表!EA211</f>
        <v>7</v>
      </c>
      <c r="CO211" s="21">
        <f>[2]底表!EB211</f>
        <v>-0.1429</v>
      </c>
      <c r="CP211" s="21">
        <f>[2]底表!EC211</f>
        <v>2</v>
      </c>
      <c r="CQ211" s="21">
        <f>[2]底表!ED211</f>
        <v>0</v>
      </c>
      <c r="CR211" s="21" t="str">
        <f>[2]底表!EE211</f>
        <v>多2人</v>
      </c>
      <c r="CS211" s="21">
        <f>[2]底表!EF211</f>
        <v>2</v>
      </c>
      <c r="CT211" s="21">
        <f>[2]底表!EG211</f>
        <v>0</v>
      </c>
      <c r="CU211" s="21">
        <f>[2]底表!EH211</f>
        <v>0.5</v>
      </c>
      <c r="CV211" s="21" t="str">
        <f>[2]底表!EI211</f>
        <v/>
      </c>
      <c r="CW211" s="21">
        <f>[2]底表!EJ211</f>
        <v>29</v>
      </c>
      <c r="CX211" s="21">
        <f>[2]底表!EK211</f>
        <v>29</v>
      </c>
      <c r="CY211" s="21" t="str">
        <f>[2]底表!EL211</f>
        <v/>
      </c>
      <c r="CZ211" s="21">
        <f>[2]底表!EM211</f>
        <v>2</v>
      </c>
      <c r="DA211" s="21">
        <f>[2]底表!EN211</f>
        <v>0</v>
      </c>
      <c r="DB211" s="21" t="str">
        <f>[2]底表!EO211</f>
        <v>多2人</v>
      </c>
      <c r="DC211" s="21">
        <f>[2]底表!EP211</f>
        <v>2</v>
      </c>
      <c r="DD211" s="21">
        <f>[2]底表!EQ211</f>
        <v>0</v>
      </c>
      <c r="DE211" s="21">
        <f>[2]底表!ER211</f>
        <v>2</v>
      </c>
      <c r="DF211" s="21">
        <f>[2]底表!ES211</f>
        <v>6</v>
      </c>
      <c r="DG211" s="23">
        <f>[2]底表!ET211</f>
        <v>-0.6667</v>
      </c>
      <c r="DH211" s="21">
        <f>[2]底表!EU211</f>
        <v>15</v>
      </c>
      <c r="DI211" s="21">
        <f>[2]底表!EV211</f>
        <v>-0.8667</v>
      </c>
      <c r="DJ211" s="21">
        <f>[2]底表!EW211</f>
        <v>0.5</v>
      </c>
      <c r="DK211" s="21" t="str">
        <f>[2]底表!EX211</f>
        <v/>
      </c>
      <c r="DL211" s="21">
        <f>[2]底表!EY211</f>
        <v>29</v>
      </c>
      <c r="DM211" s="21">
        <f>[2]底表!EZ211</f>
        <v>-91</v>
      </c>
      <c r="DN211" s="21">
        <f>[2]底表!FA211</f>
        <v>-0.7619</v>
      </c>
      <c r="DO211" s="21">
        <f>[2]底表!BQ211</f>
        <v>2</v>
      </c>
      <c r="DP211" s="21">
        <f>[2]底表!BR211</f>
        <v>6</v>
      </c>
      <c r="DQ211" s="24">
        <f>[2]底表!BS211</f>
        <v>-0.6667</v>
      </c>
    </row>
    <row r="212" s="2" customFormat="1" ht="32" hidden="1" customHeight="1" spans="1:121">
      <c r="A212" s="27" t="str">
        <f>[2]底表!A212</f>
        <v>交通类</v>
      </c>
      <c r="B212" s="28" t="str">
        <f>[2]底表!B212</f>
        <v>郁南县</v>
      </c>
      <c r="C212" s="21">
        <f>[2]底表!AM212</f>
        <v>6</v>
      </c>
      <c r="D212" s="21">
        <f>[2]底表!AN212</f>
        <v>1</v>
      </c>
      <c r="E212" s="23">
        <f>[2]底表!AO212</f>
        <v>5</v>
      </c>
      <c r="F212" s="21">
        <f>[2]底表!AP212</f>
        <v>5</v>
      </c>
      <c r="G212" s="21">
        <f>[2]底表!AQ212</f>
        <v>0.2</v>
      </c>
      <c r="H212" s="21">
        <f>[2]底表!AR212</f>
        <v>0.75</v>
      </c>
      <c r="I212" s="21">
        <f>[2]底表!AS212</f>
        <v>0.4167</v>
      </c>
      <c r="J212" s="21">
        <f>[2]底表!AT212</f>
        <v>4</v>
      </c>
      <c r="K212" s="21">
        <f>[2]底表!AU212</f>
        <v>1</v>
      </c>
      <c r="L212" s="21">
        <f>[2]底表!AV212</f>
        <v>3</v>
      </c>
      <c r="M212" s="21">
        <f>[2]底表!AW212</f>
        <v>2</v>
      </c>
      <c r="N212" s="21">
        <f>[2]底表!AX212</f>
        <v>1</v>
      </c>
      <c r="O212" s="21">
        <f>[2]底表!AY212</f>
        <v>4</v>
      </c>
      <c r="P212" s="21">
        <f>[2]底表!AZ212</f>
        <v>0</v>
      </c>
      <c r="Q212" s="21" t="str">
        <f>[2]底表!BA212</f>
        <v>多4起</v>
      </c>
      <c r="R212" s="21">
        <f>[2]底表!BB212</f>
        <v>5</v>
      </c>
      <c r="S212" s="21">
        <f>[2]底表!BC212</f>
        <v>-0.2</v>
      </c>
      <c r="T212" s="21">
        <f>[2]底表!BD212</f>
        <v>1</v>
      </c>
      <c r="U212" s="21">
        <f>[2]底表!BE212</f>
        <v>1</v>
      </c>
      <c r="V212" s="21">
        <f>[2]底表!BF212</f>
        <v>4</v>
      </c>
      <c r="W212" s="21">
        <f>[2]底表!BG212</f>
        <v>2</v>
      </c>
      <c r="X212" s="21">
        <f>[2]底表!BH212</f>
        <v>1</v>
      </c>
      <c r="Y212" s="21">
        <f>[2]底表!BI212</f>
        <v>0</v>
      </c>
      <c r="Z212" s="21" t="str">
        <f>[2]底表!BJ212</f>
        <v>多4起</v>
      </c>
      <c r="AA212" s="21">
        <f>[2]底表!BK212</f>
        <v>0.5</v>
      </c>
      <c r="AB212" s="21">
        <f>[2]底表!BL212</f>
        <v>2</v>
      </c>
      <c r="AC212" s="21">
        <f>[2]底表!BM212</f>
        <v>1</v>
      </c>
      <c r="AD212" s="21">
        <f>[2]底表!BN212</f>
        <v>1</v>
      </c>
      <c r="AE212" s="21">
        <f>[2]底表!BO212</f>
        <v>0</v>
      </c>
      <c r="AF212" s="21" t="str">
        <f>[2]底表!BP212</f>
        <v>多2起</v>
      </c>
      <c r="AG212" s="21">
        <f>[2]底表!BT212</f>
        <v>6</v>
      </c>
      <c r="AH212" s="21">
        <f>[2]底表!BU212</f>
        <v>-0.6667</v>
      </c>
      <c r="AI212" s="21">
        <f>[2]底表!BV212</f>
        <v>0.25</v>
      </c>
      <c r="AJ212" s="21">
        <f>[2]底表!BW212</f>
        <v>-0.4167</v>
      </c>
      <c r="AK212" s="21">
        <f>[2]底表!BX212</f>
        <v>0.5</v>
      </c>
      <c r="AL212" s="21">
        <f>[2]底表!BY212</f>
        <v>-1.5</v>
      </c>
      <c r="AM212" s="21">
        <f>[2]底表!BZ212</f>
        <v>0</v>
      </c>
      <c r="AN212" s="21">
        <f>[2]底表!CA212</f>
        <v>0</v>
      </c>
      <c r="AO212" s="21" t="str">
        <f>[2]底表!CB212</f>
        <v>持平</v>
      </c>
      <c r="AP212" s="21">
        <f>[2]底表!CC212</f>
        <v>0</v>
      </c>
      <c r="AQ212" s="21" t="str">
        <f>[2]底表!CD212</f>
        <v>持平</v>
      </c>
      <c r="AR212" s="21" t="str">
        <f>[2]底表!CE212</f>
        <v/>
      </c>
      <c r="AS212" s="21" t="str">
        <f>[2]底表!CF212</f>
        <v/>
      </c>
      <c r="AT212" s="21">
        <f>[2]底表!CG212</f>
        <v>5</v>
      </c>
      <c r="AU212" s="21">
        <f>[2]底表!CH212</f>
        <v>3</v>
      </c>
      <c r="AV212" s="21">
        <f>[2]底表!CI212</f>
        <v>0.6667</v>
      </c>
      <c r="AW212" s="21">
        <f>[2]底表!CJ212</f>
        <v>2</v>
      </c>
      <c r="AX212" s="21">
        <f>[2]底表!CK212</f>
        <v>1.5</v>
      </c>
      <c r="AY212" s="21">
        <f>[2]底表!CL212</f>
        <v>63</v>
      </c>
      <c r="AZ212" s="21">
        <f>[2]底表!CM212</f>
        <v>-38</v>
      </c>
      <c r="BA212" s="21">
        <f>[2]底表!CN212</f>
        <v>-0.375</v>
      </c>
      <c r="BB212" s="21">
        <f>[2]底表!CO212</f>
        <v>2</v>
      </c>
      <c r="BC212" s="21">
        <f>[2]底表!CP212</f>
        <v>1</v>
      </c>
      <c r="BD212" s="21">
        <f>[2]底表!CQ212</f>
        <v>1</v>
      </c>
      <c r="BE212" s="21">
        <f>[2]底表!CR212</f>
        <v>0</v>
      </c>
      <c r="BF212" s="21" t="str">
        <f>[2]底表!CS212</f>
        <v>多2人</v>
      </c>
      <c r="BG212" s="21">
        <f>[2]底表!CT212</f>
        <v>0.4</v>
      </c>
      <c r="BH212" s="21">
        <f>[2]底表!CU212</f>
        <v>0.0667</v>
      </c>
      <c r="BI212" s="21">
        <f>[2]底表!CV212</f>
        <v>25</v>
      </c>
      <c r="BJ212" s="21">
        <f>[2]底表!CW212</f>
        <v>-8</v>
      </c>
      <c r="BK212" s="21">
        <f>[2]底表!CX212</f>
        <v>-0.25</v>
      </c>
      <c r="BL212" s="21">
        <f>[2]底表!CY212</f>
        <v>2</v>
      </c>
      <c r="BM212" s="21">
        <f>[2]底表!CZ212</f>
        <v>1</v>
      </c>
      <c r="BN212" s="23">
        <f>[2]底表!DA212</f>
        <v>1</v>
      </c>
      <c r="BO212" s="21">
        <f>[2]底表!DB212</f>
        <v>1</v>
      </c>
      <c r="BP212" s="21">
        <f>[2]底表!DC212</f>
        <v>1</v>
      </c>
      <c r="BQ212" s="21">
        <f>[2]底表!DD212</f>
        <v>0.4</v>
      </c>
      <c r="BR212" s="21">
        <f>[2]底表!DE212</f>
        <v>0.0667</v>
      </c>
      <c r="BS212" s="21">
        <f>[2]底表!DF212</f>
        <v>25</v>
      </c>
      <c r="BT212" s="21">
        <f>[2]底表!DG212</f>
        <v>-8</v>
      </c>
      <c r="BU212" s="21">
        <f>[2]底表!DH212</f>
        <v>-0.25</v>
      </c>
      <c r="BV212" s="21">
        <f>[2]底表!DI212</f>
        <v>1</v>
      </c>
      <c r="BW212" s="21">
        <f>[2]底表!DJ212</f>
        <v>1</v>
      </c>
      <c r="BX212" s="23">
        <f>[2]底表!DK212</f>
        <v>0</v>
      </c>
      <c r="BY212" s="21">
        <f>[2]底表!DL212</f>
        <v>1</v>
      </c>
      <c r="BZ212" s="21">
        <f>[2]底表!DM212</f>
        <v>0</v>
      </c>
      <c r="CA212" s="21">
        <f>[2]底表!DN212</f>
        <v>6</v>
      </c>
      <c r="CB212" s="21">
        <f>[2]底表!DO212</f>
        <v>1</v>
      </c>
      <c r="CC212" s="21">
        <f>[2]底表!DP212</f>
        <v>5</v>
      </c>
      <c r="CD212" s="21">
        <f>[2]底表!DQ212</f>
        <v>4</v>
      </c>
      <c r="CE212" s="21">
        <f>[2]底表!DR212</f>
        <v>0.5</v>
      </c>
      <c r="CF212" s="21">
        <f>[2]底表!DS212</f>
        <v>6</v>
      </c>
      <c r="CG212" s="21">
        <f>[2]底表!DT212</f>
        <v>1</v>
      </c>
      <c r="CH212" s="21">
        <f>[2]底表!DU212</f>
        <v>5</v>
      </c>
      <c r="CI212" s="21">
        <f>[2]底表!DV212</f>
        <v>4</v>
      </c>
      <c r="CJ212" s="21">
        <f>[2]底表!DW212</f>
        <v>0.5</v>
      </c>
      <c r="CK212" s="21">
        <f>[2]底表!DX212</f>
        <v>1</v>
      </c>
      <c r="CL212" s="21">
        <f>[2]底表!DY212</f>
        <v>1</v>
      </c>
      <c r="CM212" s="21">
        <f>[2]底表!DZ212</f>
        <v>0</v>
      </c>
      <c r="CN212" s="21">
        <f>[2]底表!EA212</f>
        <v>1</v>
      </c>
      <c r="CO212" s="21">
        <f>[2]底表!EB212</f>
        <v>0</v>
      </c>
      <c r="CP212" s="21">
        <f>[2]底表!EC212</f>
        <v>0</v>
      </c>
      <c r="CQ212" s="21">
        <f>[2]底表!ED212</f>
        <v>1</v>
      </c>
      <c r="CR212" s="21" t="str">
        <f>[2]底表!EE212</f>
        <v>少1人</v>
      </c>
      <c r="CS212" s="21">
        <f>[2]底表!EF212</f>
        <v>0</v>
      </c>
      <c r="CT212" s="21" t="str">
        <f>[2]底表!EG212</f>
        <v>持平</v>
      </c>
      <c r="CU212" s="21">
        <f>[2]底表!EH212</f>
        <v>0</v>
      </c>
      <c r="CV212" s="21">
        <f>[2]底表!EI212</f>
        <v>-1</v>
      </c>
      <c r="CW212" s="21">
        <f>[2]底表!EJ212</f>
        <v>0</v>
      </c>
      <c r="CX212" s="21">
        <f>[2]底表!EK212</f>
        <v>-33</v>
      </c>
      <c r="CY212" s="21">
        <f>[2]底表!EL212</f>
        <v>-1</v>
      </c>
      <c r="CZ212" s="21">
        <f>[2]底表!EM212</f>
        <v>0</v>
      </c>
      <c r="DA212" s="21">
        <f>[2]底表!EN212</f>
        <v>1</v>
      </c>
      <c r="DB212" s="21" t="str">
        <f>[2]底表!EO212</f>
        <v>少1人</v>
      </c>
      <c r="DC212" s="21">
        <f>[2]底表!EP212</f>
        <v>0</v>
      </c>
      <c r="DD212" s="21" t="str">
        <f>[2]底表!EQ212</f>
        <v>持平</v>
      </c>
      <c r="DE212" s="21">
        <f>[2]底表!ER212</f>
        <v>2</v>
      </c>
      <c r="DF212" s="21">
        <f>[2]底表!ES212</f>
        <v>2</v>
      </c>
      <c r="DG212" s="23">
        <f>[2]底表!ET212</f>
        <v>0</v>
      </c>
      <c r="DH212" s="21">
        <f>[2]底表!EU212</f>
        <v>6</v>
      </c>
      <c r="DI212" s="21">
        <f>[2]底表!EV212</f>
        <v>-0.6667</v>
      </c>
      <c r="DJ212" s="21">
        <f>[2]底表!EW212</f>
        <v>1</v>
      </c>
      <c r="DK212" s="21">
        <f>[2]底表!EX212</f>
        <v>-1</v>
      </c>
      <c r="DL212" s="21">
        <f>[2]底表!EY212</f>
        <v>25</v>
      </c>
      <c r="DM212" s="21">
        <f>[2]底表!EZ212</f>
        <v>-42</v>
      </c>
      <c r="DN212" s="21">
        <f>[2]底表!FA212</f>
        <v>-0.625</v>
      </c>
      <c r="DO212" s="21">
        <f>[2]底表!BQ212</f>
        <v>2</v>
      </c>
      <c r="DP212" s="21">
        <f>[2]底表!BR212</f>
        <v>2</v>
      </c>
      <c r="DQ212" s="24">
        <f>[2]底表!BS212</f>
        <v>0</v>
      </c>
    </row>
    <row r="213" s="2" customFormat="1" ht="32" hidden="1" customHeight="1" spans="1:121">
      <c r="A213" s="27" t="str">
        <f>[2]底表!A213</f>
        <v>交通类</v>
      </c>
      <c r="B213" s="28" t="str">
        <f>[2]底表!B213</f>
        <v>罗定市</v>
      </c>
      <c r="C213" s="21">
        <f>[2]底表!AM213</f>
        <v>5</v>
      </c>
      <c r="D213" s="21">
        <f>[2]底表!AN213</f>
        <v>8</v>
      </c>
      <c r="E213" s="23">
        <f>[2]底表!AO213</f>
        <v>-0.375</v>
      </c>
      <c r="F213" s="21">
        <f>[2]底表!AP213</f>
        <v>15</v>
      </c>
      <c r="G213" s="21">
        <f>[2]底表!AQ213</f>
        <v>-0.6667</v>
      </c>
      <c r="H213" s="21">
        <f>[2]底表!AR213</f>
        <v>0.3333</v>
      </c>
      <c r="I213" s="21">
        <f>[2]底表!AS213</f>
        <v>-1</v>
      </c>
      <c r="J213" s="21">
        <f>[2]底表!AT213</f>
        <v>4</v>
      </c>
      <c r="K213" s="21">
        <f>[2]底表!AU213</f>
        <v>0</v>
      </c>
      <c r="L213" s="21" t="str">
        <f>[2]底表!AV213</f>
        <v>多4起</v>
      </c>
      <c r="M213" s="21">
        <f>[2]底表!AW213</f>
        <v>11</v>
      </c>
      <c r="N213" s="21">
        <f>[2]底表!AX213</f>
        <v>-0.6364</v>
      </c>
      <c r="O213" s="21">
        <f>[2]底表!AY213</f>
        <v>1</v>
      </c>
      <c r="P213" s="21">
        <f>[2]底表!AZ213</f>
        <v>0</v>
      </c>
      <c r="Q213" s="21" t="str">
        <f>[2]底表!BA213</f>
        <v>多1起</v>
      </c>
      <c r="R213" s="21">
        <f>[2]底表!BB213</f>
        <v>15</v>
      </c>
      <c r="S213" s="21">
        <f>[2]底表!BC213</f>
        <v>-0.9333</v>
      </c>
      <c r="T213" s="21">
        <f>[2]底表!BD213</f>
        <v>0.25</v>
      </c>
      <c r="U213" s="21" t="str">
        <f>[2]底表!BE213</f>
        <v/>
      </c>
      <c r="V213" s="21">
        <f>[2]底表!BF213</f>
        <v>11</v>
      </c>
      <c r="W213" s="21">
        <f>[2]底表!BG213</f>
        <v>6</v>
      </c>
      <c r="X213" s="21">
        <f>[2]底表!BH213</f>
        <v>0.8333</v>
      </c>
      <c r="Y213" s="21">
        <f>[2]底表!BI213</f>
        <v>0</v>
      </c>
      <c r="Z213" s="21" t="str">
        <f>[2]底表!BJ213</f>
        <v>多11起</v>
      </c>
      <c r="AA213" s="21">
        <f>[2]底表!BK213</f>
        <v>0.7333</v>
      </c>
      <c r="AB213" s="21">
        <f>[2]底表!BL213</f>
        <v>4</v>
      </c>
      <c r="AC213" s="21">
        <f>[2]底表!BM213</f>
        <v>8</v>
      </c>
      <c r="AD213" s="21">
        <f>[2]底表!BN213</f>
        <v>-0.5</v>
      </c>
      <c r="AE213" s="21">
        <f>[2]底表!BO213</f>
        <v>0</v>
      </c>
      <c r="AF213" s="21" t="str">
        <f>[2]底表!BP213</f>
        <v>多4起</v>
      </c>
      <c r="AG213" s="21">
        <f>[2]底表!BT213</f>
        <v>16</v>
      </c>
      <c r="AH213" s="21">
        <f>[2]底表!BU213</f>
        <v>-0.625</v>
      </c>
      <c r="AI213" s="21">
        <f>[2]底表!BV213</f>
        <v>0.4</v>
      </c>
      <c r="AJ213" s="21">
        <f>[2]底表!BW213</f>
        <v>-1.1</v>
      </c>
      <c r="AK213" s="21">
        <f>[2]底表!BX213</f>
        <v>1.5</v>
      </c>
      <c r="AL213" s="21" t="str">
        <f>[2]底表!BY213</f>
        <v/>
      </c>
      <c r="AM213" s="21">
        <f>[2]底表!BZ213</f>
        <v>0</v>
      </c>
      <c r="AN213" s="21">
        <f>[2]底表!CA213</f>
        <v>0</v>
      </c>
      <c r="AO213" s="21" t="str">
        <f>[2]底表!CB213</f>
        <v>持平</v>
      </c>
      <c r="AP213" s="21">
        <f>[2]底表!CC213</f>
        <v>0</v>
      </c>
      <c r="AQ213" s="21" t="str">
        <f>[2]底表!CD213</f>
        <v>持平</v>
      </c>
      <c r="AR213" s="21" t="str">
        <f>[2]底表!CE213</f>
        <v/>
      </c>
      <c r="AS213" s="21" t="str">
        <f>[2]底表!CF213</f>
        <v/>
      </c>
      <c r="AT213" s="21">
        <f>[2]底表!CG213</f>
        <v>3</v>
      </c>
      <c r="AU213" s="21">
        <f>[2]底表!CH213</f>
        <v>5</v>
      </c>
      <c r="AV213" s="21">
        <f>[2]底表!CI213</f>
        <v>-0.4</v>
      </c>
      <c r="AW213" s="21">
        <f>[2]底表!CJ213</f>
        <v>5</v>
      </c>
      <c r="AX213" s="21">
        <f>[2]底表!CK213</f>
        <v>-0.4</v>
      </c>
      <c r="AY213" s="21">
        <f>[2]底表!CL213</f>
        <v>20</v>
      </c>
      <c r="AZ213" s="21">
        <f>[2]底表!CM213</f>
        <v>-63</v>
      </c>
      <c r="BA213" s="21">
        <f>[2]底表!CN213</f>
        <v>-0.76</v>
      </c>
      <c r="BB213" s="21">
        <f>[2]底表!CO213</f>
        <v>1</v>
      </c>
      <c r="BC213" s="21">
        <f>[2]底表!CP213</f>
        <v>0</v>
      </c>
      <c r="BD213" s="21" t="str">
        <f>[2]底表!CQ213</f>
        <v>多1人</v>
      </c>
      <c r="BE213" s="21">
        <f>[2]底表!CR213</f>
        <v>2</v>
      </c>
      <c r="BF213" s="21">
        <f>[2]底表!CS213</f>
        <v>-0.5</v>
      </c>
      <c r="BG213" s="21">
        <f>[2]底表!CT213</f>
        <v>0.3333</v>
      </c>
      <c r="BH213" s="21">
        <f>[2]底表!CU213</f>
        <v>0.3333</v>
      </c>
      <c r="BI213" s="21">
        <f>[2]底表!CV213</f>
        <v>7</v>
      </c>
      <c r="BJ213" s="21">
        <f>[2]底表!CW213</f>
        <v>7</v>
      </c>
      <c r="BK213" s="21" t="str">
        <f>[2]底表!CX213</f>
        <v/>
      </c>
      <c r="BL213" s="21">
        <f>[2]底表!CY213</f>
        <v>2</v>
      </c>
      <c r="BM213" s="21">
        <f>[2]底表!CZ213</f>
        <v>3</v>
      </c>
      <c r="BN213" s="23">
        <f>[2]底表!DA213</f>
        <v>-0.3333</v>
      </c>
      <c r="BO213" s="21">
        <f>[2]底表!DB213</f>
        <v>5</v>
      </c>
      <c r="BP213" s="21">
        <f>[2]底表!DC213</f>
        <v>-0.6</v>
      </c>
      <c r="BQ213" s="21">
        <f>[2]底表!DD213</f>
        <v>0.6667</v>
      </c>
      <c r="BR213" s="21">
        <f>[2]底表!DE213</f>
        <v>0.0667</v>
      </c>
      <c r="BS213" s="21">
        <f>[2]底表!DF213</f>
        <v>13</v>
      </c>
      <c r="BT213" s="21">
        <f>[2]底表!DG213</f>
        <v>-37</v>
      </c>
      <c r="BU213" s="21">
        <f>[2]底表!DH213</f>
        <v>-0.7333</v>
      </c>
      <c r="BV213" s="21">
        <f>[2]底表!DI213</f>
        <v>1</v>
      </c>
      <c r="BW213" s="21">
        <f>[2]底表!DJ213</f>
        <v>0</v>
      </c>
      <c r="BX213" s="23" t="str">
        <f>[2]底表!DK213</f>
        <v>多1人</v>
      </c>
      <c r="BY213" s="21">
        <f>[2]底表!DL213</f>
        <v>5</v>
      </c>
      <c r="BZ213" s="21">
        <f>[2]底表!DM213</f>
        <v>-0.8</v>
      </c>
      <c r="CA213" s="21">
        <f>[2]底表!DN213</f>
        <v>4</v>
      </c>
      <c r="CB213" s="21">
        <f>[2]底表!DO213</f>
        <v>11</v>
      </c>
      <c r="CC213" s="21">
        <f>[2]底表!DP213</f>
        <v>-0.6364</v>
      </c>
      <c r="CD213" s="21">
        <f>[2]底表!DQ213</f>
        <v>18</v>
      </c>
      <c r="CE213" s="21">
        <f>[2]底表!DR213</f>
        <v>-0.7778</v>
      </c>
      <c r="CF213" s="21">
        <f>[2]底表!DS213</f>
        <v>4</v>
      </c>
      <c r="CG213" s="21">
        <f>[2]底表!DT213</f>
        <v>11</v>
      </c>
      <c r="CH213" s="21">
        <f>[2]底表!DU213</f>
        <v>-0.6364</v>
      </c>
      <c r="CI213" s="21">
        <f>[2]底表!DV213</f>
        <v>18</v>
      </c>
      <c r="CJ213" s="21">
        <f>[2]底表!DW213</f>
        <v>-0.7778</v>
      </c>
      <c r="CK213" s="21">
        <f>[2]底表!DX213</f>
        <v>1</v>
      </c>
      <c r="CL213" s="21">
        <f>[2]底表!DY213</f>
        <v>1</v>
      </c>
      <c r="CM213" s="21">
        <f>[2]底表!DZ213</f>
        <v>0</v>
      </c>
      <c r="CN213" s="21">
        <f>[2]底表!EA213</f>
        <v>1</v>
      </c>
      <c r="CO213" s="21">
        <f>[2]底表!EB213</f>
        <v>0</v>
      </c>
      <c r="CP213" s="21">
        <f>[2]底表!EC213</f>
        <v>1</v>
      </c>
      <c r="CQ213" s="21">
        <f>[2]底表!ED213</f>
        <v>0</v>
      </c>
      <c r="CR213" s="21" t="str">
        <f>[2]底表!EE213</f>
        <v>多1人</v>
      </c>
      <c r="CS213" s="21">
        <f>[2]底表!EF213</f>
        <v>0</v>
      </c>
      <c r="CT213" s="21" t="str">
        <f>[2]底表!EG213</f>
        <v>多1人</v>
      </c>
      <c r="CU213" s="21">
        <f>[2]底表!EH213</f>
        <v>1</v>
      </c>
      <c r="CV213" s="21" t="str">
        <f>[2]底表!EI213</f>
        <v/>
      </c>
      <c r="CW213" s="21">
        <f>[2]底表!EJ213</f>
        <v>7</v>
      </c>
      <c r="CX213" s="21">
        <f>[2]底表!EK213</f>
        <v>7</v>
      </c>
      <c r="CY213" s="21" t="str">
        <f>[2]底表!EL213</f>
        <v/>
      </c>
      <c r="CZ213" s="21">
        <f>[2]底表!EM213</f>
        <v>1</v>
      </c>
      <c r="DA213" s="21">
        <f>[2]底表!EN213</f>
        <v>0</v>
      </c>
      <c r="DB213" s="21" t="str">
        <f>[2]底表!EO213</f>
        <v>多1人</v>
      </c>
      <c r="DC213" s="21">
        <f>[2]底表!EP213</f>
        <v>0</v>
      </c>
      <c r="DD213" s="21" t="str">
        <f>[2]底表!EQ213</f>
        <v>多1人</v>
      </c>
      <c r="DE213" s="21">
        <f>[2]底表!ER213</f>
        <v>6</v>
      </c>
      <c r="DF213" s="21">
        <f>[2]底表!ES213</f>
        <v>10</v>
      </c>
      <c r="DG213" s="23">
        <f>[2]底表!ET213</f>
        <v>-0.4</v>
      </c>
      <c r="DH213" s="21">
        <f>[2]底表!EU213</f>
        <v>16</v>
      </c>
      <c r="DI213" s="21">
        <f>[2]底表!EV213</f>
        <v>-0.625</v>
      </c>
      <c r="DJ213" s="21">
        <f>[2]底表!EW213</f>
        <v>6</v>
      </c>
      <c r="DK213" s="21" t="str">
        <f>[2]底表!EX213</f>
        <v/>
      </c>
      <c r="DL213" s="21">
        <f>[2]底表!EY213</f>
        <v>40</v>
      </c>
      <c r="DM213" s="21">
        <f>[2]底表!EZ213</f>
        <v>-127</v>
      </c>
      <c r="DN213" s="21">
        <f>[2]底表!FA213</f>
        <v>-0.76</v>
      </c>
      <c r="DO213" s="21">
        <f>[2]底表!BQ213</f>
        <v>6</v>
      </c>
      <c r="DP213" s="21">
        <f>[2]底表!BR213</f>
        <v>9</v>
      </c>
      <c r="DQ213" s="24">
        <f>[2]底表!BS213</f>
        <v>-0.3333</v>
      </c>
    </row>
    <row r="214" s="2" customFormat="1" ht="32" hidden="1" customHeight="1" spans="1:121">
      <c r="A214" s="27" t="str">
        <f>[2]底表!A214</f>
        <v>危险驾驶案</v>
      </c>
      <c r="B214" s="28" t="str">
        <f>[2]底表!B214</f>
        <v>全省</v>
      </c>
      <c r="C214" s="21">
        <f>[2]底表!AM214</f>
        <v>2812</v>
      </c>
      <c r="D214" s="21">
        <f>[2]底表!AN214</f>
        <v>2010</v>
      </c>
      <c r="E214" s="23">
        <f>[2]底表!AO214</f>
        <v>0.399</v>
      </c>
      <c r="F214" s="21">
        <f>[2]底表!AP214</f>
        <v>3604</v>
      </c>
      <c r="G214" s="21">
        <f>[2]底表!AQ214</f>
        <v>-0.2198</v>
      </c>
      <c r="H214" s="21">
        <f>[2]底表!AR214</f>
        <v>0.8812</v>
      </c>
      <c r="I214" s="21">
        <f>[2]底表!AS214</f>
        <v>0.1293</v>
      </c>
      <c r="J214" s="21">
        <f>[2]底表!AT214</f>
        <v>2463</v>
      </c>
      <c r="K214" s="21">
        <f>[2]底表!AU214</f>
        <v>1981</v>
      </c>
      <c r="L214" s="21">
        <f>[2]底表!AV214</f>
        <v>0.2433</v>
      </c>
      <c r="M214" s="21">
        <f>[2]底表!AW214</f>
        <v>3178</v>
      </c>
      <c r="N214" s="21">
        <f>[2]底表!AX214</f>
        <v>-0.225</v>
      </c>
      <c r="O214" s="21">
        <f>[2]底表!AY214</f>
        <v>1704</v>
      </c>
      <c r="P214" s="21">
        <f>[2]底表!AZ214</f>
        <v>1098</v>
      </c>
      <c r="Q214" s="21">
        <f>[2]底表!BA214</f>
        <v>0.5519</v>
      </c>
      <c r="R214" s="21">
        <f>[2]底表!BB214</f>
        <v>3484</v>
      </c>
      <c r="S214" s="21">
        <f>[2]底表!BC214</f>
        <v>-0.5109</v>
      </c>
      <c r="T214" s="21">
        <f>[2]底表!BD214</f>
        <v>0.6918</v>
      </c>
      <c r="U214" s="21">
        <f>[2]底表!BE214</f>
        <v>0.1376</v>
      </c>
      <c r="V214" s="21">
        <f>[2]底表!BF214</f>
        <v>728</v>
      </c>
      <c r="W214" s="21">
        <f>[2]底表!BG214</f>
        <v>692</v>
      </c>
      <c r="X214" s="21">
        <f>[2]底表!BH214</f>
        <v>0.052</v>
      </c>
      <c r="Y214" s="21">
        <f>[2]底表!BI214</f>
        <v>3</v>
      </c>
      <c r="Z214" s="21">
        <f>[2]底表!BJ214</f>
        <v>241.6667</v>
      </c>
      <c r="AA214" s="21">
        <f>[2]底表!BK214</f>
        <v>0.2281</v>
      </c>
      <c r="AB214" s="21">
        <f>[2]底表!BL214</f>
        <v>1108</v>
      </c>
      <c r="AC214" s="21">
        <f>[2]底表!BM214</f>
        <v>912</v>
      </c>
      <c r="AD214" s="21">
        <f>[2]底表!BN214</f>
        <v>0.2149</v>
      </c>
      <c r="AE214" s="21">
        <f>[2]底表!BO214</f>
        <v>120</v>
      </c>
      <c r="AF214" s="21">
        <f>[2]底表!BP214</f>
        <v>8.2333</v>
      </c>
      <c r="AG214" s="21">
        <f>[2]底表!BT214</f>
        <v>3417</v>
      </c>
      <c r="AH214" s="21">
        <f>[2]底表!BU214</f>
        <v>-0.2938</v>
      </c>
      <c r="AI214" s="21">
        <f>[2]底表!BV214</f>
        <v>0.7562</v>
      </c>
      <c r="AJ214" s="21">
        <f>[2]底表!BW214</f>
        <v>0.0435</v>
      </c>
      <c r="AK214" s="21">
        <f>[2]底表!BX214</f>
        <v>0.9797</v>
      </c>
      <c r="AL214" s="21">
        <f>[2]底表!BY214</f>
        <v>0.0181</v>
      </c>
      <c r="AM214" s="21">
        <f>[2]底表!BZ214</f>
        <v>18</v>
      </c>
      <c r="AN214" s="21">
        <f>[2]底表!CA214</f>
        <v>64</v>
      </c>
      <c r="AO214" s="21">
        <f>[2]底表!CB214</f>
        <v>-0.7188</v>
      </c>
      <c r="AP214" s="21">
        <f>[2]底表!CC214</f>
        <v>123</v>
      </c>
      <c r="AQ214" s="21">
        <f>[2]底表!CD214</f>
        <v>-0.8537</v>
      </c>
      <c r="AR214" s="21" t="str">
        <f>[2]底表!CE214</f>
        <v/>
      </c>
      <c r="AS214" s="21" t="str">
        <f>[2]底表!CF214</f>
        <v/>
      </c>
      <c r="AT214" s="21">
        <f>[2]底表!CG214</f>
        <v>3681</v>
      </c>
      <c r="AU214" s="21">
        <f>[2]底表!CH214</f>
        <v>3329</v>
      </c>
      <c r="AV214" s="21">
        <f>[2]底表!CI214</f>
        <v>0.1057</v>
      </c>
      <c r="AW214" s="21">
        <f>[2]底表!CJ214</f>
        <v>4167</v>
      </c>
      <c r="AX214" s="21">
        <f>[2]底表!CK214</f>
        <v>-0.1166</v>
      </c>
      <c r="AY214" s="21">
        <f>[2]底表!CL214</f>
        <v>115</v>
      </c>
      <c r="AZ214" s="21">
        <f>[2]底表!CM214</f>
        <v>-9</v>
      </c>
      <c r="BA214" s="21">
        <f>[2]底表!CN214</f>
        <v>-0.0738</v>
      </c>
      <c r="BB214" s="21">
        <f>[2]底表!CO214</f>
        <v>739</v>
      </c>
      <c r="BC214" s="21">
        <f>[2]底表!CP214</f>
        <v>251</v>
      </c>
      <c r="BD214" s="21">
        <f>[2]底表!CQ214</f>
        <v>1.9442</v>
      </c>
      <c r="BE214" s="21">
        <f>[2]底表!CR214</f>
        <v>821</v>
      </c>
      <c r="BF214" s="21">
        <f>[2]底表!CS214</f>
        <v>-0.0999</v>
      </c>
      <c r="BG214" s="21">
        <f>[2]底表!CT214</f>
        <v>0.2008</v>
      </c>
      <c r="BH214" s="21">
        <f>[2]底表!CU214</f>
        <v>0.1254</v>
      </c>
      <c r="BI214" s="21">
        <f>[2]底表!CV214</f>
        <v>23</v>
      </c>
      <c r="BJ214" s="21">
        <f>[2]底表!CW214</f>
        <v>14</v>
      </c>
      <c r="BK214" s="21">
        <f>[2]底表!CX214</f>
        <v>1.4663</v>
      </c>
      <c r="BL214" s="21">
        <f>[2]底表!CY214</f>
        <v>2607</v>
      </c>
      <c r="BM214" s="21">
        <f>[2]底表!CZ214</f>
        <v>1509</v>
      </c>
      <c r="BN214" s="23">
        <f>[2]底表!DA214</f>
        <v>0.7276</v>
      </c>
      <c r="BO214" s="21">
        <f>[2]底表!DB214</f>
        <v>2899</v>
      </c>
      <c r="BP214" s="21">
        <f>[2]底表!DC214</f>
        <v>-0.1007</v>
      </c>
      <c r="BQ214" s="21">
        <f>[2]底表!DD214</f>
        <v>0.7082</v>
      </c>
      <c r="BR214" s="21">
        <f>[2]底表!DE214</f>
        <v>0.2549</v>
      </c>
      <c r="BS214" s="21">
        <f>[2]底表!DF214</f>
        <v>82</v>
      </c>
      <c r="BT214" s="21">
        <f>[2]底表!DG214</f>
        <v>25</v>
      </c>
      <c r="BU214" s="21">
        <f>[2]底表!DH214</f>
        <v>0.4472</v>
      </c>
      <c r="BV214" s="21">
        <f>[2]底表!DI214</f>
        <v>2519</v>
      </c>
      <c r="BW214" s="21">
        <f>[2]底表!DJ214</f>
        <v>1509</v>
      </c>
      <c r="BX214" s="23">
        <f>[2]底表!DK214</f>
        <v>0.6693</v>
      </c>
      <c r="BY214" s="21">
        <f>[2]底表!DL214</f>
        <v>2830</v>
      </c>
      <c r="BZ214" s="21">
        <f>[2]底表!DM214</f>
        <v>-0.1099</v>
      </c>
      <c r="CA214" s="21">
        <f>[2]底表!DN214</f>
        <v>2649</v>
      </c>
      <c r="CB214" s="21">
        <f>[2]底表!DO214</f>
        <v>2073</v>
      </c>
      <c r="CC214" s="21">
        <f>[2]底表!DP214</f>
        <v>0.2779</v>
      </c>
      <c r="CD214" s="21">
        <f>[2]底表!DQ214</f>
        <v>2997</v>
      </c>
      <c r="CE214" s="21">
        <f>[2]底表!DR214</f>
        <v>-0.1161</v>
      </c>
      <c r="CF214" s="21">
        <f>[2]底表!DS214</f>
        <v>2652</v>
      </c>
      <c r="CG214" s="21">
        <f>[2]底表!DT214</f>
        <v>2073</v>
      </c>
      <c r="CH214" s="21">
        <f>[2]底表!DU214</f>
        <v>0.2793</v>
      </c>
      <c r="CI214" s="21">
        <f>[2]底表!DV214</f>
        <v>3003</v>
      </c>
      <c r="CJ214" s="21">
        <f>[2]底表!DW214</f>
        <v>-0.1169</v>
      </c>
      <c r="CK214" s="21">
        <f>[2]底表!DX214</f>
        <v>23</v>
      </c>
      <c r="CL214" s="21">
        <f>[2]底表!DY214</f>
        <v>22</v>
      </c>
      <c r="CM214" s="21">
        <f>[2]底表!DZ214</f>
        <v>0.0455</v>
      </c>
      <c r="CN214" s="21">
        <f>[2]底表!EA214</f>
        <v>35</v>
      </c>
      <c r="CO214" s="21">
        <f>[2]底表!EB214</f>
        <v>-0.3429</v>
      </c>
      <c r="CP214" s="21">
        <f>[2]底表!EC214</f>
        <v>49</v>
      </c>
      <c r="CQ214" s="21">
        <f>[2]底表!ED214</f>
        <v>43</v>
      </c>
      <c r="CR214" s="21">
        <f>[2]底表!EE214</f>
        <v>0.1395</v>
      </c>
      <c r="CS214" s="21">
        <f>[2]底表!EF214</f>
        <v>64</v>
      </c>
      <c r="CT214" s="21">
        <f>[2]底表!EG214</f>
        <v>-0.2344</v>
      </c>
      <c r="CU214" s="21">
        <f>[2]底表!EH214</f>
        <v>0.0663</v>
      </c>
      <c r="CV214" s="21">
        <f>[2]底表!EI214</f>
        <v>-0.105</v>
      </c>
      <c r="CW214" s="21">
        <f>[2]底表!EJ214</f>
        <v>2</v>
      </c>
      <c r="CX214" s="21">
        <f>[2]底表!EK214</f>
        <v>0</v>
      </c>
      <c r="CY214" s="21">
        <f>[2]底表!EL214</f>
        <v>-0.0454</v>
      </c>
      <c r="CZ214" s="21">
        <f>[2]底表!EM214</f>
        <v>64</v>
      </c>
      <c r="DA214" s="21">
        <f>[2]底表!EN214</f>
        <v>66</v>
      </c>
      <c r="DB214" s="21">
        <f>[2]底表!EO214</f>
        <v>-0.0303</v>
      </c>
      <c r="DC214" s="21">
        <f>[2]底表!EP214</f>
        <v>74</v>
      </c>
      <c r="DD214" s="21">
        <f>[2]底表!EQ214</f>
        <v>-0.1351</v>
      </c>
      <c r="DE214" s="21">
        <f>[2]底表!ER214</f>
        <v>2527</v>
      </c>
      <c r="DF214" s="21">
        <f>[2]底表!ES214</f>
        <v>1913</v>
      </c>
      <c r="DG214" s="23">
        <f>[2]底表!ET214</f>
        <v>0.321</v>
      </c>
      <c r="DH214" s="21">
        <f>[2]底表!EU214</f>
        <v>3433</v>
      </c>
      <c r="DI214" s="21">
        <f>[2]底表!EV214</f>
        <v>-0.2639</v>
      </c>
      <c r="DJ214" s="21">
        <f>[2]底表!EW214</f>
        <v>3.4195</v>
      </c>
      <c r="DK214" s="21">
        <f>[2]底表!EX214</f>
        <v>-4.202</v>
      </c>
      <c r="DL214" s="21">
        <f>[2]底表!EY214</f>
        <v>79</v>
      </c>
      <c r="DM214" s="21">
        <f>[2]底表!EZ214</f>
        <v>8</v>
      </c>
      <c r="DN214" s="21">
        <f>[2]底表!FA214</f>
        <v>0.1065</v>
      </c>
      <c r="DO214" s="21">
        <f>[2]底表!BQ214</f>
        <v>2413</v>
      </c>
      <c r="DP214" s="21">
        <f>[2]底表!BR214</f>
        <v>1905</v>
      </c>
      <c r="DQ214" s="24">
        <f>[2]底表!BS214</f>
        <v>0.2667</v>
      </c>
    </row>
    <row r="215" s="2" customFormat="1" ht="32" hidden="1" customHeight="1" spans="1:121">
      <c r="A215" s="27" t="str">
        <f>[2]底表!A215</f>
        <v>危险驾驶案</v>
      </c>
      <c r="B215" s="28" t="str">
        <f>[2]底表!B215</f>
        <v>云浮</v>
      </c>
      <c r="C215" s="21">
        <f>[2]底表!AM215</f>
        <v>10</v>
      </c>
      <c r="D215" s="21">
        <f>[2]底表!AN215</f>
        <v>9</v>
      </c>
      <c r="E215" s="23">
        <f>[2]底表!AO215</f>
        <v>0.1111</v>
      </c>
      <c r="F215" s="21">
        <f>[2]底表!AP215</f>
        <v>34</v>
      </c>
      <c r="G215" s="21">
        <f>[2]底表!AQ215</f>
        <v>-0.7059</v>
      </c>
      <c r="H215" s="21">
        <f>[2]底表!AR215</f>
        <v>0.4</v>
      </c>
      <c r="I215" s="21">
        <f>[2]底表!AS215</f>
        <v>0.0538</v>
      </c>
      <c r="J215" s="21">
        <f>[2]底表!AT215</f>
        <v>12</v>
      </c>
      <c r="K215" s="21">
        <f>[2]底表!AU215</f>
        <v>13</v>
      </c>
      <c r="L215" s="21">
        <f>[2]底表!AV215</f>
        <v>-0.0769</v>
      </c>
      <c r="M215" s="21">
        <f>[2]底表!AW215</f>
        <v>17</v>
      </c>
      <c r="N215" s="21">
        <f>[2]底表!AX215</f>
        <v>-0.2941</v>
      </c>
      <c r="O215" s="21">
        <f>[2]底表!AY215</f>
        <v>6</v>
      </c>
      <c r="P215" s="21">
        <f>[2]底表!AZ215</f>
        <v>0</v>
      </c>
      <c r="Q215" s="21" t="str">
        <f>[2]底表!BA215</f>
        <v>多6起</v>
      </c>
      <c r="R215" s="21">
        <f>[2]底表!BB215</f>
        <v>34</v>
      </c>
      <c r="S215" s="21">
        <f>[2]底表!BC215</f>
        <v>-0.8235</v>
      </c>
      <c r="T215" s="21">
        <f>[2]底表!BD215</f>
        <v>0.5</v>
      </c>
      <c r="U215" s="21">
        <f>[2]底表!BE215</f>
        <v>0.5</v>
      </c>
      <c r="V215" s="21">
        <f>[2]底表!BF215</f>
        <v>13</v>
      </c>
      <c r="W215" s="21">
        <f>[2]底表!BG215</f>
        <v>13</v>
      </c>
      <c r="X215" s="21">
        <f>[2]底表!BH215</f>
        <v>0</v>
      </c>
      <c r="Y215" s="21">
        <f>[2]底表!BI215</f>
        <v>0</v>
      </c>
      <c r="Z215" s="21" t="str">
        <f>[2]底表!BJ215</f>
        <v>多13起</v>
      </c>
      <c r="AA215" s="21">
        <f>[2]底表!BK215</f>
        <v>0.52</v>
      </c>
      <c r="AB215" s="21">
        <f>[2]底表!BL215</f>
        <v>4</v>
      </c>
      <c r="AC215" s="21">
        <f>[2]底表!BM215</f>
        <v>9</v>
      </c>
      <c r="AD215" s="21">
        <f>[2]底表!BN215</f>
        <v>-0.5556</v>
      </c>
      <c r="AE215" s="21">
        <f>[2]底表!BO215</f>
        <v>0</v>
      </c>
      <c r="AF215" s="21" t="str">
        <f>[2]底表!BP215</f>
        <v>多4起</v>
      </c>
      <c r="AG215" s="21">
        <f>[2]底表!BT215</f>
        <v>34</v>
      </c>
      <c r="AH215" s="21">
        <f>[2]底表!BU215</f>
        <v>-0.7353</v>
      </c>
      <c r="AI215" s="21">
        <f>[2]底表!BV215</f>
        <v>0.36</v>
      </c>
      <c r="AJ215" s="21">
        <f>[2]底表!BW215</f>
        <v>-0.6015</v>
      </c>
      <c r="AK215" s="21">
        <f>[2]底表!BX215</f>
        <v>0.75</v>
      </c>
      <c r="AL215" s="21">
        <f>[2]底表!BY215</f>
        <v>-1.1731</v>
      </c>
      <c r="AM215" s="21">
        <f>[2]底表!BZ215</f>
        <v>0</v>
      </c>
      <c r="AN215" s="21">
        <f>[2]底表!CA215</f>
        <v>0</v>
      </c>
      <c r="AO215" s="21" t="str">
        <f>[2]底表!CB215</f>
        <v>持平</v>
      </c>
      <c r="AP215" s="21">
        <f>[2]底表!CC215</f>
        <v>0</v>
      </c>
      <c r="AQ215" s="21" t="str">
        <f>[2]底表!CD215</f>
        <v>持平</v>
      </c>
      <c r="AR215" s="21" t="str">
        <f>[2]底表!CE215</f>
        <v/>
      </c>
      <c r="AS215" s="21" t="str">
        <f>[2]底表!CF215</f>
        <v/>
      </c>
      <c r="AT215" s="21">
        <f>[2]底表!CG215</f>
        <v>14</v>
      </c>
      <c r="AU215" s="21">
        <f>[2]底表!CH215</f>
        <v>19</v>
      </c>
      <c r="AV215" s="21">
        <f>[2]底表!CI215</f>
        <v>-0.2632</v>
      </c>
      <c r="AW215" s="21">
        <f>[2]底表!CJ215</f>
        <v>7</v>
      </c>
      <c r="AX215" s="21">
        <f>[2]底表!CK215</f>
        <v>1</v>
      </c>
      <c r="AY215" s="21">
        <f>[2]底表!CL215</f>
        <v>56</v>
      </c>
      <c r="AZ215" s="21">
        <f>[2]底表!CM215</f>
        <v>-17</v>
      </c>
      <c r="BA215" s="21">
        <f>[2]底表!CN215</f>
        <v>-0.2337</v>
      </c>
      <c r="BB215" s="21">
        <f>[2]底表!CO215</f>
        <v>2</v>
      </c>
      <c r="BC215" s="21">
        <f>[2]底表!CP215</f>
        <v>1</v>
      </c>
      <c r="BD215" s="21">
        <f>[2]底表!CQ215</f>
        <v>1</v>
      </c>
      <c r="BE215" s="21">
        <f>[2]底表!CR215</f>
        <v>1</v>
      </c>
      <c r="BF215" s="21">
        <f>[2]底表!CS215</f>
        <v>1</v>
      </c>
      <c r="BG215" s="21">
        <f>[2]底表!CT215</f>
        <v>0.1429</v>
      </c>
      <c r="BH215" s="21">
        <f>[2]底表!CU215</f>
        <v>0.0902</v>
      </c>
      <c r="BI215" s="21">
        <f>[2]底表!CV215</f>
        <v>8</v>
      </c>
      <c r="BJ215" s="21">
        <f>[2]底表!CW215</f>
        <v>4</v>
      </c>
      <c r="BK215" s="21">
        <f>[2]底表!CX215</f>
        <v>1.08</v>
      </c>
      <c r="BL215" s="21">
        <f>[2]底表!CY215</f>
        <v>3</v>
      </c>
      <c r="BM215" s="21">
        <f>[2]底表!CZ215</f>
        <v>4</v>
      </c>
      <c r="BN215" s="23">
        <f>[2]底表!DA215</f>
        <v>-0.25</v>
      </c>
      <c r="BO215" s="21">
        <f>[2]底表!DB215</f>
        <v>2</v>
      </c>
      <c r="BP215" s="21">
        <f>[2]底表!DC215</f>
        <v>0.5</v>
      </c>
      <c r="BQ215" s="21">
        <f>[2]底表!DD215</f>
        <v>0.2143</v>
      </c>
      <c r="BR215" s="21">
        <f>[2]底表!DE215</f>
        <v>0.0038</v>
      </c>
      <c r="BS215" s="21">
        <f>[2]底表!DF215</f>
        <v>12</v>
      </c>
      <c r="BT215" s="21">
        <f>[2]底表!DG215</f>
        <v>-3</v>
      </c>
      <c r="BU215" s="21">
        <f>[2]底表!DH215</f>
        <v>-0.22</v>
      </c>
      <c r="BV215" s="21">
        <f>[2]底表!DI215</f>
        <v>3</v>
      </c>
      <c r="BW215" s="21">
        <f>[2]底表!DJ215</f>
        <v>4</v>
      </c>
      <c r="BX215" s="23">
        <f>[2]底表!DK215</f>
        <v>-0.25</v>
      </c>
      <c r="BY215" s="21">
        <f>[2]底表!DL215</f>
        <v>1</v>
      </c>
      <c r="BZ215" s="21">
        <f>[2]底表!DM215</f>
        <v>2</v>
      </c>
      <c r="CA215" s="21">
        <f>[2]底表!DN215</f>
        <v>12</v>
      </c>
      <c r="CB215" s="21">
        <f>[2]底表!DO215</f>
        <v>21</v>
      </c>
      <c r="CC215" s="21">
        <f>[2]底表!DP215</f>
        <v>-0.4286</v>
      </c>
      <c r="CD215" s="21">
        <f>[2]底表!DQ215</f>
        <v>25</v>
      </c>
      <c r="CE215" s="21">
        <f>[2]底表!DR215</f>
        <v>-0.52</v>
      </c>
      <c r="CF215" s="21">
        <f>[2]底表!DS215</f>
        <v>12</v>
      </c>
      <c r="CG215" s="21">
        <f>[2]底表!DT215</f>
        <v>21</v>
      </c>
      <c r="CH215" s="21">
        <f>[2]底表!DU215</f>
        <v>-0.4286</v>
      </c>
      <c r="CI215" s="21">
        <f>[2]底表!DV215</f>
        <v>25</v>
      </c>
      <c r="CJ215" s="21">
        <f>[2]底表!DW215</f>
        <v>-0.52</v>
      </c>
      <c r="CK215" s="21">
        <f>[2]底表!DX215</f>
        <v>0</v>
      </c>
      <c r="CL215" s="21">
        <f>[2]底表!DY215</f>
        <v>0</v>
      </c>
      <c r="CM215" s="21" t="str">
        <f>[2]底表!DZ215</f>
        <v>持平</v>
      </c>
      <c r="CN215" s="21">
        <f>[2]底表!EA215</f>
        <v>0</v>
      </c>
      <c r="CO215" s="21" t="str">
        <f>[2]底表!EB215</f>
        <v>持平</v>
      </c>
      <c r="CP215" s="21">
        <f>[2]底表!EC215</f>
        <v>1</v>
      </c>
      <c r="CQ215" s="21">
        <f>[2]底表!ED215</f>
        <v>1</v>
      </c>
      <c r="CR215" s="21">
        <f>[2]底表!EE215</f>
        <v>0</v>
      </c>
      <c r="CS215" s="21">
        <f>[2]底表!EF215</f>
        <v>1</v>
      </c>
      <c r="CT215" s="21">
        <f>[2]底表!EG215</f>
        <v>0</v>
      </c>
      <c r="CU215" s="21">
        <f>[2]底表!EH215</f>
        <v>0.5</v>
      </c>
      <c r="CV215" s="21">
        <f>[2]底表!EI215</f>
        <v>-0.5</v>
      </c>
      <c r="CW215" s="21">
        <f>[2]底表!EJ215</f>
        <v>4</v>
      </c>
      <c r="CX215" s="21">
        <f>[2]底表!EK215</f>
        <v>0</v>
      </c>
      <c r="CY215" s="21">
        <f>[2]底表!EL215</f>
        <v>0.04</v>
      </c>
      <c r="CZ215" s="21">
        <f>[2]底表!EM215</f>
        <v>1</v>
      </c>
      <c r="DA215" s="21">
        <f>[2]底表!EN215</f>
        <v>1</v>
      </c>
      <c r="DB215" s="21">
        <f>[2]底表!EO215</f>
        <v>0</v>
      </c>
      <c r="DC215" s="21">
        <f>[2]底表!EP215</f>
        <v>1</v>
      </c>
      <c r="DD215" s="21">
        <f>[2]底表!EQ215</f>
        <v>0</v>
      </c>
      <c r="DE215" s="21">
        <f>[2]底表!ER215</f>
        <v>9</v>
      </c>
      <c r="DF215" s="21">
        <f>[2]底表!ES215</f>
        <v>26</v>
      </c>
      <c r="DG215" s="23">
        <f>[2]底表!ET215</f>
        <v>-0.6538</v>
      </c>
      <c r="DH215" s="21">
        <f>[2]底表!EU215</f>
        <v>34</v>
      </c>
      <c r="DI215" s="21">
        <f>[2]底表!EV215</f>
        <v>-0.7353</v>
      </c>
      <c r="DJ215" s="21">
        <f>[2]底表!EW215</f>
        <v>4.5</v>
      </c>
      <c r="DK215" s="21">
        <f>[2]底表!EX215</f>
        <v>-21.5</v>
      </c>
      <c r="DL215" s="21">
        <f>[2]底表!EY215</f>
        <v>36</v>
      </c>
      <c r="DM215" s="21">
        <f>[2]底表!EZ215</f>
        <v>-64</v>
      </c>
      <c r="DN215" s="21">
        <f>[2]底表!FA215</f>
        <v>-0.64</v>
      </c>
      <c r="DO215" s="21">
        <f>[2]底表!BQ215</f>
        <v>9</v>
      </c>
      <c r="DP215" s="21">
        <f>[2]底表!BR215</f>
        <v>25</v>
      </c>
      <c r="DQ215" s="24">
        <f>[2]底表!BS215</f>
        <v>-0.64</v>
      </c>
    </row>
    <row r="216" s="2" customFormat="1" ht="32" hidden="1" customHeight="1" spans="1:121">
      <c r="A216" s="27" t="str">
        <f>[2]底表!A216</f>
        <v>危险驾驶案</v>
      </c>
      <c r="B216" s="28" t="str">
        <f>[2]底表!B216</f>
        <v>云城区</v>
      </c>
      <c r="C216" s="21">
        <f>[2]底表!AM216</f>
        <v>0</v>
      </c>
      <c r="D216" s="21">
        <f>[2]底表!AN216</f>
        <v>0</v>
      </c>
      <c r="E216" s="23" t="str">
        <f>[2]底表!AO216</f>
        <v>持平</v>
      </c>
      <c r="F216" s="21">
        <f>[2]底表!AP216</f>
        <v>0</v>
      </c>
      <c r="G216" s="21" t="str">
        <f>[2]底表!AQ216</f>
        <v>持平</v>
      </c>
      <c r="H216" s="21" t="str">
        <f>[2]底表!AR216</f>
        <v/>
      </c>
      <c r="I216" s="21" t="str">
        <f>[2]底表!AS216</f>
        <v/>
      </c>
      <c r="J216" s="21">
        <f>[2]底表!AT216</f>
        <v>0</v>
      </c>
      <c r="K216" s="21">
        <f>[2]底表!AU216</f>
        <v>0</v>
      </c>
      <c r="L216" s="21" t="str">
        <f>[2]底表!AV216</f>
        <v>持平</v>
      </c>
      <c r="M216" s="21">
        <f>[2]底表!AW216</f>
        <v>0</v>
      </c>
      <c r="N216" s="21" t="str">
        <f>[2]底表!AX216</f>
        <v>持平</v>
      </c>
      <c r="O216" s="21">
        <f>[2]底表!AY216</f>
        <v>0</v>
      </c>
      <c r="P216" s="21">
        <f>[2]底表!AZ216</f>
        <v>0</v>
      </c>
      <c r="Q216" s="21" t="str">
        <f>[2]底表!BA216</f>
        <v>持平</v>
      </c>
      <c r="R216" s="21">
        <f>[2]底表!BB216</f>
        <v>0</v>
      </c>
      <c r="S216" s="21" t="str">
        <f>[2]底表!BC216</f>
        <v>持平</v>
      </c>
      <c r="T216" s="21" t="str">
        <f>[2]底表!BD216</f>
        <v/>
      </c>
      <c r="U216" s="21" t="str">
        <f>[2]底表!BE216</f>
        <v/>
      </c>
      <c r="V216" s="21">
        <f>[2]底表!BF216</f>
        <v>0</v>
      </c>
      <c r="W216" s="21">
        <f>[2]底表!BG216</f>
        <v>0</v>
      </c>
      <c r="X216" s="21" t="str">
        <f>[2]底表!BH216</f>
        <v>持平</v>
      </c>
      <c r="Y216" s="21">
        <f>[2]底表!BI216</f>
        <v>0</v>
      </c>
      <c r="Z216" s="21" t="str">
        <f>[2]底表!BJ216</f>
        <v>持平</v>
      </c>
      <c r="AA216" s="21" t="str">
        <f>[2]底表!BK216</f>
        <v/>
      </c>
      <c r="AB216" s="21">
        <f>[2]底表!BL216</f>
        <v>0</v>
      </c>
      <c r="AC216" s="21">
        <f>[2]底表!BM216</f>
        <v>0</v>
      </c>
      <c r="AD216" s="21" t="str">
        <f>[2]底表!BN216</f>
        <v>持平</v>
      </c>
      <c r="AE216" s="21">
        <f>[2]底表!BO216</f>
        <v>0</v>
      </c>
      <c r="AF216" s="21" t="str">
        <f>[2]底表!BP216</f>
        <v>持平</v>
      </c>
      <c r="AG216" s="21">
        <f>[2]底表!BT216</f>
        <v>0</v>
      </c>
      <c r="AH216" s="21" t="str">
        <f>[2]底表!BU216</f>
        <v>持平</v>
      </c>
      <c r="AI216" s="21" t="str">
        <f>[2]底表!BV216</f>
        <v/>
      </c>
      <c r="AJ216" s="21" t="str">
        <f>[2]底表!BW216</f>
        <v/>
      </c>
      <c r="AK216" s="21" t="str">
        <f>[2]底表!BX216</f>
        <v/>
      </c>
      <c r="AL216" s="21" t="str">
        <f>[2]底表!BY216</f>
        <v/>
      </c>
      <c r="AM216" s="21">
        <f>[2]底表!BZ216</f>
        <v>0</v>
      </c>
      <c r="AN216" s="21">
        <f>[2]底表!CA216</f>
        <v>0</v>
      </c>
      <c r="AO216" s="21" t="str">
        <f>[2]底表!CB216</f>
        <v>持平</v>
      </c>
      <c r="AP216" s="21">
        <f>[2]底表!CC216</f>
        <v>0</v>
      </c>
      <c r="AQ216" s="21" t="str">
        <f>[2]底表!CD216</f>
        <v>持平</v>
      </c>
      <c r="AR216" s="21" t="str">
        <f>[2]底表!CE216</f>
        <v/>
      </c>
      <c r="AS216" s="21" t="str">
        <f>[2]底表!CF216</f>
        <v/>
      </c>
      <c r="AT216" s="21">
        <f>[2]底表!CG216</f>
        <v>0</v>
      </c>
      <c r="AU216" s="21">
        <f>[2]底表!CH216</f>
        <v>0</v>
      </c>
      <c r="AV216" s="21" t="str">
        <f>[2]底表!CI216</f>
        <v>持平</v>
      </c>
      <c r="AW216" s="21">
        <f>[2]底表!CJ216</f>
        <v>0</v>
      </c>
      <c r="AX216" s="21" t="str">
        <f>[2]底表!CK216</f>
        <v>持平</v>
      </c>
      <c r="AY216" s="21" t="str">
        <f>[2]底表!CL216</f>
        <v/>
      </c>
      <c r="AZ216" s="21" t="str">
        <f>[2]底表!CM216</f>
        <v/>
      </c>
      <c r="BA216" s="21" t="str">
        <f>[2]底表!CN216</f>
        <v/>
      </c>
      <c r="BB216" s="21">
        <f>[2]底表!CO216</f>
        <v>0</v>
      </c>
      <c r="BC216" s="21">
        <f>[2]底表!CP216</f>
        <v>0</v>
      </c>
      <c r="BD216" s="21" t="str">
        <f>[2]底表!CQ216</f>
        <v>持平</v>
      </c>
      <c r="BE216" s="21">
        <f>[2]底表!CR216</f>
        <v>0</v>
      </c>
      <c r="BF216" s="21" t="str">
        <f>[2]底表!CS216</f>
        <v>持平</v>
      </c>
      <c r="BG216" s="21" t="str">
        <f>[2]底表!CT216</f>
        <v/>
      </c>
      <c r="BH216" s="21" t="str">
        <f>[2]底表!CU216</f>
        <v/>
      </c>
      <c r="BI216" s="21" t="str">
        <f>[2]底表!CV216</f>
        <v/>
      </c>
      <c r="BJ216" s="21" t="str">
        <f>[2]底表!CW216</f>
        <v/>
      </c>
      <c r="BK216" s="21" t="str">
        <f>[2]底表!CX216</f>
        <v/>
      </c>
      <c r="BL216" s="21">
        <f>[2]底表!CY216</f>
        <v>0</v>
      </c>
      <c r="BM216" s="21">
        <f>[2]底表!CZ216</f>
        <v>0</v>
      </c>
      <c r="BN216" s="23" t="str">
        <f>[2]底表!DA216</f>
        <v>持平</v>
      </c>
      <c r="BO216" s="21">
        <f>[2]底表!DB216</f>
        <v>0</v>
      </c>
      <c r="BP216" s="21" t="str">
        <f>[2]底表!DC216</f>
        <v>持平</v>
      </c>
      <c r="BQ216" s="21" t="str">
        <f>[2]底表!DD216</f>
        <v/>
      </c>
      <c r="BR216" s="21" t="str">
        <f>[2]底表!DE216</f>
        <v/>
      </c>
      <c r="BS216" s="21" t="str">
        <f>[2]底表!DF216</f>
        <v/>
      </c>
      <c r="BT216" s="21" t="str">
        <f>[2]底表!DG216</f>
        <v/>
      </c>
      <c r="BU216" s="21" t="str">
        <f>[2]底表!DH216</f>
        <v/>
      </c>
      <c r="BV216" s="21">
        <f>[2]底表!DI216</f>
        <v>0</v>
      </c>
      <c r="BW216" s="21">
        <f>[2]底表!DJ216</f>
        <v>0</v>
      </c>
      <c r="BX216" s="23" t="str">
        <f>[2]底表!DK216</f>
        <v>持平</v>
      </c>
      <c r="BY216" s="21">
        <f>[2]底表!DL216</f>
        <v>0</v>
      </c>
      <c r="BZ216" s="21" t="str">
        <f>[2]底表!DM216</f>
        <v>持平</v>
      </c>
      <c r="CA216" s="21">
        <f>[2]底表!DN216</f>
        <v>0</v>
      </c>
      <c r="CB216" s="21">
        <f>[2]底表!DO216</f>
        <v>0</v>
      </c>
      <c r="CC216" s="21" t="str">
        <f>[2]底表!DP216</f>
        <v>持平</v>
      </c>
      <c r="CD216" s="21">
        <f>[2]底表!DQ216</f>
        <v>0</v>
      </c>
      <c r="CE216" s="21" t="str">
        <f>[2]底表!DR216</f>
        <v>持平</v>
      </c>
      <c r="CF216" s="21">
        <f>[2]底表!DS216</f>
        <v>0</v>
      </c>
      <c r="CG216" s="21">
        <f>[2]底表!DT216</f>
        <v>0</v>
      </c>
      <c r="CH216" s="21" t="str">
        <f>[2]底表!DU216</f>
        <v>持平</v>
      </c>
      <c r="CI216" s="21">
        <f>[2]底表!DV216</f>
        <v>0</v>
      </c>
      <c r="CJ216" s="21" t="str">
        <f>[2]底表!DW216</f>
        <v>持平</v>
      </c>
      <c r="CK216" s="21">
        <f>[2]底表!DX216</f>
        <v>0</v>
      </c>
      <c r="CL216" s="21">
        <f>[2]底表!DY216</f>
        <v>0</v>
      </c>
      <c r="CM216" s="21" t="str">
        <f>[2]底表!DZ216</f>
        <v>持平</v>
      </c>
      <c r="CN216" s="21">
        <f>[2]底表!EA216</f>
        <v>0</v>
      </c>
      <c r="CO216" s="21" t="str">
        <f>[2]底表!EB216</f>
        <v>持平</v>
      </c>
      <c r="CP216" s="21">
        <f>[2]底表!EC216</f>
        <v>0</v>
      </c>
      <c r="CQ216" s="21">
        <f>[2]底表!ED216</f>
        <v>0</v>
      </c>
      <c r="CR216" s="21" t="str">
        <f>[2]底表!EE216</f>
        <v>持平</v>
      </c>
      <c r="CS216" s="21">
        <f>[2]底表!EF216</f>
        <v>0</v>
      </c>
      <c r="CT216" s="21" t="str">
        <f>[2]底表!EG216</f>
        <v>持平</v>
      </c>
      <c r="CU216" s="21" t="str">
        <f>[2]底表!EH216</f>
        <v/>
      </c>
      <c r="CV216" s="21" t="str">
        <f>[2]底表!EI216</f>
        <v/>
      </c>
      <c r="CW216" s="21" t="str">
        <f>[2]底表!EJ216</f>
        <v/>
      </c>
      <c r="CX216" s="21" t="str">
        <f>[2]底表!EK216</f>
        <v/>
      </c>
      <c r="CY216" s="21" t="str">
        <f>[2]底表!EL216</f>
        <v/>
      </c>
      <c r="CZ216" s="21">
        <f>[2]底表!EM216</f>
        <v>0</v>
      </c>
      <c r="DA216" s="21">
        <f>[2]底表!EN216</f>
        <v>0</v>
      </c>
      <c r="DB216" s="21" t="str">
        <f>[2]底表!EO216</f>
        <v>持平</v>
      </c>
      <c r="DC216" s="21">
        <f>[2]底表!EP216</f>
        <v>0</v>
      </c>
      <c r="DD216" s="21" t="str">
        <f>[2]底表!EQ216</f>
        <v>持平</v>
      </c>
      <c r="DE216" s="21">
        <f>[2]底表!ER216</f>
        <v>0</v>
      </c>
      <c r="DF216" s="21">
        <f>[2]底表!ES216</f>
        <v>0</v>
      </c>
      <c r="DG216" s="23" t="str">
        <f>[2]底表!ET216</f>
        <v>持平</v>
      </c>
      <c r="DH216" s="21">
        <f>[2]底表!EU216</f>
        <v>0</v>
      </c>
      <c r="DI216" s="21" t="str">
        <f>[2]底表!EV216</f>
        <v>持平</v>
      </c>
      <c r="DJ216" s="21" t="str">
        <f>[2]底表!EW216</f>
        <v/>
      </c>
      <c r="DK216" s="21" t="str">
        <f>[2]底表!EX216</f>
        <v/>
      </c>
      <c r="DL216" s="21" t="str">
        <f>[2]底表!EY216</f>
        <v/>
      </c>
      <c r="DM216" s="21" t="str">
        <f>[2]底表!EZ216</f>
        <v/>
      </c>
      <c r="DN216" s="21" t="str">
        <f>[2]底表!FA216</f>
        <v/>
      </c>
      <c r="DO216" s="21">
        <f>[2]底表!BQ216</f>
        <v>0</v>
      </c>
      <c r="DP216" s="21">
        <f>[2]底表!BR216</f>
        <v>0</v>
      </c>
      <c r="DQ216" s="24" t="str">
        <f>[2]底表!BS216</f>
        <v>持平</v>
      </c>
    </row>
    <row r="217" s="2" customFormat="1" ht="32" hidden="1" customHeight="1" spans="1:121">
      <c r="A217" s="27" t="str">
        <f>[2]底表!A217</f>
        <v>危险驾驶案</v>
      </c>
      <c r="B217" s="28" t="str">
        <f>[2]底表!B217</f>
        <v>云安区</v>
      </c>
      <c r="C217" s="21">
        <f>[2]底表!AM217</f>
        <v>0</v>
      </c>
      <c r="D217" s="21">
        <f>[2]底表!AN217</f>
        <v>0</v>
      </c>
      <c r="E217" s="23" t="str">
        <f>[2]底表!AO217</f>
        <v>持平</v>
      </c>
      <c r="F217" s="21">
        <f>[2]底表!AP217</f>
        <v>0</v>
      </c>
      <c r="G217" s="21" t="str">
        <f>[2]底表!AQ217</f>
        <v>持平</v>
      </c>
      <c r="H217" s="21" t="str">
        <f>[2]底表!AR217</f>
        <v/>
      </c>
      <c r="I217" s="21" t="str">
        <f>[2]底表!AS217</f>
        <v/>
      </c>
      <c r="J217" s="21">
        <f>[2]底表!AT217</f>
        <v>0</v>
      </c>
      <c r="K217" s="21">
        <f>[2]底表!AU217</f>
        <v>0</v>
      </c>
      <c r="L217" s="21" t="str">
        <f>[2]底表!AV217</f>
        <v>持平</v>
      </c>
      <c r="M217" s="21">
        <f>[2]底表!AW217</f>
        <v>0</v>
      </c>
      <c r="N217" s="21" t="str">
        <f>[2]底表!AX217</f>
        <v>持平</v>
      </c>
      <c r="O217" s="21">
        <f>[2]底表!AY217</f>
        <v>0</v>
      </c>
      <c r="P217" s="21">
        <f>[2]底表!AZ217</f>
        <v>0</v>
      </c>
      <c r="Q217" s="21" t="str">
        <f>[2]底表!BA217</f>
        <v>持平</v>
      </c>
      <c r="R217" s="21">
        <f>[2]底表!BB217</f>
        <v>0</v>
      </c>
      <c r="S217" s="21" t="str">
        <f>[2]底表!BC217</f>
        <v>持平</v>
      </c>
      <c r="T217" s="21" t="str">
        <f>[2]底表!BD217</f>
        <v/>
      </c>
      <c r="U217" s="21" t="str">
        <f>[2]底表!BE217</f>
        <v/>
      </c>
      <c r="V217" s="21">
        <f>[2]底表!BF217</f>
        <v>0</v>
      </c>
      <c r="W217" s="21">
        <f>[2]底表!BG217</f>
        <v>0</v>
      </c>
      <c r="X217" s="21" t="str">
        <f>[2]底表!BH217</f>
        <v>持平</v>
      </c>
      <c r="Y217" s="21">
        <f>[2]底表!BI217</f>
        <v>0</v>
      </c>
      <c r="Z217" s="21" t="str">
        <f>[2]底表!BJ217</f>
        <v>持平</v>
      </c>
      <c r="AA217" s="21" t="str">
        <f>[2]底表!BK217</f>
        <v/>
      </c>
      <c r="AB217" s="21">
        <f>[2]底表!BL217</f>
        <v>0</v>
      </c>
      <c r="AC217" s="21">
        <f>[2]底表!BM217</f>
        <v>0</v>
      </c>
      <c r="AD217" s="21" t="str">
        <f>[2]底表!BN217</f>
        <v>持平</v>
      </c>
      <c r="AE217" s="21">
        <f>[2]底表!BO217</f>
        <v>0</v>
      </c>
      <c r="AF217" s="21" t="str">
        <f>[2]底表!BP217</f>
        <v>持平</v>
      </c>
      <c r="AG217" s="21">
        <f>[2]底表!BT217</f>
        <v>0</v>
      </c>
      <c r="AH217" s="21" t="str">
        <f>[2]底表!BU217</f>
        <v>持平</v>
      </c>
      <c r="AI217" s="21" t="str">
        <f>[2]底表!BV217</f>
        <v/>
      </c>
      <c r="AJ217" s="21" t="str">
        <f>[2]底表!BW217</f>
        <v/>
      </c>
      <c r="AK217" s="21" t="str">
        <f>[2]底表!BX217</f>
        <v/>
      </c>
      <c r="AL217" s="21" t="str">
        <f>[2]底表!BY217</f>
        <v/>
      </c>
      <c r="AM217" s="21">
        <f>[2]底表!BZ217</f>
        <v>0</v>
      </c>
      <c r="AN217" s="21">
        <f>[2]底表!CA217</f>
        <v>0</v>
      </c>
      <c r="AO217" s="21" t="str">
        <f>[2]底表!CB217</f>
        <v>持平</v>
      </c>
      <c r="AP217" s="21">
        <f>[2]底表!CC217</f>
        <v>0</v>
      </c>
      <c r="AQ217" s="21" t="str">
        <f>[2]底表!CD217</f>
        <v>持平</v>
      </c>
      <c r="AR217" s="21" t="str">
        <f>[2]底表!CE217</f>
        <v/>
      </c>
      <c r="AS217" s="21" t="str">
        <f>[2]底表!CF217</f>
        <v/>
      </c>
      <c r="AT217" s="21">
        <f>[2]底表!CG217</f>
        <v>0</v>
      </c>
      <c r="AU217" s="21">
        <f>[2]底表!CH217</f>
        <v>0</v>
      </c>
      <c r="AV217" s="21" t="str">
        <f>[2]底表!CI217</f>
        <v>持平</v>
      </c>
      <c r="AW217" s="21">
        <f>[2]底表!CJ217</f>
        <v>0</v>
      </c>
      <c r="AX217" s="21" t="str">
        <f>[2]底表!CK217</f>
        <v>持平</v>
      </c>
      <c r="AY217" s="21" t="str">
        <f>[2]底表!CL217</f>
        <v/>
      </c>
      <c r="AZ217" s="21" t="str">
        <f>[2]底表!CM217</f>
        <v/>
      </c>
      <c r="BA217" s="21" t="str">
        <f>[2]底表!CN217</f>
        <v/>
      </c>
      <c r="BB217" s="21">
        <f>[2]底表!CO217</f>
        <v>0</v>
      </c>
      <c r="BC217" s="21">
        <f>[2]底表!CP217</f>
        <v>0</v>
      </c>
      <c r="BD217" s="21" t="str">
        <f>[2]底表!CQ217</f>
        <v>持平</v>
      </c>
      <c r="BE217" s="21">
        <f>[2]底表!CR217</f>
        <v>0</v>
      </c>
      <c r="BF217" s="21" t="str">
        <f>[2]底表!CS217</f>
        <v>持平</v>
      </c>
      <c r="BG217" s="21" t="str">
        <f>[2]底表!CT217</f>
        <v/>
      </c>
      <c r="BH217" s="21" t="str">
        <f>[2]底表!CU217</f>
        <v/>
      </c>
      <c r="BI217" s="21" t="str">
        <f>[2]底表!CV217</f>
        <v/>
      </c>
      <c r="BJ217" s="21" t="str">
        <f>[2]底表!CW217</f>
        <v/>
      </c>
      <c r="BK217" s="21" t="str">
        <f>[2]底表!CX217</f>
        <v/>
      </c>
      <c r="BL217" s="21">
        <f>[2]底表!CY217</f>
        <v>0</v>
      </c>
      <c r="BM217" s="21">
        <f>[2]底表!CZ217</f>
        <v>0</v>
      </c>
      <c r="BN217" s="23" t="str">
        <f>[2]底表!DA217</f>
        <v>持平</v>
      </c>
      <c r="BO217" s="21">
        <f>[2]底表!DB217</f>
        <v>0</v>
      </c>
      <c r="BP217" s="21" t="str">
        <f>[2]底表!DC217</f>
        <v>持平</v>
      </c>
      <c r="BQ217" s="21" t="str">
        <f>[2]底表!DD217</f>
        <v/>
      </c>
      <c r="BR217" s="21" t="str">
        <f>[2]底表!DE217</f>
        <v/>
      </c>
      <c r="BS217" s="21" t="str">
        <f>[2]底表!DF217</f>
        <v/>
      </c>
      <c r="BT217" s="21" t="str">
        <f>[2]底表!DG217</f>
        <v/>
      </c>
      <c r="BU217" s="21" t="str">
        <f>[2]底表!DH217</f>
        <v/>
      </c>
      <c r="BV217" s="21">
        <f>[2]底表!DI217</f>
        <v>0</v>
      </c>
      <c r="BW217" s="21">
        <f>[2]底表!DJ217</f>
        <v>0</v>
      </c>
      <c r="BX217" s="23" t="str">
        <f>[2]底表!DK217</f>
        <v>持平</v>
      </c>
      <c r="BY217" s="21">
        <f>[2]底表!DL217</f>
        <v>0</v>
      </c>
      <c r="BZ217" s="21" t="str">
        <f>[2]底表!DM217</f>
        <v>持平</v>
      </c>
      <c r="CA217" s="21">
        <f>[2]底表!DN217</f>
        <v>0</v>
      </c>
      <c r="CB217" s="21">
        <f>[2]底表!DO217</f>
        <v>0</v>
      </c>
      <c r="CC217" s="21" t="str">
        <f>[2]底表!DP217</f>
        <v>持平</v>
      </c>
      <c r="CD217" s="21">
        <f>[2]底表!DQ217</f>
        <v>0</v>
      </c>
      <c r="CE217" s="21" t="str">
        <f>[2]底表!DR217</f>
        <v>持平</v>
      </c>
      <c r="CF217" s="21">
        <f>[2]底表!DS217</f>
        <v>0</v>
      </c>
      <c r="CG217" s="21">
        <f>[2]底表!DT217</f>
        <v>0</v>
      </c>
      <c r="CH217" s="21" t="str">
        <f>[2]底表!DU217</f>
        <v>持平</v>
      </c>
      <c r="CI217" s="21">
        <f>[2]底表!DV217</f>
        <v>0</v>
      </c>
      <c r="CJ217" s="21" t="str">
        <f>[2]底表!DW217</f>
        <v>持平</v>
      </c>
      <c r="CK217" s="21">
        <f>[2]底表!DX217</f>
        <v>0</v>
      </c>
      <c r="CL217" s="21">
        <f>[2]底表!DY217</f>
        <v>0</v>
      </c>
      <c r="CM217" s="21" t="str">
        <f>[2]底表!DZ217</f>
        <v>持平</v>
      </c>
      <c r="CN217" s="21">
        <f>[2]底表!EA217</f>
        <v>0</v>
      </c>
      <c r="CO217" s="21" t="str">
        <f>[2]底表!EB217</f>
        <v>持平</v>
      </c>
      <c r="CP217" s="21">
        <f>[2]底表!EC217</f>
        <v>0</v>
      </c>
      <c r="CQ217" s="21">
        <f>[2]底表!ED217</f>
        <v>0</v>
      </c>
      <c r="CR217" s="21" t="str">
        <f>[2]底表!EE217</f>
        <v>持平</v>
      </c>
      <c r="CS217" s="21">
        <f>[2]底表!EF217</f>
        <v>0</v>
      </c>
      <c r="CT217" s="21" t="str">
        <f>[2]底表!EG217</f>
        <v>持平</v>
      </c>
      <c r="CU217" s="21" t="str">
        <f>[2]底表!EH217</f>
        <v/>
      </c>
      <c r="CV217" s="21" t="str">
        <f>[2]底表!EI217</f>
        <v/>
      </c>
      <c r="CW217" s="21" t="str">
        <f>[2]底表!EJ217</f>
        <v/>
      </c>
      <c r="CX217" s="21" t="str">
        <f>[2]底表!EK217</f>
        <v/>
      </c>
      <c r="CY217" s="21" t="str">
        <f>[2]底表!EL217</f>
        <v/>
      </c>
      <c r="CZ217" s="21">
        <f>[2]底表!EM217</f>
        <v>0</v>
      </c>
      <c r="DA217" s="21">
        <f>[2]底表!EN217</f>
        <v>0</v>
      </c>
      <c r="DB217" s="21" t="str">
        <f>[2]底表!EO217</f>
        <v>持平</v>
      </c>
      <c r="DC217" s="21">
        <f>[2]底表!EP217</f>
        <v>0</v>
      </c>
      <c r="DD217" s="21" t="str">
        <f>[2]底表!EQ217</f>
        <v>持平</v>
      </c>
      <c r="DE217" s="21">
        <f>[2]底表!ER217</f>
        <v>0</v>
      </c>
      <c r="DF217" s="21">
        <f>[2]底表!ES217</f>
        <v>0</v>
      </c>
      <c r="DG217" s="23" t="str">
        <f>[2]底表!ET217</f>
        <v>持平</v>
      </c>
      <c r="DH217" s="21">
        <f>[2]底表!EU217</f>
        <v>0</v>
      </c>
      <c r="DI217" s="21" t="str">
        <f>[2]底表!EV217</f>
        <v>持平</v>
      </c>
      <c r="DJ217" s="21" t="str">
        <f>[2]底表!EW217</f>
        <v/>
      </c>
      <c r="DK217" s="21" t="str">
        <f>[2]底表!EX217</f>
        <v/>
      </c>
      <c r="DL217" s="21" t="str">
        <f>[2]底表!EY217</f>
        <v/>
      </c>
      <c r="DM217" s="21" t="str">
        <f>[2]底表!EZ217</f>
        <v/>
      </c>
      <c r="DN217" s="21" t="str">
        <f>[2]底表!FA217</f>
        <v/>
      </c>
      <c r="DO217" s="21">
        <f>[2]底表!BQ217</f>
        <v>0</v>
      </c>
      <c r="DP217" s="21">
        <f>[2]底表!BR217</f>
        <v>0</v>
      </c>
      <c r="DQ217" s="24" t="str">
        <f>[2]底表!BS217</f>
        <v>持平</v>
      </c>
    </row>
    <row r="218" s="2" customFormat="1" ht="32" hidden="1" customHeight="1" spans="1:121">
      <c r="A218" s="27" t="str">
        <f>[2]底表!A218</f>
        <v>危险驾驶案</v>
      </c>
      <c r="B218" s="28" t="str">
        <f>[2]底表!B218</f>
        <v>新兴县</v>
      </c>
      <c r="C218" s="21">
        <f>[2]底表!AM218</f>
        <v>0</v>
      </c>
      <c r="D218" s="21">
        <f>[2]底表!AN218</f>
        <v>2</v>
      </c>
      <c r="E218" s="23" t="str">
        <f>[2]底表!AO218</f>
        <v>少2起</v>
      </c>
      <c r="F218" s="21">
        <f>[2]底表!AP218</f>
        <v>11</v>
      </c>
      <c r="G218" s="21" t="str">
        <f>[2]底表!AQ218</f>
        <v>少11起</v>
      </c>
      <c r="H218" s="21">
        <f>[2]底表!AR218</f>
        <v>0</v>
      </c>
      <c r="I218" s="21">
        <f>[2]底表!AS218</f>
        <v>-1</v>
      </c>
      <c r="J218" s="21">
        <f>[2]底表!AT218</f>
        <v>2</v>
      </c>
      <c r="K218" s="21">
        <f>[2]底表!AU218</f>
        <v>0</v>
      </c>
      <c r="L218" s="21" t="str">
        <f>[2]底表!AV218</f>
        <v>多2起</v>
      </c>
      <c r="M218" s="21">
        <f>[2]底表!AW218</f>
        <v>3</v>
      </c>
      <c r="N218" s="21">
        <f>[2]底表!AX218</f>
        <v>-0.3333</v>
      </c>
      <c r="O218" s="21">
        <f>[2]底表!AY218</f>
        <v>0</v>
      </c>
      <c r="P218" s="21">
        <f>[2]底表!AZ218</f>
        <v>0</v>
      </c>
      <c r="Q218" s="21" t="str">
        <f>[2]底表!BA218</f>
        <v>持平</v>
      </c>
      <c r="R218" s="21">
        <f>[2]底表!BB218</f>
        <v>11</v>
      </c>
      <c r="S218" s="21" t="str">
        <f>[2]底表!BC218</f>
        <v>少11起</v>
      </c>
      <c r="T218" s="21">
        <f>[2]底表!BD218</f>
        <v>0</v>
      </c>
      <c r="U218" s="21" t="str">
        <f>[2]底表!BE218</f>
        <v/>
      </c>
      <c r="V218" s="21">
        <f>[2]底表!BF218</f>
        <v>1</v>
      </c>
      <c r="W218" s="21">
        <f>[2]底表!BG218</f>
        <v>2</v>
      </c>
      <c r="X218" s="21">
        <f>[2]底表!BH218</f>
        <v>-0.5</v>
      </c>
      <c r="Y218" s="21">
        <f>[2]底表!BI218</f>
        <v>0</v>
      </c>
      <c r="Z218" s="21" t="str">
        <f>[2]底表!BJ218</f>
        <v>多1起</v>
      </c>
      <c r="AA218" s="21">
        <f>[2]底表!BK218</f>
        <v>0.3333</v>
      </c>
      <c r="AB218" s="21">
        <f>[2]底表!BL218</f>
        <v>0</v>
      </c>
      <c r="AC218" s="21">
        <f>[2]底表!BM218</f>
        <v>2</v>
      </c>
      <c r="AD218" s="21" t="str">
        <f>[2]底表!BN218</f>
        <v>少2起</v>
      </c>
      <c r="AE218" s="21">
        <f>[2]底表!BO218</f>
        <v>0</v>
      </c>
      <c r="AF218" s="21" t="str">
        <f>[2]底表!BP218</f>
        <v>持平</v>
      </c>
      <c r="AG218" s="21">
        <f>[2]底表!BT218</f>
        <v>11</v>
      </c>
      <c r="AH218" s="21" t="str">
        <f>[2]底表!BU218</f>
        <v>少11起</v>
      </c>
      <c r="AI218" s="21">
        <f>[2]底表!BV218</f>
        <v>0</v>
      </c>
      <c r="AJ218" s="21">
        <f>[2]底表!BW218</f>
        <v>-1</v>
      </c>
      <c r="AK218" s="21">
        <f>[2]底表!BX218</f>
        <v>0</v>
      </c>
      <c r="AL218" s="21" t="str">
        <f>[2]底表!BY218</f>
        <v/>
      </c>
      <c r="AM218" s="21">
        <f>[2]底表!BZ218</f>
        <v>0</v>
      </c>
      <c r="AN218" s="21">
        <f>[2]底表!CA218</f>
        <v>0</v>
      </c>
      <c r="AO218" s="21" t="str">
        <f>[2]底表!CB218</f>
        <v>持平</v>
      </c>
      <c r="AP218" s="21">
        <f>[2]底表!CC218</f>
        <v>0</v>
      </c>
      <c r="AQ218" s="21" t="str">
        <f>[2]底表!CD218</f>
        <v>持平</v>
      </c>
      <c r="AR218" s="21" t="str">
        <f>[2]底表!CE218</f>
        <v/>
      </c>
      <c r="AS218" s="21" t="str">
        <f>[2]底表!CF218</f>
        <v/>
      </c>
      <c r="AT218" s="21">
        <f>[2]底表!CG218</f>
        <v>2</v>
      </c>
      <c r="AU218" s="21">
        <f>[2]底表!CH218</f>
        <v>2</v>
      </c>
      <c r="AV218" s="21">
        <f>[2]底表!CI218</f>
        <v>0</v>
      </c>
      <c r="AW218" s="21">
        <f>[2]底表!CJ218</f>
        <v>1</v>
      </c>
      <c r="AX218" s="21">
        <f>[2]底表!CK218</f>
        <v>1</v>
      </c>
      <c r="AY218" s="21">
        <f>[2]底表!CL218</f>
        <v>67</v>
      </c>
      <c r="AZ218" s="21">
        <f>[2]底表!CM218</f>
        <v>-33</v>
      </c>
      <c r="BA218" s="21">
        <f>[2]底表!CN218</f>
        <v>-0.3333</v>
      </c>
      <c r="BB218" s="21">
        <f>[2]底表!CO218</f>
        <v>1</v>
      </c>
      <c r="BC218" s="21">
        <f>[2]底表!CP218</f>
        <v>0</v>
      </c>
      <c r="BD218" s="21" t="str">
        <f>[2]底表!CQ218</f>
        <v>多1人</v>
      </c>
      <c r="BE218" s="21">
        <f>[2]底表!CR218</f>
        <v>0</v>
      </c>
      <c r="BF218" s="21" t="str">
        <f>[2]底表!CS218</f>
        <v>多1人</v>
      </c>
      <c r="BG218" s="21">
        <f>[2]底表!CT218</f>
        <v>0.5</v>
      </c>
      <c r="BH218" s="21">
        <f>[2]底表!CU218</f>
        <v>0.5</v>
      </c>
      <c r="BI218" s="21">
        <f>[2]底表!CV218</f>
        <v>33</v>
      </c>
      <c r="BJ218" s="21">
        <f>[2]底表!CW218</f>
        <v>33</v>
      </c>
      <c r="BK218" s="21" t="str">
        <f>[2]底表!CX218</f>
        <v/>
      </c>
      <c r="BL218" s="21">
        <f>[2]底表!CY218</f>
        <v>2</v>
      </c>
      <c r="BM218" s="21">
        <f>[2]底表!CZ218</f>
        <v>3</v>
      </c>
      <c r="BN218" s="23">
        <f>[2]底表!DA218</f>
        <v>-0.3333</v>
      </c>
      <c r="BO218" s="21">
        <f>[2]底表!DB218</f>
        <v>1</v>
      </c>
      <c r="BP218" s="21">
        <f>[2]底表!DC218</f>
        <v>1</v>
      </c>
      <c r="BQ218" s="21">
        <f>[2]底表!DD218</f>
        <v>1</v>
      </c>
      <c r="BR218" s="21">
        <f>[2]底表!DE218</f>
        <v>-0.5</v>
      </c>
      <c r="BS218" s="21">
        <f>[2]底表!DF218</f>
        <v>67</v>
      </c>
      <c r="BT218" s="21">
        <f>[2]底表!DG218</f>
        <v>-83</v>
      </c>
      <c r="BU218" s="21">
        <f>[2]底表!DH218</f>
        <v>-0.5556</v>
      </c>
      <c r="BV218" s="21">
        <f>[2]底表!DI218</f>
        <v>2</v>
      </c>
      <c r="BW218" s="21">
        <f>[2]底表!DJ218</f>
        <v>3</v>
      </c>
      <c r="BX218" s="23">
        <f>[2]底表!DK218</f>
        <v>-0.3333</v>
      </c>
      <c r="BY218" s="21">
        <f>[2]底表!DL218</f>
        <v>1</v>
      </c>
      <c r="BZ218" s="21">
        <f>[2]底表!DM218</f>
        <v>1</v>
      </c>
      <c r="CA218" s="21">
        <f>[2]底表!DN218</f>
        <v>3</v>
      </c>
      <c r="CB218" s="21">
        <f>[2]底表!DO218</f>
        <v>3</v>
      </c>
      <c r="CC218" s="21">
        <f>[2]底表!DP218</f>
        <v>0</v>
      </c>
      <c r="CD218" s="21">
        <f>[2]底表!DQ218</f>
        <v>4</v>
      </c>
      <c r="CE218" s="21">
        <f>[2]底表!DR218</f>
        <v>-0.25</v>
      </c>
      <c r="CF218" s="21">
        <f>[2]底表!DS218</f>
        <v>3</v>
      </c>
      <c r="CG218" s="21">
        <f>[2]底表!DT218</f>
        <v>3</v>
      </c>
      <c r="CH218" s="21">
        <f>[2]底表!DU218</f>
        <v>0</v>
      </c>
      <c r="CI218" s="21">
        <f>[2]底表!DV218</f>
        <v>4</v>
      </c>
      <c r="CJ218" s="21">
        <f>[2]底表!DW218</f>
        <v>-0.25</v>
      </c>
      <c r="CK218" s="21">
        <f>[2]底表!DX218</f>
        <v>0</v>
      </c>
      <c r="CL218" s="21">
        <f>[2]底表!DY218</f>
        <v>0</v>
      </c>
      <c r="CM218" s="21" t="str">
        <f>[2]底表!DZ218</f>
        <v>持平</v>
      </c>
      <c r="CN218" s="21">
        <f>[2]底表!EA218</f>
        <v>0</v>
      </c>
      <c r="CO218" s="21" t="str">
        <f>[2]底表!EB218</f>
        <v>持平</v>
      </c>
      <c r="CP218" s="21">
        <f>[2]底表!EC218</f>
        <v>0</v>
      </c>
      <c r="CQ218" s="21">
        <f>[2]底表!ED218</f>
        <v>0</v>
      </c>
      <c r="CR218" s="21" t="str">
        <f>[2]底表!EE218</f>
        <v>持平</v>
      </c>
      <c r="CS218" s="21">
        <f>[2]底表!EF218</f>
        <v>0</v>
      </c>
      <c r="CT218" s="21" t="str">
        <f>[2]底表!EG218</f>
        <v>持平</v>
      </c>
      <c r="CU218" s="21">
        <f>[2]底表!EH218</f>
        <v>0</v>
      </c>
      <c r="CV218" s="21" t="str">
        <f>[2]底表!EI218</f>
        <v/>
      </c>
      <c r="CW218" s="21">
        <f>[2]底表!EJ218</f>
        <v>0</v>
      </c>
      <c r="CX218" s="21">
        <f>[2]底表!EK218</f>
        <v>0</v>
      </c>
      <c r="CY218" s="21" t="str">
        <f>[2]底表!EL218</f>
        <v/>
      </c>
      <c r="CZ218" s="21">
        <f>[2]底表!EM218</f>
        <v>0</v>
      </c>
      <c r="DA218" s="21">
        <f>[2]底表!EN218</f>
        <v>0</v>
      </c>
      <c r="DB218" s="21" t="str">
        <f>[2]底表!EO218</f>
        <v>持平</v>
      </c>
      <c r="DC218" s="21">
        <f>[2]底表!EP218</f>
        <v>0</v>
      </c>
      <c r="DD218" s="21" t="str">
        <f>[2]底表!EQ218</f>
        <v>持平</v>
      </c>
      <c r="DE218" s="21">
        <f>[2]底表!ER218</f>
        <v>0</v>
      </c>
      <c r="DF218" s="21">
        <f>[2]底表!ES218</f>
        <v>2</v>
      </c>
      <c r="DG218" s="23" t="str">
        <f>[2]底表!ET218</f>
        <v>少2人</v>
      </c>
      <c r="DH218" s="21">
        <f>[2]底表!EU218</f>
        <v>11</v>
      </c>
      <c r="DI218" s="21" t="str">
        <f>[2]底表!EV218</f>
        <v>少11人</v>
      </c>
      <c r="DJ218" s="21">
        <f>[2]底表!EW218</f>
        <v>0</v>
      </c>
      <c r="DK218" s="21" t="str">
        <f>[2]底表!EX218</f>
        <v/>
      </c>
      <c r="DL218" s="21">
        <f>[2]底表!EY218</f>
        <v>0</v>
      </c>
      <c r="DM218" s="21">
        <f>[2]底表!EZ218</f>
        <v>-100</v>
      </c>
      <c r="DN218" s="21">
        <f>[2]底表!FA218</f>
        <v>-1</v>
      </c>
      <c r="DO218" s="21">
        <f>[2]底表!BQ218</f>
        <v>0</v>
      </c>
      <c r="DP218" s="21">
        <f>[2]底表!BR218</f>
        <v>2</v>
      </c>
      <c r="DQ218" s="24" t="str">
        <f>[2]底表!BS218</f>
        <v>少2起</v>
      </c>
    </row>
    <row r="219" s="2" customFormat="1" ht="32" hidden="1" customHeight="1" spans="1:121">
      <c r="A219" s="27" t="str">
        <f>[2]底表!A219</f>
        <v>危险驾驶案</v>
      </c>
      <c r="B219" s="28" t="str">
        <f>[2]底表!B219</f>
        <v>郁南县</v>
      </c>
      <c r="C219" s="21">
        <f>[2]底表!AM219</f>
        <v>4</v>
      </c>
      <c r="D219" s="21">
        <f>[2]底表!AN219</f>
        <v>0</v>
      </c>
      <c r="E219" s="23" t="str">
        <f>[2]底表!AO219</f>
        <v>多4起</v>
      </c>
      <c r="F219" s="21">
        <f>[2]底表!AP219</f>
        <v>4</v>
      </c>
      <c r="G219" s="21">
        <f>[2]底表!AQ219</f>
        <v>0</v>
      </c>
      <c r="H219" s="21">
        <f>[2]底表!AR219</f>
        <v>0.8</v>
      </c>
      <c r="I219" s="21">
        <f>[2]底表!AS219</f>
        <v>0.8</v>
      </c>
      <c r="J219" s="21">
        <f>[2]底表!AT219</f>
        <v>4</v>
      </c>
      <c r="K219" s="21">
        <f>[2]底表!AU219</f>
        <v>1</v>
      </c>
      <c r="L219" s="21">
        <f>[2]底表!AV219</f>
        <v>3</v>
      </c>
      <c r="M219" s="21">
        <f>[2]底表!AW219</f>
        <v>1</v>
      </c>
      <c r="N219" s="21">
        <f>[2]底表!AX219</f>
        <v>3</v>
      </c>
      <c r="O219" s="21">
        <f>[2]底表!AY219</f>
        <v>4</v>
      </c>
      <c r="P219" s="21">
        <f>[2]底表!AZ219</f>
        <v>0</v>
      </c>
      <c r="Q219" s="21" t="str">
        <f>[2]底表!BA219</f>
        <v>多4起</v>
      </c>
      <c r="R219" s="21">
        <f>[2]底表!BB219</f>
        <v>4</v>
      </c>
      <c r="S219" s="21">
        <f>[2]底表!BC219</f>
        <v>0</v>
      </c>
      <c r="T219" s="21">
        <f>[2]底表!BD219</f>
        <v>1</v>
      </c>
      <c r="U219" s="21">
        <f>[2]底表!BE219</f>
        <v>1</v>
      </c>
      <c r="V219" s="21">
        <f>[2]底表!BF219</f>
        <v>1</v>
      </c>
      <c r="W219" s="21">
        <f>[2]底表!BG219</f>
        <v>1</v>
      </c>
      <c r="X219" s="21">
        <f>[2]底表!BH219</f>
        <v>0</v>
      </c>
      <c r="Y219" s="21">
        <f>[2]底表!BI219</f>
        <v>0</v>
      </c>
      <c r="Z219" s="21" t="str">
        <f>[2]底表!BJ219</f>
        <v>多1起</v>
      </c>
      <c r="AA219" s="21">
        <f>[2]底表!BK219</f>
        <v>0.2</v>
      </c>
      <c r="AB219" s="21">
        <f>[2]底表!BL219</f>
        <v>0</v>
      </c>
      <c r="AC219" s="21">
        <f>[2]底表!BM219</f>
        <v>0</v>
      </c>
      <c r="AD219" s="21" t="str">
        <f>[2]底表!BN219</f>
        <v>持平</v>
      </c>
      <c r="AE219" s="21">
        <f>[2]底表!BO219</f>
        <v>0</v>
      </c>
      <c r="AF219" s="21" t="str">
        <f>[2]底表!BP219</f>
        <v>持平</v>
      </c>
      <c r="AG219" s="21">
        <f>[2]底表!BT219</f>
        <v>5</v>
      </c>
      <c r="AH219" s="21">
        <f>[2]底表!BU219</f>
        <v>-0.6</v>
      </c>
      <c r="AI219" s="21">
        <f>[2]底表!BV219</f>
        <v>0.4</v>
      </c>
      <c r="AJ219" s="21">
        <f>[2]底表!BW219</f>
        <v>0.4</v>
      </c>
      <c r="AK219" s="21">
        <f>[2]底表!BX219</f>
        <v>0.5</v>
      </c>
      <c r="AL219" s="21">
        <f>[2]底表!BY219</f>
        <v>0.5</v>
      </c>
      <c r="AM219" s="21">
        <f>[2]底表!BZ219</f>
        <v>0</v>
      </c>
      <c r="AN219" s="21">
        <f>[2]底表!CA219</f>
        <v>0</v>
      </c>
      <c r="AO219" s="21" t="str">
        <f>[2]底表!CB219</f>
        <v>持平</v>
      </c>
      <c r="AP219" s="21">
        <f>[2]底表!CC219</f>
        <v>0</v>
      </c>
      <c r="AQ219" s="21" t="str">
        <f>[2]底表!CD219</f>
        <v>持平</v>
      </c>
      <c r="AR219" s="21" t="str">
        <f>[2]底表!CE219</f>
        <v/>
      </c>
      <c r="AS219" s="21" t="str">
        <f>[2]底表!CF219</f>
        <v/>
      </c>
      <c r="AT219" s="21">
        <f>[2]底表!CG219</f>
        <v>3</v>
      </c>
      <c r="AU219" s="21">
        <f>[2]底表!CH219</f>
        <v>2</v>
      </c>
      <c r="AV219" s="21">
        <f>[2]底表!CI219</f>
        <v>0.5</v>
      </c>
      <c r="AW219" s="21">
        <f>[2]底表!CJ219</f>
        <v>1</v>
      </c>
      <c r="AX219" s="21">
        <f>[2]底表!CK219</f>
        <v>2</v>
      </c>
      <c r="AY219" s="21">
        <f>[2]底表!CL219</f>
        <v>60</v>
      </c>
      <c r="AZ219" s="21">
        <f>[2]底表!CM219</f>
        <v>-40</v>
      </c>
      <c r="BA219" s="21">
        <f>[2]底表!CN219</f>
        <v>-0.4</v>
      </c>
      <c r="BB219" s="21">
        <f>[2]底表!CO219</f>
        <v>0</v>
      </c>
      <c r="BC219" s="21">
        <f>[2]底表!CP219</f>
        <v>0</v>
      </c>
      <c r="BD219" s="21" t="str">
        <f>[2]底表!CQ219</f>
        <v>持平</v>
      </c>
      <c r="BE219" s="21">
        <f>[2]底表!CR219</f>
        <v>0</v>
      </c>
      <c r="BF219" s="21" t="str">
        <f>[2]底表!CS219</f>
        <v>持平</v>
      </c>
      <c r="BG219" s="21">
        <f>[2]底表!CT219</f>
        <v>0</v>
      </c>
      <c r="BH219" s="21">
        <f>[2]底表!CU219</f>
        <v>0</v>
      </c>
      <c r="BI219" s="21">
        <f>[2]底表!CV219</f>
        <v>0</v>
      </c>
      <c r="BJ219" s="21">
        <f>[2]底表!CW219</f>
        <v>0</v>
      </c>
      <c r="BK219" s="21" t="str">
        <f>[2]底表!CX219</f>
        <v/>
      </c>
      <c r="BL219" s="21">
        <f>[2]底表!CY219</f>
        <v>0</v>
      </c>
      <c r="BM219" s="21">
        <f>[2]底表!CZ219</f>
        <v>0</v>
      </c>
      <c r="BN219" s="23" t="str">
        <f>[2]底表!DA219</f>
        <v>持平</v>
      </c>
      <c r="BO219" s="21">
        <f>[2]底表!DB219</f>
        <v>0</v>
      </c>
      <c r="BP219" s="21" t="str">
        <f>[2]底表!DC219</f>
        <v>持平</v>
      </c>
      <c r="BQ219" s="21">
        <f>[2]底表!DD219</f>
        <v>0</v>
      </c>
      <c r="BR219" s="21">
        <f>[2]底表!DE219</f>
        <v>0</v>
      </c>
      <c r="BS219" s="21">
        <f>[2]底表!DF219</f>
        <v>0</v>
      </c>
      <c r="BT219" s="21">
        <f>[2]底表!DG219</f>
        <v>0</v>
      </c>
      <c r="BU219" s="21" t="str">
        <f>[2]底表!DH219</f>
        <v/>
      </c>
      <c r="BV219" s="21">
        <f>[2]底表!DI219</f>
        <v>0</v>
      </c>
      <c r="BW219" s="21">
        <f>[2]底表!DJ219</f>
        <v>0</v>
      </c>
      <c r="BX219" s="23" t="str">
        <f>[2]底表!DK219</f>
        <v>持平</v>
      </c>
      <c r="BY219" s="21">
        <f>[2]底表!DL219</f>
        <v>0</v>
      </c>
      <c r="BZ219" s="21" t="str">
        <f>[2]底表!DM219</f>
        <v>持平</v>
      </c>
      <c r="CA219" s="21">
        <f>[2]底表!DN219</f>
        <v>5</v>
      </c>
      <c r="CB219" s="21">
        <f>[2]底表!DO219</f>
        <v>1</v>
      </c>
      <c r="CC219" s="21">
        <f>[2]底表!DP219</f>
        <v>4</v>
      </c>
      <c r="CD219" s="21">
        <f>[2]底表!DQ219</f>
        <v>3</v>
      </c>
      <c r="CE219" s="21">
        <f>[2]底表!DR219</f>
        <v>0.6667</v>
      </c>
      <c r="CF219" s="21">
        <f>[2]底表!DS219</f>
        <v>5</v>
      </c>
      <c r="CG219" s="21">
        <f>[2]底表!DT219</f>
        <v>1</v>
      </c>
      <c r="CH219" s="21">
        <f>[2]底表!DU219</f>
        <v>4</v>
      </c>
      <c r="CI219" s="21">
        <f>[2]底表!DV219</f>
        <v>3</v>
      </c>
      <c r="CJ219" s="21">
        <f>[2]底表!DW219</f>
        <v>0.6667</v>
      </c>
      <c r="CK219" s="21">
        <f>[2]底表!DX219</f>
        <v>0</v>
      </c>
      <c r="CL219" s="21">
        <f>[2]底表!DY219</f>
        <v>0</v>
      </c>
      <c r="CM219" s="21" t="str">
        <f>[2]底表!DZ219</f>
        <v>持平</v>
      </c>
      <c r="CN219" s="21">
        <f>[2]底表!EA219</f>
        <v>0</v>
      </c>
      <c r="CO219" s="21" t="str">
        <f>[2]底表!EB219</f>
        <v>持平</v>
      </c>
      <c r="CP219" s="21">
        <f>[2]底表!EC219</f>
        <v>0</v>
      </c>
      <c r="CQ219" s="21">
        <f>[2]底表!ED219</f>
        <v>0</v>
      </c>
      <c r="CR219" s="21" t="str">
        <f>[2]底表!EE219</f>
        <v>持平</v>
      </c>
      <c r="CS219" s="21">
        <f>[2]底表!EF219</f>
        <v>0</v>
      </c>
      <c r="CT219" s="21" t="str">
        <f>[2]底表!EG219</f>
        <v>持平</v>
      </c>
      <c r="CU219" s="21" t="str">
        <f>[2]底表!EH219</f>
        <v/>
      </c>
      <c r="CV219" s="21" t="str">
        <f>[2]底表!EI219</f>
        <v/>
      </c>
      <c r="CW219" s="21">
        <f>[2]底表!EJ219</f>
        <v>0</v>
      </c>
      <c r="CX219" s="21">
        <f>[2]底表!EK219</f>
        <v>0</v>
      </c>
      <c r="CY219" s="21" t="str">
        <f>[2]底表!EL219</f>
        <v/>
      </c>
      <c r="CZ219" s="21">
        <f>[2]底表!EM219</f>
        <v>0</v>
      </c>
      <c r="DA219" s="21">
        <f>[2]底表!EN219</f>
        <v>0</v>
      </c>
      <c r="DB219" s="21" t="str">
        <f>[2]底表!EO219</f>
        <v>持平</v>
      </c>
      <c r="DC219" s="21">
        <f>[2]底表!EP219</f>
        <v>0</v>
      </c>
      <c r="DD219" s="21" t="str">
        <f>[2]底表!EQ219</f>
        <v>持平</v>
      </c>
      <c r="DE219" s="21">
        <f>[2]底表!ER219</f>
        <v>2</v>
      </c>
      <c r="DF219" s="21">
        <f>[2]底表!ES219</f>
        <v>0</v>
      </c>
      <c r="DG219" s="23" t="str">
        <f>[2]底表!ET219</f>
        <v>多2人</v>
      </c>
      <c r="DH219" s="21">
        <f>[2]底表!EU219</f>
        <v>5</v>
      </c>
      <c r="DI219" s="21">
        <f>[2]底表!EV219</f>
        <v>-0.6</v>
      </c>
      <c r="DJ219" s="21" t="str">
        <f>[2]底表!EW219</f>
        <v/>
      </c>
      <c r="DK219" s="21" t="str">
        <f>[2]底表!EX219</f>
        <v/>
      </c>
      <c r="DL219" s="21">
        <f>[2]底表!EY219</f>
        <v>40</v>
      </c>
      <c r="DM219" s="21">
        <f>[2]底表!EZ219</f>
        <v>40</v>
      </c>
      <c r="DN219" s="21" t="str">
        <f>[2]底表!FA219</f>
        <v/>
      </c>
      <c r="DO219" s="21">
        <f>[2]底表!BQ219</f>
        <v>2</v>
      </c>
      <c r="DP219" s="21">
        <f>[2]底表!BR219</f>
        <v>0</v>
      </c>
      <c r="DQ219" s="24" t="str">
        <f>[2]底表!BS219</f>
        <v>多2起</v>
      </c>
    </row>
    <row r="220" s="2" customFormat="1" ht="32" hidden="1" customHeight="1" spans="1:121">
      <c r="A220" s="27" t="str">
        <f>[2]底表!A220</f>
        <v>危险驾驶案</v>
      </c>
      <c r="B220" s="28" t="str">
        <f>[2]底表!B220</f>
        <v>罗定市</v>
      </c>
      <c r="C220" s="21">
        <f>[2]底表!AM220</f>
        <v>4</v>
      </c>
      <c r="D220" s="21">
        <f>[2]底表!AN220</f>
        <v>7</v>
      </c>
      <c r="E220" s="23">
        <f>[2]底表!AO220</f>
        <v>-0.4286</v>
      </c>
      <c r="F220" s="21">
        <f>[2]底表!AP220</f>
        <v>9</v>
      </c>
      <c r="G220" s="21">
        <f>[2]底表!AQ220</f>
        <v>-0.5556</v>
      </c>
      <c r="H220" s="21">
        <f>[2]底表!AR220</f>
        <v>0.3636</v>
      </c>
      <c r="I220" s="21">
        <f>[2]底表!AS220</f>
        <v>-1.9697</v>
      </c>
      <c r="J220" s="21">
        <f>[2]底表!AT220</f>
        <v>4</v>
      </c>
      <c r="K220" s="21">
        <f>[2]底表!AU220</f>
        <v>0</v>
      </c>
      <c r="L220" s="21" t="str">
        <f>[2]底表!AV220</f>
        <v>多4起</v>
      </c>
      <c r="M220" s="21">
        <f>[2]底表!AW220</f>
        <v>8</v>
      </c>
      <c r="N220" s="21">
        <f>[2]底表!AX220</f>
        <v>-0.5</v>
      </c>
      <c r="O220" s="21">
        <f>[2]底表!AY220</f>
        <v>1</v>
      </c>
      <c r="P220" s="21">
        <f>[2]底表!AZ220</f>
        <v>0</v>
      </c>
      <c r="Q220" s="21" t="str">
        <f>[2]底表!BA220</f>
        <v>多1起</v>
      </c>
      <c r="R220" s="21">
        <f>[2]底表!BB220</f>
        <v>9</v>
      </c>
      <c r="S220" s="21">
        <f>[2]底表!BC220</f>
        <v>-0.8889</v>
      </c>
      <c r="T220" s="21">
        <f>[2]底表!BD220</f>
        <v>0.25</v>
      </c>
      <c r="U220" s="21" t="str">
        <f>[2]底表!BE220</f>
        <v/>
      </c>
      <c r="V220" s="21">
        <f>[2]底表!BF220</f>
        <v>7</v>
      </c>
      <c r="W220" s="21">
        <f>[2]底表!BG220</f>
        <v>3</v>
      </c>
      <c r="X220" s="21">
        <f>[2]底表!BH220</f>
        <v>1.3333</v>
      </c>
      <c r="Y220" s="21">
        <f>[2]底表!BI220</f>
        <v>0</v>
      </c>
      <c r="Z220" s="21" t="str">
        <f>[2]底表!BJ220</f>
        <v>多7起</v>
      </c>
      <c r="AA220" s="21">
        <f>[2]底表!BK220</f>
        <v>0.6364</v>
      </c>
      <c r="AB220" s="21">
        <f>[2]底表!BL220</f>
        <v>3</v>
      </c>
      <c r="AC220" s="21">
        <f>[2]底表!BM220</f>
        <v>7</v>
      </c>
      <c r="AD220" s="21">
        <f>[2]底表!BN220</f>
        <v>-0.5714</v>
      </c>
      <c r="AE220" s="21">
        <f>[2]底表!BO220</f>
        <v>0</v>
      </c>
      <c r="AF220" s="21" t="str">
        <f>[2]底表!BP220</f>
        <v>多3起</v>
      </c>
      <c r="AG220" s="21">
        <f>[2]底表!BT220</f>
        <v>9</v>
      </c>
      <c r="AH220" s="21">
        <f>[2]底表!BU220</f>
        <v>-0.4444</v>
      </c>
      <c r="AI220" s="21">
        <f>[2]底表!BV220</f>
        <v>0.4545</v>
      </c>
      <c r="AJ220" s="21">
        <f>[2]底表!BW220</f>
        <v>-2.5455</v>
      </c>
      <c r="AK220" s="21">
        <f>[2]底表!BX220</f>
        <v>1.25</v>
      </c>
      <c r="AL220" s="21" t="str">
        <f>[2]底表!BY220</f>
        <v/>
      </c>
      <c r="AM220" s="21">
        <f>[2]底表!BZ220</f>
        <v>0</v>
      </c>
      <c r="AN220" s="21">
        <f>[2]底表!CA220</f>
        <v>0</v>
      </c>
      <c r="AO220" s="21" t="str">
        <f>[2]底表!CB220</f>
        <v>持平</v>
      </c>
      <c r="AP220" s="21">
        <f>[2]底表!CC220</f>
        <v>0</v>
      </c>
      <c r="AQ220" s="21" t="str">
        <f>[2]底表!CD220</f>
        <v>持平</v>
      </c>
      <c r="AR220" s="21" t="str">
        <f>[2]底表!CE220</f>
        <v/>
      </c>
      <c r="AS220" s="21" t="str">
        <f>[2]底表!CF220</f>
        <v/>
      </c>
      <c r="AT220" s="21">
        <f>[2]底表!CG220</f>
        <v>3</v>
      </c>
      <c r="AU220" s="21">
        <f>[2]底表!CH220</f>
        <v>2</v>
      </c>
      <c r="AV220" s="21">
        <f>[2]底表!CI220</f>
        <v>0.5</v>
      </c>
      <c r="AW220" s="21">
        <f>[2]底表!CJ220</f>
        <v>2</v>
      </c>
      <c r="AX220" s="21">
        <f>[2]底表!CK220</f>
        <v>0.5</v>
      </c>
      <c r="AY220" s="21">
        <f>[2]底表!CL220</f>
        <v>27</v>
      </c>
      <c r="AZ220" s="21">
        <f>[2]底表!CM220</f>
        <v>-39</v>
      </c>
      <c r="BA220" s="21">
        <f>[2]底表!CN220</f>
        <v>-0.5909</v>
      </c>
      <c r="BB220" s="21">
        <f>[2]底表!CO220</f>
        <v>0</v>
      </c>
      <c r="BC220" s="21">
        <f>[2]底表!CP220</f>
        <v>0</v>
      </c>
      <c r="BD220" s="21" t="str">
        <f>[2]底表!CQ220</f>
        <v>持平</v>
      </c>
      <c r="BE220" s="21">
        <f>[2]底表!CR220</f>
        <v>0</v>
      </c>
      <c r="BF220" s="21" t="str">
        <f>[2]底表!CS220</f>
        <v>持平</v>
      </c>
      <c r="BG220" s="21">
        <f>[2]底表!CT220</f>
        <v>0</v>
      </c>
      <c r="BH220" s="21">
        <f>[2]底表!CU220</f>
        <v>0</v>
      </c>
      <c r="BI220" s="21">
        <f>[2]底表!CV220</f>
        <v>0</v>
      </c>
      <c r="BJ220" s="21">
        <f>[2]底表!CW220</f>
        <v>0</v>
      </c>
      <c r="BK220" s="21" t="str">
        <f>[2]底表!CX220</f>
        <v/>
      </c>
      <c r="BL220" s="21">
        <f>[2]底表!CY220</f>
        <v>0</v>
      </c>
      <c r="BM220" s="21">
        <f>[2]底表!CZ220</f>
        <v>0</v>
      </c>
      <c r="BN220" s="23" t="str">
        <f>[2]底表!DA220</f>
        <v>持平</v>
      </c>
      <c r="BO220" s="21">
        <f>[2]底表!DB220</f>
        <v>0</v>
      </c>
      <c r="BP220" s="21" t="str">
        <f>[2]底表!DC220</f>
        <v>持平</v>
      </c>
      <c r="BQ220" s="21">
        <f>[2]底表!DD220</f>
        <v>0</v>
      </c>
      <c r="BR220" s="21">
        <f>[2]底表!DE220</f>
        <v>0</v>
      </c>
      <c r="BS220" s="21">
        <f>[2]底表!DF220</f>
        <v>0</v>
      </c>
      <c r="BT220" s="21">
        <f>[2]底表!DG220</f>
        <v>0</v>
      </c>
      <c r="BU220" s="21" t="str">
        <f>[2]底表!DH220</f>
        <v/>
      </c>
      <c r="BV220" s="21">
        <f>[2]底表!DI220</f>
        <v>0</v>
      </c>
      <c r="BW220" s="21">
        <f>[2]底表!DJ220</f>
        <v>0</v>
      </c>
      <c r="BX220" s="23" t="str">
        <f>[2]底表!DK220</f>
        <v>持平</v>
      </c>
      <c r="BY220" s="21">
        <f>[2]底表!DL220</f>
        <v>0</v>
      </c>
      <c r="BZ220" s="21" t="str">
        <f>[2]底表!DM220</f>
        <v>持平</v>
      </c>
      <c r="CA220" s="21">
        <f>[2]底表!DN220</f>
        <v>3</v>
      </c>
      <c r="CB220" s="21">
        <f>[2]底表!DO220</f>
        <v>8</v>
      </c>
      <c r="CC220" s="21">
        <f>[2]底表!DP220</f>
        <v>-0.625</v>
      </c>
      <c r="CD220" s="21">
        <f>[2]底表!DQ220</f>
        <v>11</v>
      </c>
      <c r="CE220" s="21">
        <f>[2]底表!DR220</f>
        <v>-0.7273</v>
      </c>
      <c r="CF220" s="21">
        <f>[2]底表!DS220</f>
        <v>3</v>
      </c>
      <c r="CG220" s="21">
        <f>[2]底表!DT220</f>
        <v>8</v>
      </c>
      <c r="CH220" s="21">
        <f>[2]底表!DU220</f>
        <v>-0.625</v>
      </c>
      <c r="CI220" s="21">
        <f>[2]底表!DV220</f>
        <v>11</v>
      </c>
      <c r="CJ220" s="21">
        <f>[2]底表!DW220</f>
        <v>-0.7273</v>
      </c>
      <c r="CK220" s="21">
        <f>[2]底表!DX220</f>
        <v>0</v>
      </c>
      <c r="CL220" s="21">
        <f>[2]底表!DY220</f>
        <v>0</v>
      </c>
      <c r="CM220" s="21" t="str">
        <f>[2]底表!DZ220</f>
        <v>持平</v>
      </c>
      <c r="CN220" s="21">
        <f>[2]底表!EA220</f>
        <v>0</v>
      </c>
      <c r="CO220" s="21" t="str">
        <f>[2]底表!EB220</f>
        <v>持平</v>
      </c>
      <c r="CP220" s="21">
        <f>[2]底表!EC220</f>
        <v>0</v>
      </c>
      <c r="CQ220" s="21">
        <f>[2]底表!ED220</f>
        <v>0</v>
      </c>
      <c r="CR220" s="21" t="str">
        <f>[2]底表!EE220</f>
        <v>持平</v>
      </c>
      <c r="CS220" s="21">
        <f>[2]底表!EF220</f>
        <v>0</v>
      </c>
      <c r="CT220" s="21" t="str">
        <f>[2]底表!EG220</f>
        <v>持平</v>
      </c>
      <c r="CU220" s="21" t="str">
        <f>[2]底表!EH220</f>
        <v/>
      </c>
      <c r="CV220" s="21" t="str">
        <f>[2]底表!EI220</f>
        <v/>
      </c>
      <c r="CW220" s="21">
        <f>[2]底表!EJ220</f>
        <v>0</v>
      </c>
      <c r="CX220" s="21">
        <f>[2]底表!EK220</f>
        <v>0</v>
      </c>
      <c r="CY220" s="21" t="str">
        <f>[2]底表!EL220</f>
        <v/>
      </c>
      <c r="CZ220" s="21">
        <f>[2]底表!EM220</f>
        <v>0</v>
      </c>
      <c r="DA220" s="21">
        <f>[2]底表!EN220</f>
        <v>0</v>
      </c>
      <c r="DB220" s="21" t="str">
        <f>[2]底表!EO220</f>
        <v>持平</v>
      </c>
      <c r="DC220" s="21">
        <f>[2]底表!EP220</f>
        <v>0</v>
      </c>
      <c r="DD220" s="21" t="str">
        <f>[2]底表!EQ220</f>
        <v>持平</v>
      </c>
      <c r="DE220" s="21">
        <f>[2]底表!ER220</f>
        <v>5</v>
      </c>
      <c r="DF220" s="21">
        <f>[2]底表!ES220</f>
        <v>10</v>
      </c>
      <c r="DG220" s="23">
        <f>[2]底表!ET220</f>
        <v>-0.5</v>
      </c>
      <c r="DH220" s="21">
        <f>[2]底表!EU220</f>
        <v>9</v>
      </c>
      <c r="DI220" s="21">
        <f>[2]底表!EV220</f>
        <v>-0.4444</v>
      </c>
      <c r="DJ220" s="21" t="str">
        <f>[2]底表!EW220</f>
        <v/>
      </c>
      <c r="DK220" s="21" t="str">
        <f>[2]底表!EX220</f>
        <v/>
      </c>
      <c r="DL220" s="21">
        <f>[2]底表!EY220</f>
        <v>45</v>
      </c>
      <c r="DM220" s="21">
        <f>[2]底表!EZ220</f>
        <v>-288</v>
      </c>
      <c r="DN220" s="21">
        <f>[2]底表!FA220</f>
        <v>-0.8636</v>
      </c>
      <c r="DO220" s="21">
        <f>[2]底表!BQ220</f>
        <v>5</v>
      </c>
      <c r="DP220" s="21">
        <f>[2]底表!BR220</f>
        <v>9</v>
      </c>
      <c r="DQ220" s="24">
        <f>[2]底表!BS220</f>
        <v>-0.4444</v>
      </c>
    </row>
    <row r="221" s="2" customFormat="1" ht="32" hidden="1" customHeight="1" spans="1:121">
      <c r="A221" s="27" t="str">
        <f>[2]底表!A221</f>
        <v>交通肇事案</v>
      </c>
      <c r="B221" s="28" t="str">
        <f>[2]底表!B221</f>
        <v>全省</v>
      </c>
      <c r="C221" s="21">
        <f>[2]底表!AM221</f>
        <v>410</v>
      </c>
      <c r="D221" s="21">
        <f>[2]底表!AN221</f>
        <v>284</v>
      </c>
      <c r="E221" s="23">
        <f>[2]底表!AO221</f>
        <v>0.4437</v>
      </c>
      <c r="F221" s="21">
        <f>[2]底表!AP221</f>
        <v>503</v>
      </c>
      <c r="G221" s="21">
        <f>[2]底表!AQ221</f>
        <v>-0.1849</v>
      </c>
      <c r="H221" s="21">
        <f>[2]底表!AR221</f>
        <v>0.8972</v>
      </c>
      <c r="I221" s="21">
        <f>[2]底表!AS221</f>
        <v>0.1976</v>
      </c>
      <c r="J221" s="21">
        <f>[2]底表!AT221</f>
        <v>91</v>
      </c>
      <c r="K221" s="21">
        <f>[2]底表!AU221</f>
        <v>87</v>
      </c>
      <c r="L221" s="21">
        <f>[2]底表!AV221</f>
        <v>0.046</v>
      </c>
      <c r="M221" s="21">
        <f>[2]底表!AW221</f>
        <v>408</v>
      </c>
      <c r="N221" s="21">
        <f>[2]底表!AX221</f>
        <v>-0.777</v>
      </c>
      <c r="O221" s="21">
        <f>[2]底表!AY221</f>
        <v>47</v>
      </c>
      <c r="P221" s="21">
        <f>[2]底表!AZ221</f>
        <v>26</v>
      </c>
      <c r="Q221" s="21">
        <f>[2]底表!BA221</f>
        <v>0.8077</v>
      </c>
      <c r="R221" s="21">
        <f>[2]底表!BB221</f>
        <v>453</v>
      </c>
      <c r="S221" s="21">
        <f>[2]底表!BC221</f>
        <v>-0.8962</v>
      </c>
      <c r="T221" s="21">
        <f>[2]底表!BD221</f>
        <v>0.5165</v>
      </c>
      <c r="U221" s="21">
        <f>[2]底表!BE221</f>
        <v>0.2176</v>
      </c>
      <c r="V221" s="21">
        <f>[2]底表!BF221</f>
        <v>366</v>
      </c>
      <c r="W221" s="21">
        <f>[2]底表!BG221</f>
        <v>319</v>
      </c>
      <c r="X221" s="21">
        <f>[2]底表!BH221</f>
        <v>0.1473</v>
      </c>
      <c r="Y221" s="21">
        <f>[2]底表!BI221</f>
        <v>11</v>
      </c>
      <c r="Z221" s="21">
        <f>[2]底表!BJ221</f>
        <v>32.2727</v>
      </c>
      <c r="AA221" s="21">
        <f>[2]底表!BK221</f>
        <v>0.8009</v>
      </c>
      <c r="AB221" s="21">
        <f>[2]底表!BL221</f>
        <v>363</v>
      </c>
      <c r="AC221" s="21">
        <f>[2]底表!BM221</f>
        <v>258</v>
      </c>
      <c r="AD221" s="21">
        <f>[2]底表!BN221</f>
        <v>0.407</v>
      </c>
      <c r="AE221" s="21">
        <f>[2]底表!BO221</f>
        <v>50</v>
      </c>
      <c r="AF221" s="21">
        <f>[2]底表!BP221</f>
        <v>6.26</v>
      </c>
      <c r="AG221" s="21">
        <f>[2]底表!BT221</f>
        <v>497</v>
      </c>
      <c r="AH221" s="21">
        <f>[2]底表!BU221</f>
        <v>-0.2918</v>
      </c>
      <c r="AI221" s="21">
        <f>[2]底表!BV221</f>
        <v>0.7702</v>
      </c>
      <c r="AJ221" s="21">
        <f>[2]底表!BW221</f>
        <v>0.0141</v>
      </c>
      <c r="AK221" s="21">
        <f>[2]底表!BX221</f>
        <v>3.8681</v>
      </c>
      <c r="AL221" s="21">
        <f>[2]底表!BY221</f>
        <v>0.3394</v>
      </c>
      <c r="AM221" s="21">
        <f>[2]底表!BZ221</f>
        <v>1</v>
      </c>
      <c r="AN221" s="21">
        <f>[2]底表!CA221</f>
        <v>1</v>
      </c>
      <c r="AO221" s="21">
        <f>[2]底表!CB221</f>
        <v>0</v>
      </c>
      <c r="AP221" s="21">
        <f>[2]底表!CC221</f>
        <v>6</v>
      </c>
      <c r="AQ221" s="21">
        <f>[2]底表!CD221</f>
        <v>-0.8333</v>
      </c>
      <c r="AR221" s="21" t="str">
        <f>[2]底表!CE221</f>
        <v/>
      </c>
      <c r="AS221" s="21" t="str">
        <f>[2]底表!CF221</f>
        <v/>
      </c>
      <c r="AT221" s="21">
        <f>[2]底表!CG221</f>
        <v>324</v>
      </c>
      <c r="AU221" s="21">
        <f>[2]底表!CH221</f>
        <v>364</v>
      </c>
      <c r="AV221" s="21">
        <f>[2]底表!CI221</f>
        <v>-0.1099</v>
      </c>
      <c r="AW221" s="21">
        <f>[2]底表!CJ221</f>
        <v>358</v>
      </c>
      <c r="AX221" s="21">
        <f>[2]底表!CK221</f>
        <v>-0.095</v>
      </c>
      <c r="AY221" s="21">
        <f>[2]底表!CL221</f>
        <v>71</v>
      </c>
      <c r="AZ221" s="21">
        <f>[2]底表!CM221</f>
        <v>-19</v>
      </c>
      <c r="BA221" s="21">
        <f>[2]底表!CN221</f>
        <v>-0.2092</v>
      </c>
      <c r="BB221" s="21">
        <f>[2]底表!CO221</f>
        <v>267</v>
      </c>
      <c r="BC221" s="21">
        <f>[2]底表!CP221</f>
        <v>125</v>
      </c>
      <c r="BD221" s="21">
        <f>[2]底表!CQ221</f>
        <v>1.136</v>
      </c>
      <c r="BE221" s="21">
        <f>[2]底表!CR221</f>
        <v>219</v>
      </c>
      <c r="BF221" s="21">
        <f>[2]底表!CS221</f>
        <v>0.2192</v>
      </c>
      <c r="BG221" s="21">
        <f>[2]底表!CT221</f>
        <v>0.8241</v>
      </c>
      <c r="BH221" s="21">
        <f>[2]底表!CU221</f>
        <v>0.4807</v>
      </c>
      <c r="BI221" s="21">
        <f>[2]底表!CV221</f>
        <v>58</v>
      </c>
      <c r="BJ221" s="21">
        <f>[2]底表!CW221</f>
        <v>28</v>
      </c>
      <c r="BK221" s="21">
        <f>[2]底表!CX221</f>
        <v>0.8976</v>
      </c>
      <c r="BL221" s="21">
        <f>[2]底表!CY221</f>
        <v>428</v>
      </c>
      <c r="BM221" s="21">
        <f>[2]底表!CZ221</f>
        <v>315</v>
      </c>
      <c r="BN221" s="23">
        <f>[2]底表!DA221</f>
        <v>0.3587</v>
      </c>
      <c r="BO221" s="21">
        <f>[2]底表!DB221</f>
        <v>417</v>
      </c>
      <c r="BP221" s="21">
        <f>[2]底表!DC221</f>
        <v>0.0264</v>
      </c>
      <c r="BQ221" s="21">
        <f>[2]底表!DD221</f>
        <v>1.321</v>
      </c>
      <c r="BR221" s="21">
        <f>[2]底表!DE221</f>
        <v>0.4556</v>
      </c>
      <c r="BS221" s="21">
        <f>[2]底表!DF221</f>
        <v>94</v>
      </c>
      <c r="BT221" s="21">
        <f>[2]底表!DG221</f>
        <v>16</v>
      </c>
      <c r="BU221" s="21">
        <f>[2]底表!DH221</f>
        <v>0.2071</v>
      </c>
      <c r="BV221" s="21">
        <f>[2]底表!DI221</f>
        <v>420</v>
      </c>
      <c r="BW221" s="21">
        <f>[2]底表!DJ221</f>
        <v>315</v>
      </c>
      <c r="BX221" s="23">
        <f>[2]底表!DK221</f>
        <v>0.3333</v>
      </c>
      <c r="BY221" s="21">
        <f>[2]底表!DL221</f>
        <v>392</v>
      </c>
      <c r="BZ221" s="21">
        <f>[2]底表!DM221</f>
        <v>0.0714</v>
      </c>
      <c r="CA221" s="21">
        <f>[2]底表!DN221</f>
        <v>305</v>
      </c>
      <c r="CB221" s="21">
        <f>[2]底表!DO221</f>
        <v>275</v>
      </c>
      <c r="CC221" s="21">
        <f>[2]底表!DP221</f>
        <v>0.1091</v>
      </c>
      <c r="CD221" s="21">
        <f>[2]底表!DQ221</f>
        <v>349</v>
      </c>
      <c r="CE221" s="21">
        <f>[2]底表!DR221</f>
        <v>-0.1261</v>
      </c>
      <c r="CF221" s="21">
        <f>[2]底表!DS221</f>
        <v>305</v>
      </c>
      <c r="CG221" s="21">
        <f>[2]底表!DT221</f>
        <v>275</v>
      </c>
      <c r="CH221" s="21">
        <f>[2]底表!DU221</f>
        <v>0.1091</v>
      </c>
      <c r="CI221" s="21">
        <f>[2]底表!DV221</f>
        <v>349</v>
      </c>
      <c r="CJ221" s="21">
        <f>[2]底表!DW221</f>
        <v>-0.1261</v>
      </c>
      <c r="CK221" s="21">
        <f>[2]底表!DX221</f>
        <v>272</v>
      </c>
      <c r="CL221" s="21">
        <f>[2]底表!DY221</f>
        <v>221</v>
      </c>
      <c r="CM221" s="21">
        <f>[2]底表!DZ221</f>
        <v>0.2308</v>
      </c>
      <c r="CN221" s="21">
        <f>[2]底表!EA221</f>
        <v>281</v>
      </c>
      <c r="CO221" s="21">
        <f>[2]底表!EB221</f>
        <v>-0.032</v>
      </c>
      <c r="CP221" s="21">
        <f>[2]底表!EC221</f>
        <v>142</v>
      </c>
      <c r="CQ221" s="21">
        <f>[2]底表!ED221</f>
        <v>139</v>
      </c>
      <c r="CR221" s="21">
        <f>[2]底表!EE221</f>
        <v>0.0216</v>
      </c>
      <c r="CS221" s="21">
        <f>[2]底表!EF221</f>
        <v>155</v>
      </c>
      <c r="CT221" s="21">
        <f>[2]底表!EG221</f>
        <v>-0.0839</v>
      </c>
      <c r="CU221" s="21">
        <f>[2]底表!EH221</f>
        <v>0.5318</v>
      </c>
      <c r="CV221" s="21">
        <f>[2]底表!EI221</f>
        <v>-0.5802</v>
      </c>
      <c r="CW221" s="21">
        <f>[2]底表!EJ221</f>
        <v>31</v>
      </c>
      <c r="CX221" s="21">
        <f>[2]底表!EK221</f>
        <v>-3</v>
      </c>
      <c r="CY221" s="21">
        <f>[2]底表!EL221</f>
        <v>-0.0924</v>
      </c>
      <c r="CZ221" s="21">
        <f>[2]底表!EM221</f>
        <v>144</v>
      </c>
      <c r="DA221" s="21">
        <f>[2]底表!EN221</f>
        <v>144</v>
      </c>
      <c r="DB221" s="21">
        <f>[2]底表!EO221</f>
        <v>0</v>
      </c>
      <c r="DC221" s="21">
        <f>[2]底表!EP221</f>
        <v>165</v>
      </c>
      <c r="DD221" s="21">
        <f>[2]底表!EQ221</f>
        <v>-0.1273</v>
      </c>
      <c r="DE221" s="21">
        <f>[2]底表!ER221</f>
        <v>366</v>
      </c>
      <c r="DF221" s="21">
        <f>[2]底表!ES221</f>
        <v>308</v>
      </c>
      <c r="DG221" s="23">
        <f>[2]底表!ET221</f>
        <v>0.1883</v>
      </c>
      <c r="DH221" s="21">
        <f>[2]底表!EU221</f>
        <v>500</v>
      </c>
      <c r="DI221" s="21">
        <f>[2]底表!EV221</f>
        <v>-0.268</v>
      </c>
      <c r="DJ221" s="21">
        <f>[2]底表!EW221</f>
        <v>1.3708</v>
      </c>
      <c r="DK221" s="21">
        <f>[2]底表!EX221</f>
        <v>-1.0932</v>
      </c>
      <c r="DL221" s="21">
        <f>[2]底表!EY221</f>
        <v>80</v>
      </c>
      <c r="DM221" s="21">
        <f>[2]底表!EZ221</f>
        <v>4</v>
      </c>
      <c r="DN221" s="21">
        <f>[2]底表!FA221</f>
        <v>0.0557</v>
      </c>
      <c r="DO221" s="21">
        <f>[2]底表!BQ221</f>
        <v>352</v>
      </c>
      <c r="DP221" s="21">
        <f>[2]底表!BR221</f>
        <v>307</v>
      </c>
      <c r="DQ221" s="24">
        <f>[2]底表!BS221</f>
        <v>0.1466</v>
      </c>
    </row>
    <row r="222" s="2" customFormat="1" ht="32" hidden="1" customHeight="1" spans="1:121">
      <c r="A222" s="27" t="str">
        <f>[2]底表!A222</f>
        <v>交通肇事案</v>
      </c>
      <c r="B222" s="28" t="str">
        <f>[2]底表!B222</f>
        <v>云浮</v>
      </c>
      <c r="C222" s="21">
        <f>[2]底表!AM222</f>
        <v>10</v>
      </c>
      <c r="D222" s="21">
        <f>[2]底表!AN222</f>
        <v>6</v>
      </c>
      <c r="E222" s="23">
        <f>[2]底表!AO222</f>
        <v>0.6667</v>
      </c>
      <c r="F222" s="21">
        <f>[2]底表!AP222</f>
        <v>13</v>
      </c>
      <c r="G222" s="21">
        <f>[2]底表!AQ222</f>
        <v>-0.2308</v>
      </c>
      <c r="H222" s="21">
        <f>[2]底表!AR222</f>
        <v>0.7143</v>
      </c>
      <c r="I222" s="21">
        <f>[2]底表!AS222</f>
        <v>-0.0357</v>
      </c>
      <c r="J222" s="21">
        <f>[2]底表!AT222</f>
        <v>0</v>
      </c>
      <c r="K222" s="21">
        <f>[2]底表!AU222</f>
        <v>0</v>
      </c>
      <c r="L222" s="21" t="str">
        <f>[2]底表!AV222</f>
        <v>持平</v>
      </c>
      <c r="M222" s="21">
        <f>[2]底表!AW222</f>
        <v>13</v>
      </c>
      <c r="N222" s="21" t="str">
        <f>[2]底表!AX222</f>
        <v>少13起</v>
      </c>
      <c r="O222" s="21">
        <f>[2]底表!AY222</f>
        <v>0</v>
      </c>
      <c r="P222" s="21">
        <f>[2]底表!AZ222</f>
        <v>0</v>
      </c>
      <c r="Q222" s="21" t="str">
        <f>[2]底表!BA222</f>
        <v>持平</v>
      </c>
      <c r="R222" s="21">
        <f>[2]底表!BB222</f>
        <v>13</v>
      </c>
      <c r="S222" s="21" t="str">
        <f>[2]底表!BC222</f>
        <v>少13起</v>
      </c>
      <c r="T222" s="21" t="str">
        <f>[2]底表!BD222</f>
        <v/>
      </c>
      <c r="U222" s="21" t="str">
        <f>[2]底表!BE222</f>
        <v/>
      </c>
      <c r="V222" s="21">
        <f>[2]底表!BF222</f>
        <v>14</v>
      </c>
      <c r="W222" s="21">
        <f>[2]底表!BG222</f>
        <v>8</v>
      </c>
      <c r="X222" s="21">
        <f>[2]底表!BH222</f>
        <v>0.75</v>
      </c>
      <c r="Y222" s="21">
        <f>[2]底表!BI222</f>
        <v>0</v>
      </c>
      <c r="Z222" s="21" t="str">
        <f>[2]底表!BJ222</f>
        <v>多14起</v>
      </c>
      <c r="AA222" s="21">
        <f>[2]底表!BK222</f>
        <v>1</v>
      </c>
      <c r="AB222" s="21">
        <f>[2]底表!BL222</f>
        <v>10</v>
      </c>
      <c r="AC222" s="21">
        <f>[2]底表!BM222</f>
        <v>6</v>
      </c>
      <c r="AD222" s="21">
        <f>[2]底表!BN222</f>
        <v>0.6667</v>
      </c>
      <c r="AE222" s="21">
        <f>[2]底表!BO222</f>
        <v>0</v>
      </c>
      <c r="AF222" s="21" t="str">
        <f>[2]底表!BP222</f>
        <v>多10起</v>
      </c>
      <c r="AG222" s="21">
        <f>[2]底表!BT222</f>
        <v>14</v>
      </c>
      <c r="AH222" s="21">
        <f>[2]底表!BU222</f>
        <v>-0.7143</v>
      </c>
      <c r="AI222" s="21">
        <f>[2]底表!BV222</f>
        <v>0.2857</v>
      </c>
      <c r="AJ222" s="21">
        <f>[2]底表!BW222</f>
        <v>-0.9643</v>
      </c>
      <c r="AK222" s="21" t="str">
        <f>[2]底表!BX222</f>
        <v/>
      </c>
      <c r="AL222" s="21" t="str">
        <f>[2]底表!BY222</f>
        <v/>
      </c>
      <c r="AM222" s="21">
        <f>[2]底表!BZ222</f>
        <v>0</v>
      </c>
      <c r="AN222" s="21">
        <f>[2]底表!CA222</f>
        <v>0</v>
      </c>
      <c r="AO222" s="21" t="str">
        <f>[2]底表!CB222</f>
        <v>持平</v>
      </c>
      <c r="AP222" s="21">
        <f>[2]底表!CC222</f>
        <v>0</v>
      </c>
      <c r="AQ222" s="21" t="str">
        <f>[2]底表!CD222</f>
        <v>持平</v>
      </c>
      <c r="AR222" s="21" t="str">
        <f>[2]底表!CE222</f>
        <v/>
      </c>
      <c r="AS222" s="21" t="str">
        <f>[2]底表!CF222</f>
        <v/>
      </c>
      <c r="AT222" s="21">
        <f>[2]底表!CG222</f>
        <v>9</v>
      </c>
      <c r="AU222" s="21">
        <f>[2]底表!CH222</f>
        <v>6</v>
      </c>
      <c r="AV222" s="21">
        <f>[2]底表!CI222</f>
        <v>0.5</v>
      </c>
      <c r="AW222" s="21">
        <f>[2]底表!CJ222</f>
        <v>10</v>
      </c>
      <c r="AX222" s="21">
        <f>[2]底表!CK222</f>
        <v>-0.1</v>
      </c>
      <c r="AY222" s="21">
        <f>[2]底表!CL222</f>
        <v>64</v>
      </c>
      <c r="AZ222" s="21">
        <f>[2]底表!CM222</f>
        <v>-11</v>
      </c>
      <c r="BA222" s="21">
        <f>[2]底表!CN222</f>
        <v>-0.1429</v>
      </c>
      <c r="BB222" s="21">
        <f>[2]底表!CO222</f>
        <v>10</v>
      </c>
      <c r="BC222" s="21">
        <f>[2]底表!CP222</f>
        <v>1</v>
      </c>
      <c r="BD222" s="21">
        <f>[2]底表!CQ222</f>
        <v>9</v>
      </c>
      <c r="BE222" s="21">
        <f>[2]底表!CR222</f>
        <v>8</v>
      </c>
      <c r="BF222" s="21">
        <f>[2]底表!CS222</f>
        <v>0.25</v>
      </c>
      <c r="BG222" s="21">
        <f>[2]底表!CT222</f>
        <v>1.1111</v>
      </c>
      <c r="BH222" s="21">
        <f>[2]底表!CU222</f>
        <v>0.9444</v>
      </c>
      <c r="BI222" s="21">
        <f>[2]底表!CV222</f>
        <v>71</v>
      </c>
      <c r="BJ222" s="21">
        <f>[2]底表!CW222</f>
        <v>59</v>
      </c>
      <c r="BK222" s="21">
        <f>[2]底表!CX222</f>
        <v>4.7143</v>
      </c>
      <c r="BL222" s="21">
        <f>[2]底表!CY222</f>
        <v>13</v>
      </c>
      <c r="BM222" s="21">
        <f>[2]底表!CZ222</f>
        <v>5</v>
      </c>
      <c r="BN222" s="23">
        <f>[2]底表!DA222</f>
        <v>1.6</v>
      </c>
      <c r="BO222" s="21">
        <f>[2]底表!DB222</f>
        <v>17</v>
      </c>
      <c r="BP222" s="21">
        <f>[2]底表!DC222</f>
        <v>-0.2353</v>
      </c>
      <c r="BQ222" s="21">
        <f>[2]底表!DD222</f>
        <v>1.4444</v>
      </c>
      <c r="BR222" s="21">
        <f>[2]底表!DE222</f>
        <v>0.6111</v>
      </c>
      <c r="BS222" s="21">
        <f>[2]底表!DF222</f>
        <v>93</v>
      </c>
      <c r="BT222" s="21">
        <f>[2]底表!DG222</f>
        <v>30</v>
      </c>
      <c r="BU222" s="21">
        <f>[2]底表!DH222</f>
        <v>0.4857</v>
      </c>
      <c r="BV222" s="21">
        <f>[2]底表!DI222</f>
        <v>13</v>
      </c>
      <c r="BW222" s="21">
        <f>[2]底表!DJ222</f>
        <v>5</v>
      </c>
      <c r="BX222" s="23">
        <f>[2]底表!DK222</f>
        <v>1.6</v>
      </c>
      <c r="BY222" s="21">
        <f>[2]底表!DL222</f>
        <v>16</v>
      </c>
      <c r="BZ222" s="21">
        <f>[2]底表!DM222</f>
        <v>-0.1875</v>
      </c>
      <c r="CA222" s="21">
        <f>[2]底表!DN222</f>
        <v>6</v>
      </c>
      <c r="CB222" s="21">
        <f>[2]底表!DO222</f>
        <v>7</v>
      </c>
      <c r="CC222" s="21">
        <f>[2]底表!DP222</f>
        <v>-0.1429</v>
      </c>
      <c r="CD222" s="21">
        <f>[2]底表!DQ222</f>
        <v>14</v>
      </c>
      <c r="CE222" s="21">
        <f>[2]底表!DR222</f>
        <v>-0.5714</v>
      </c>
      <c r="CF222" s="21">
        <f>[2]底表!DS222</f>
        <v>6</v>
      </c>
      <c r="CG222" s="21">
        <f>[2]底表!DT222</f>
        <v>7</v>
      </c>
      <c r="CH222" s="21">
        <f>[2]底表!DU222</f>
        <v>-0.1429</v>
      </c>
      <c r="CI222" s="21">
        <f>[2]底表!DV222</f>
        <v>14</v>
      </c>
      <c r="CJ222" s="21">
        <f>[2]底表!DW222</f>
        <v>-0.5714</v>
      </c>
      <c r="CK222" s="21">
        <f>[2]底表!DX222</f>
        <v>12</v>
      </c>
      <c r="CL222" s="21">
        <f>[2]底表!DY222</f>
        <v>4</v>
      </c>
      <c r="CM222" s="21">
        <f>[2]底表!DZ222</f>
        <v>2</v>
      </c>
      <c r="CN222" s="21">
        <f>[2]底表!EA222</f>
        <v>12</v>
      </c>
      <c r="CO222" s="21">
        <f>[2]底表!EB222</f>
        <v>0</v>
      </c>
      <c r="CP222" s="21">
        <f>[2]底表!EC222</f>
        <v>5</v>
      </c>
      <c r="CQ222" s="21">
        <f>[2]底表!ED222</f>
        <v>2</v>
      </c>
      <c r="CR222" s="21">
        <f>[2]底表!EE222</f>
        <v>1.5</v>
      </c>
      <c r="CS222" s="21">
        <f>[2]底表!EF222</f>
        <v>4</v>
      </c>
      <c r="CT222" s="21">
        <f>[2]底表!EG222</f>
        <v>0.25</v>
      </c>
      <c r="CU222" s="21">
        <f>[2]底表!EH222</f>
        <v>0.5</v>
      </c>
      <c r="CV222" s="21">
        <f>[2]底表!EI222</f>
        <v>-1.5</v>
      </c>
      <c r="CW222" s="21">
        <f>[2]底表!EJ222</f>
        <v>36</v>
      </c>
      <c r="CX222" s="21">
        <f>[2]底表!EK222</f>
        <v>11</v>
      </c>
      <c r="CY222" s="21">
        <f>[2]底表!EL222</f>
        <v>0.4286</v>
      </c>
      <c r="CZ222" s="21">
        <f>[2]底表!EM222</f>
        <v>5</v>
      </c>
      <c r="DA222" s="21">
        <f>[2]底表!EN222</f>
        <v>2</v>
      </c>
      <c r="DB222" s="21">
        <f>[2]底表!EO222</f>
        <v>1.5</v>
      </c>
      <c r="DC222" s="21">
        <f>[2]底表!EP222</f>
        <v>4</v>
      </c>
      <c r="DD222" s="21">
        <f>[2]底表!EQ222</f>
        <v>0.25</v>
      </c>
      <c r="DE222" s="21">
        <f>[2]底表!ER222</f>
        <v>4</v>
      </c>
      <c r="DF222" s="21">
        <f>[2]底表!ES222</f>
        <v>11</v>
      </c>
      <c r="DG222" s="23">
        <f>[2]底表!ET222</f>
        <v>-0.6364</v>
      </c>
      <c r="DH222" s="21">
        <f>[2]底表!EU222</f>
        <v>14</v>
      </c>
      <c r="DI222" s="21">
        <f>[2]底表!EV222</f>
        <v>-0.7143</v>
      </c>
      <c r="DJ222" s="21">
        <f>[2]底表!EW222</f>
        <v>0.4</v>
      </c>
      <c r="DK222" s="21">
        <f>[2]底表!EX222</f>
        <v>-10.6</v>
      </c>
      <c r="DL222" s="21">
        <f>[2]底表!EY222</f>
        <v>29</v>
      </c>
      <c r="DM222" s="21">
        <f>[2]底表!EZ222</f>
        <v>-109</v>
      </c>
      <c r="DN222" s="21">
        <f>[2]底表!FA222</f>
        <v>-0.7922</v>
      </c>
      <c r="DO222" s="21">
        <f>[2]底表!BQ222</f>
        <v>4</v>
      </c>
      <c r="DP222" s="21">
        <f>[2]底表!BR222</f>
        <v>10</v>
      </c>
      <c r="DQ222" s="24">
        <f>[2]底表!BS222</f>
        <v>-0.6</v>
      </c>
    </row>
    <row r="223" s="2" customFormat="1" ht="32" hidden="1" customHeight="1" spans="1:121">
      <c r="A223" s="27" t="str">
        <f>[2]底表!A223</f>
        <v>交通肇事案</v>
      </c>
      <c r="B223" s="28" t="str">
        <f>[2]底表!B223</f>
        <v>云城区</v>
      </c>
      <c r="C223" s="21">
        <f>[2]底表!AM223</f>
        <v>0</v>
      </c>
      <c r="D223" s="21">
        <f>[2]底表!AN223</f>
        <v>0</v>
      </c>
      <c r="E223" s="23" t="str">
        <f>[2]底表!AO223</f>
        <v>持平</v>
      </c>
      <c r="F223" s="21">
        <f>[2]底表!AP223</f>
        <v>0</v>
      </c>
      <c r="G223" s="21" t="str">
        <f>[2]底表!AQ223</f>
        <v>持平</v>
      </c>
      <c r="H223" s="21" t="str">
        <f>[2]底表!AR223</f>
        <v/>
      </c>
      <c r="I223" s="21" t="str">
        <f>[2]底表!AS223</f>
        <v/>
      </c>
      <c r="J223" s="21">
        <f>[2]底表!AT223</f>
        <v>0</v>
      </c>
      <c r="K223" s="21">
        <f>[2]底表!AU223</f>
        <v>0</v>
      </c>
      <c r="L223" s="21" t="str">
        <f>[2]底表!AV223</f>
        <v>持平</v>
      </c>
      <c r="M223" s="21">
        <f>[2]底表!AW223</f>
        <v>0</v>
      </c>
      <c r="N223" s="21" t="str">
        <f>[2]底表!AX223</f>
        <v>持平</v>
      </c>
      <c r="O223" s="21">
        <f>[2]底表!AY223</f>
        <v>0</v>
      </c>
      <c r="P223" s="21">
        <f>[2]底表!AZ223</f>
        <v>0</v>
      </c>
      <c r="Q223" s="21" t="str">
        <f>[2]底表!BA223</f>
        <v>持平</v>
      </c>
      <c r="R223" s="21">
        <f>[2]底表!BB223</f>
        <v>0</v>
      </c>
      <c r="S223" s="21" t="str">
        <f>[2]底表!BC223</f>
        <v>持平</v>
      </c>
      <c r="T223" s="21" t="str">
        <f>[2]底表!BD223</f>
        <v/>
      </c>
      <c r="U223" s="21" t="str">
        <f>[2]底表!BE223</f>
        <v/>
      </c>
      <c r="V223" s="21">
        <f>[2]底表!BF223</f>
        <v>0</v>
      </c>
      <c r="W223" s="21">
        <f>[2]底表!BG223</f>
        <v>0</v>
      </c>
      <c r="X223" s="21" t="str">
        <f>[2]底表!BH223</f>
        <v>持平</v>
      </c>
      <c r="Y223" s="21">
        <f>[2]底表!BI223</f>
        <v>0</v>
      </c>
      <c r="Z223" s="21" t="str">
        <f>[2]底表!BJ223</f>
        <v>持平</v>
      </c>
      <c r="AA223" s="21" t="str">
        <f>[2]底表!BK223</f>
        <v/>
      </c>
      <c r="AB223" s="21">
        <f>[2]底表!BL223</f>
        <v>0</v>
      </c>
      <c r="AC223" s="21">
        <f>[2]底表!BM223</f>
        <v>0</v>
      </c>
      <c r="AD223" s="21" t="str">
        <f>[2]底表!BN223</f>
        <v>持平</v>
      </c>
      <c r="AE223" s="21">
        <f>[2]底表!BO223</f>
        <v>0</v>
      </c>
      <c r="AF223" s="21" t="str">
        <f>[2]底表!BP223</f>
        <v>持平</v>
      </c>
      <c r="AG223" s="21">
        <f>[2]底表!BT223</f>
        <v>0</v>
      </c>
      <c r="AH223" s="21" t="str">
        <f>[2]底表!BU223</f>
        <v>持平</v>
      </c>
      <c r="AI223" s="21" t="str">
        <f>[2]底表!BV223</f>
        <v/>
      </c>
      <c r="AJ223" s="21" t="str">
        <f>[2]底表!BW223</f>
        <v/>
      </c>
      <c r="AK223" s="21" t="str">
        <f>[2]底表!BX223</f>
        <v/>
      </c>
      <c r="AL223" s="21" t="str">
        <f>[2]底表!BY223</f>
        <v/>
      </c>
      <c r="AM223" s="21">
        <f>[2]底表!BZ223</f>
        <v>0</v>
      </c>
      <c r="AN223" s="21">
        <f>[2]底表!CA223</f>
        <v>0</v>
      </c>
      <c r="AO223" s="21" t="str">
        <f>[2]底表!CB223</f>
        <v>持平</v>
      </c>
      <c r="AP223" s="21">
        <f>[2]底表!CC223</f>
        <v>0</v>
      </c>
      <c r="AQ223" s="21" t="str">
        <f>[2]底表!CD223</f>
        <v>持平</v>
      </c>
      <c r="AR223" s="21" t="str">
        <f>[2]底表!CE223</f>
        <v/>
      </c>
      <c r="AS223" s="21" t="str">
        <f>[2]底表!CF223</f>
        <v/>
      </c>
      <c r="AT223" s="21">
        <f>[2]底表!CG223</f>
        <v>0</v>
      </c>
      <c r="AU223" s="21">
        <f>[2]底表!CH223</f>
        <v>0</v>
      </c>
      <c r="AV223" s="21" t="str">
        <f>[2]底表!CI223</f>
        <v>持平</v>
      </c>
      <c r="AW223" s="21">
        <f>[2]底表!CJ223</f>
        <v>0</v>
      </c>
      <c r="AX223" s="21" t="str">
        <f>[2]底表!CK223</f>
        <v>持平</v>
      </c>
      <c r="AY223" s="21" t="str">
        <f>[2]底表!CL223</f>
        <v/>
      </c>
      <c r="AZ223" s="21" t="str">
        <f>[2]底表!CM223</f>
        <v/>
      </c>
      <c r="BA223" s="21" t="str">
        <f>[2]底表!CN223</f>
        <v/>
      </c>
      <c r="BB223" s="21">
        <f>[2]底表!CO223</f>
        <v>0</v>
      </c>
      <c r="BC223" s="21">
        <f>[2]底表!CP223</f>
        <v>0</v>
      </c>
      <c r="BD223" s="21" t="str">
        <f>[2]底表!CQ223</f>
        <v>持平</v>
      </c>
      <c r="BE223" s="21">
        <f>[2]底表!CR223</f>
        <v>0</v>
      </c>
      <c r="BF223" s="21" t="str">
        <f>[2]底表!CS223</f>
        <v>持平</v>
      </c>
      <c r="BG223" s="21" t="str">
        <f>[2]底表!CT223</f>
        <v/>
      </c>
      <c r="BH223" s="21" t="str">
        <f>[2]底表!CU223</f>
        <v/>
      </c>
      <c r="BI223" s="21" t="str">
        <f>[2]底表!CV223</f>
        <v/>
      </c>
      <c r="BJ223" s="21" t="str">
        <f>[2]底表!CW223</f>
        <v/>
      </c>
      <c r="BK223" s="21" t="str">
        <f>[2]底表!CX223</f>
        <v/>
      </c>
      <c r="BL223" s="21">
        <f>[2]底表!CY223</f>
        <v>0</v>
      </c>
      <c r="BM223" s="21">
        <f>[2]底表!CZ223</f>
        <v>0</v>
      </c>
      <c r="BN223" s="23" t="str">
        <f>[2]底表!DA223</f>
        <v>持平</v>
      </c>
      <c r="BO223" s="21">
        <f>[2]底表!DB223</f>
        <v>0</v>
      </c>
      <c r="BP223" s="21" t="str">
        <f>[2]底表!DC223</f>
        <v>持平</v>
      </c>
      <c r="BQ223" s="21" t="str">
        <f>[2]底表!DD223</f>
        <v/>
      </c>
      <c r="BR223" s="21" t="str">
        <f>[2]底表!DE223</f>
        <v/>
      </c>
      <c r="BS223" s="21" t="str">
        <f>[2]底表!DF223</f>
        <v/>
      </c>
      <c r="BT223" s="21" t="str">
        <f>[2]底表!DG223</f>
        <v/>
      </c>
      <c r="BU223" s="21" t="str">
        <f>[2]底表!DH223</f>
        <v/>
      </c>
      <c r="BV223" s="21">
        <f>[2]底表!DI223</f>
        <v>0</v>
      </c>
      <c r="BW223" s="21">
        <f>[2]底表!DJ223</f>
        <v>0</v>
      </c>
      <c r="BX223" s="23" t="str">
        <f>[2]底表!DK223</f>
        <v>持平</v>
      </c>
      <c r="BY223" s="21">
        <f>[2]底表!DL223</f>
        <v>0</v>
      </c>
      <c r="BZ223" s="21" t="str">
        <f>[2]底表!DM223</f>
        <v>持平</v>
      </c>
      <c r="CA223" s="21">
        <f>[2]底表!DN223</f>
        <v>0</v>
      </c>
      <c r="CB223" s="21">
        <f>[2]底表!DO223</f>
        <v>0</v>
      </c>
      <c r="CC223" s="21" t="str">
        <f>[2]底表!DP223</f>
        <v>持平</v>
      </c>
      <c r="CD223" s="21">
        <f>[2]底表!DQ223</f>
        <v>0</v>
      </c>
      <c r="CE223" s="21" t="str">
        <f>[2]底表!DR223</f>
        <v>持平</v>
      </c>
      <c r="CF223" s="21">
        <f>[2]底表!DS223</f>
        <v>0</v>
      </c>
      <c r="CG223" s="21">
        <f>[2]底表!DT223</f>
        <v>0</v>
      </c>
      <c r="CH223" s="21" t="str">
        <f>[2]底表!DU223</f>
        <v>持平</v>
      </c>
      <c r="CI223" s="21">
        <f>[2]底表!DV223</f>
        <v>0</v>
      </c>
      <c r="CJ223" s="21" t="str">
        <f>[2]底表!DW223</f>
        <v>持平</v>
      </c>
      <c r="CK223" s="21">
        <f>[2]底表!DX223</f>
        <v>0</v>
      </c>
      <c r="CL223" s="21">
        <f>[2]底表!DY223</f>
        <v>0</v>
      </c>
      <c r="CM223" s="21" t="str">
        <f>[2]底表!DZ223</f>
        <v>持平</v>
      </c>
      <c r="CN223" s="21">
        <f>[2]底表!EA223</f>
        <v>0</v>
      </c>
      <c r="CO223" s="21" t="str">
        <f>[2]底表!EB223</f>
        <v>持平</v>
      </c>
      <c r="CP223" s="21">
        <f>[2]底表!EC223</f>
        <v>0</v>
      </c>
      <c r="CQ223" s="21">
        <f>[2]底表!ED223</f>
        <v>0</v>
      </c>
      <c r="CR223" s="21" t="str">
        <f>[2]底表!EE223</f>
        <v>持平</v>
      </c>
      <c r="CS223" s="21">
        <f>[2]底表!EF223</f>
        <v>0</v>
      </c>
      <c r="CT223" s="21" t="str">
        <f>[2]底表!EG223</f>
        <v>持平</v>
      </c>
      <c r="CU223" s="21" t="str">
        <f>[2]底表!EH223</f>
        <v/>
      </c>
      <c r="CV223" s="21" t="str">
        <f>[2]底表!EI223</f>
        <v/>
      </c>
      <c r="CW223" s="21" t="str">
        <f>[2]底表!EJ223</f>
        <v/>
      </c>
      <c r="CX223" s="21" t="str">
        <f>[2]底表!EK223</f>
        <v/>
      </c>
      <c r="CY223" s="21" t="str">
        <f>[2]底表!EL223</f>
        <v/>
      </c>
      <c r="CZ223" s="21">
        <f>[2]底表!EM223</f>
        <v>0</v>
      </c>
      <c r="DA223" s="21">
        <f>[2]底表!EN223</f>
        <v>0</v>
      </c>
      <c r="DB223" s="21" t="str">
        <f>[2]底表!EO223</f>
        <v>持平</v>
      </c>
      <c r="DC223" s="21">
        <f>[2]底表!EP223</f>
        <v>0</v>
      </c>
      <c r="DD223" s="21" t="str">
        <f>[2]底表!EQ223</f>
        <v>持平</v>
      </c>
      <c r="DE223" s="21">
        <f>[2]底表!ER223</f>
        <v>0</v>
      </c>
      <c r="DF223" s="21">
        <f>[2]底表!ES223</f>
        <v>0</v>
      </c>
      <c r="DG223" s="23" t="str">
        <f>[2]底表!ET223</f>
        <v>持平</v>
      </c>
      <c r="DH223" s="21">
        <f>[2]底表!EU223</f>
        <v>0</v>
      </c>
      <c r="DI223" s="21" t="str">
        <f>[2]底表!EV223</f>
        <v>持平</v>
      </c>
      <c r="DJ223" s="21" t="str">
        <f>[2]底表!EW223</f>
        <v/>
      </c>
      <c r="DK223" s="21" t="str">
        <f>[2]底表!EX223</f>
        <v/>
      </c>
      <c r="DL223" s="21" t="str">
        <f>[2]底表!EY223</f>
        <v/>
      </c>
      <c r="DM223" s="21" t="str">
        <f>[2]底表!EZ223</f>
        <v/>
      </c>
      <c r="DN223" s="21" t="str">
        <f>[2]底表!FA223</f>
        <v/>
      </c>
      <c r="DO223" s="21">
        <f>[2]底表!BQ223</f>
        <v>0</v>
      </c>
      <c r="DP223" s="21">
        <f>[2]底表!BR223</f>
        <v>0</v>
      </c>
      <c r="DQ223" s="24" t="str">
        <f>[2]底表!BS223</f>
        <v>持平</v>
      </c>
    </row>
    <row r="224" s="2" customFormat="1" ht="32" hidden="1" customHeight="1" spans="1:121">
      <c r="A224" s="27" t="str">
        <f>[2]底表!A224</f>
        <v>交通肇事案</v>
      </c>
      <c r="B224" s="28" t="str">
        <f>[2]底表!B224</f>
        <v>云安区</v>
      </c>
      <c r="C224" s="21">
        <f>[2]底表!AM224</f>
        <v>1</v>
      </c>
      <c r="D224" s="21">
        <f>[2]底表!AN224</f>
        <v>0</v>
      </c>
      <c r="E224" s="23" t="str">
        <f>[2]底表!AO224</f>
        <v>多1起</v>
      </c>
      <c r="F224" s="21">
        <f>[2]底表!AP224</f>
        <v>1</v>
      </c>
      <c r="G224" s="21">
        <f>[2]底表!AQ224</f>
        <v>0</v>
      </c>
      <c r="H224" s="21">
        <f>[2]底表!AR224</f>
        <v>1</v>
      </c>
      <c r="I224" s="21">
        <f>[2]底表!AS224</f>
        <v>1</v>
      </c>
      <c r="J224" s="21">
        <f>[2]底表!AT224</f>
        <v>0</v>
      </c>
      <c r="K224" s="21">
        <f>[2]底表!AU224</f>
        <v>0</v>
      </c>
      <c r="L224" s="21" t="str">
        <f>[2]底表!AV224</f>
        <v>持平</v>
      </c>
      <c r="M224" s="21">
        <f>[2]底表!AW224</f>
        <v>1</v>
      </c>
      <c r="N224" s="21" t="str">
        <f>[2]底表!AX224</f>
        <v>少1起</v>
      </c>
      <c r="O224" s="21">
        <f>[2]底表!AY224</f>
        <v>0</v>
      </c>
      <c r="P224" s="21">
        <f>[2]底表!AZ224</f>
        <v>0</v>
      </c>
      <c r="Q224" s="21" t="str">
        <f>[2]底表!BA224</f>
        <v>持平</v>
      </c>
      <c r="R224" s="21">
        <f>[2]底表!BB224</f>
        <v>1</v>
      </c>
      <c r="S224" s="21" t="str">
        <f>[2]底表!BC224</f>
        <v>少1起</v>
      </c>
      <c r="T224" s="21" t="str">
        <f>[2]底表!BD224</f>
        <v/>
      </c>
      <c r="U224" s="21" t="str">
        <f>[2]底表!BE224</f>
        <v/>
      </c>
      <c r="V224" s="21">
        <f>[2]底表!BF224</f>
        <v>1</v>
      </c>
      <c r="W224" s="21">
        <f>[2]底表!BG224</f>
        <v>1</v>
      </c>
      <c r="X224" s="21">
        <f>[2]底表!BH224</f>
        <v>0</v>
      </c>
      <c r="Y224" s="21">
        <f>[2]底表!BI224</f>
        <v>0</v>
      </c>
      <c r="Z224" s="21" t="str">
        <f>[2]底表!BJ224</f>
        <v>多1起</v>
      </c>
      <c r="AA224" s="21">
        <f>[2]底表!BK224</f>
        <v>1</v>
      </c>
      <c r="AB224" s="21">
        <f>[2]底表!BL224</f>
        <v>1</v>
      </c>
      <c r="AC224" s="21">
        <f>[2]底表!BM224</f>
        <v>0</v>
      </c>
      <c r="AD224" s="21" t="str">
        <f>[2]底表!BN224</f>
        <v>多1起</v>
      </c>
      <c r="AE224" s="21">
        <f>[2]底表!BO224</f>
        <v>0</v>
      </c>
      <c r="AF224" s="21" t="str">
        <f>[2]底表!BP224</f>
        <v>多1起</v>
      </c>
      <c r="AG224" s="21">
        <f>[2]底表!BT224</f>
        <v>1</v>
      </c>
      <c r="AH224" s="21" t="str">
        <f>[2]底表!BU224</f>
        <v>少1起</v>
      </c>
      <c r="AI224" s="21">
        <f>[2]底表!BV224</f>
        <v>0</v>
      </c>
      <c r="AJ224" s="21">
        <f>[2]底表!BW224</f>
        <v>-2</v>
      </c>
      <c r="AK224" s="21" t="str">
        <f>[2]底表!BX224</f>
        <v/>
      </c>
      <c r="AL224" s="21" t="str">
        <f>[2]底表!BY224</f>
        <v/>
      </c>
      <c r="AM224" s="21">
        <f>[2]底表!BZ224</f>
        <v>0</v>
      </c>
      <c r="AN224" s="21">
        <f>[2]底表!CA224</f>
        <v>0</v>
      </c>
      <c r="AO224" s="21" t="str">
        <f>[2]底表!CB224</f>
        <v>持平</v>
      </c>
      <c r="AP224" s="21">
        <f>[2]底表!CC224</f>
        <v>0</v>
      </c>
      <c r="AQ224" s="21" t="str">
        <f>[2]底表!CD224</f>
        <v>持平</v>
      </c>
      <c r="AR224" s="21" t="str">
        <f>[2]底表!CE224</f>
        <v/>
      </c>
      <c r="AS224" s="21" t="str">
        <f>[2]底表!CF224</f>
        <v/>
      </c>
      <c r="AT224" s="21">
        <f>[2]底表!CG224</f>
        <v>1</v>
      </c>
      <c r="AU224" s="21">
        <f>[2]底表!CH224</f>
        <v>1</v>
      </c>
      <c r="AV224" s="21">
        <f>[2]底表!CI224</f>
        <v>0</v>
      </c>
      <c r="AW224" s="21">
        <f>[2]底表!CJ224</f>
        <v>1</v>
      </c>
      <c r="AX224" s="21">
        <f>[2]底表!CK224</f>
        <v>0</v>
      </c>
      <c r="AY224" s="21">
        <f>[2]底表!CL224</f>
        <v>100</v>
      </c>
      <c r="AZ224" s="21">
        <f>[2]底表!CM224</f>
        <v>0</v>
      </c>
      <c r="BA224" s="21">
        <f>[2]底表!CN224</f>
        <v>0</v>
      </c>
      <c r="BB224" s="21">
        <f>[2]底表!CO224</f>
        <v>1</v>
      </c>
      <c r="BC224" s="21">
        <f>[2]底表!CP224</f>
        <v>0</v>
      </c>
      <c r="BD224" s="21" t="str">
        <f>[2]底表!CQ224</f>
        <v>多1人</v>
      </c>
      <c r="BE224" s="21">
        <f>[2]底表!CR224</f>
        <v>1</v>
      </c>
      <c r="BF224" s="21">
        <f>[2]底表!CS224</f>
        <v>0</v>
      </c>
      <c r="BG224" s="21">
        <f>[2]底表!CT224</f>
        <v>1</v>
      </c>
      <c r="BH224" s="21">
        <f>[2]底表!CU224</f>
        <v>1</v>
      </c>
      <c r="BI224" s="21">
        <f>[2]底表!CV224</f>
        <v>100</v>
      </c>
      <c r="BJ224" s="21">
        <f>[2]底表!CW224</f>
        <v>100</v>
      </c>
      <c r="BK224" s="21" t="str">
        <f>[2]底表!CX224</f>
        <v/>
      </c>
      <c r="BL224" s="21">
        <f>[2]底表!CY224</f>
        <v>1</v>
      </c>
      <c r="BM224" s="21">
        <f>[2]底表!CZ224</f>
        <v>1</v>
      </c>
      <c r="BN224" s="23">
        <f>[2]底表!DA224</f>
        <v>0</v>
      </c>
      <c r="BO224" s="21">
        <f>[2]底表!DB224</f>
        <v>1</v>
      </c>
      <c r="BP224" s="21">
        <f>[2]底表!DC224</f>
        <v>0</v>
      </c>
      <c r="BQ224" s="21">
        <f>[2]底表!DD224</f>
        <v>1</v>
      </c>
      <c r="BR224" s="21">
        <f>[2]底表!DE224</f>
        <v>0</v>
      </c>
      <c r="BS224" s="21">
        <f>[2]底表!DF224</f>
        <v>100</v>
      </c>
      <c r="BT224" s="21">
        <f>[2]底表!DG224</f>
        <v>0</v>
      </c>
      <c r="BU224" s="21">
        <f>[2]底表!DH224</f>
        <v>0</v>
      </c>
      <c r="BV224" s="21">
        <f>[2]底表!DI224</f>
        <v>0</v>
      </c>
      <c r="BW224" s="21">
        <f>[2]底表!DJ224</f>
        <v>0</v>
      </c>
      <c r="BX224" s="23" t="str">
        <f>[2]底表!DK224</f>
        <v>持平</v>
      </c>
      <c r="BY224" s="21">
        <f>[2]底表!DL224</f>
        <v>0</v>
      </c>
      <c r="BZ224" s="21" t="str">
        <f>[2]底表!DM224</f>
        <v>持平</v>
      </c>
      <c r="CA224" s="21">
        <f>[2]底表!DN224</f>
        <v>0</v>
      </c>
      <c r="CB224" s="21">
        <f>[2]底表!DO224</f>
        <v>2</v>
      </c>
      <c r="CC224" s="21" t="str">
        <f>[2]底表!DP224</f>
        <v>少2人</v>
      </c>
      <c r="CD224" s="21">
        <f>[2]底表!DQ224</f>
        <v>0</v>
      </c>
      <c r="CE224" s="21" t="str">
        <f>[2]底表!DR224</f>
        <v>持平</v>
      </c>
      <c r="CF224" s="21">
        <f>[2]底表!DS224</f>
        <v>0</v>
      </c>
      <c r="CG224" s="21">
        <f>[2]底表!DT224</f>
        <v>2</v>
      </c>
      <c r="CH224" s="21" t="str">
        <f>[2]底表!DU224</f>
        <v>少2人</v>
      </c>
      <c r="CI224" s="21">
        <f>[2]底表!DV224</f>
        <v>0</v>
      </c>
      <c r="CJ224" s="21" t="str">
        <f>[2]底表!DW224</f>
        <v>持平</v>
      </c>
      <c r="CK224" s="21">
        <f>[2]底表!DX224</f>
        <v>1</v>
      </c>
      <c r="CL224" s="21">
        <f>[2]底表!DY224</f>
        <v>1</v>
      </c>
      <c r="CM224" s="21">
        <f>[2]底表!DZ224</f>
        <v>0</v>
      </c>
      <c r="CN224" s="21">
        <f>[2]底表!EA224</f>
        <v>1</v>
      </c>
      <c r="CO224" s="21">
        <f>[2]底表!EB224</f>
        <v>0</v>
      </c>
      <c r="CP224" s="21">
        <f>[2]底表!EC224</f>
        <v>1</v>
      </c>
      <c r="CQ224" s="21">
        <f>[2]底表!ED224</f>
        <v>0</v>
      </c>
      <c r="CR224" s="21" t="str">
        <f>[2]底表!EE224</f>
        <v>多1人</v>
      </c>
      <c r="CS224" s="21">
        <f>[2]底表!EF224</f>
        <v>1</v>
      </c>
      <c r="CT224" s="21">
        <f>[2]底表!EG224</f>
        <v>0</v>
      </c>
      <c r="CU224" s="21">
        <f>[2]底表!EH224</f>
        <v>1</v>
      </c>
      <c r="CV224" s="21" t="str">
        <f>[2]底表!EI224</f>
        <v/>
      </c>
      <c r="CW224" s="21">
        <f>[2]底表!EJ224</f>
        <v>100</v>
      </c>
      <c r="CX224" s="21">
        <f>[2]底表!EK224</f>
        <v>100</v>
      </c>
      <c r="CY224" s="21" t="str">
        <f>[2]底表!EL224</f>
        <v/>
      </c>
      <c r="CZ224" s="21">
        <f>[2]底表!EM224</f>
        <v>1</v>
      </c>
      <c r="DA224" s="21">
        <f>[2]底表!EN224</f>
        <v>0</v>
      </c>
      <c r="DB224" s="21" t="str">
        <f>[2]底表!EO224</f>
        <v>多1人</v>
      </c>
      <c r="DC224" s="21">
        <f>[2]底表!EP224</f>
        <v>1</v>
      </c>
      <c r="DD224" s="21">
        <f>[2]底表!EQ224</f>
        <v>0</v>
      </c>
      <c r="DE224" s="21">
        <f>[2]底表!ER224</f>
        <v>0</v>
      </c>
      <c r="DF224" s="21">
        <f>[2]底表!ES224</f>
        <v>2</v>
      </c>
      <c r="DG224" s="23" t="str">
        <f>[2]底表!ET224</f>
        <v>少2人</v>
      </c>
      <c r="DH224" s="21">
        <f>[2]底表!EU224</f>
        <v>1</v>
      </c>
      <c r="DI224" s="21" t="str">
        <f>[2]底表!EV224</f>
        <v>少1人</v>
      </c>
      <c r="DJ224" s="21">
        <f>[2]底表!EW224</f>
        <v>0</v>
      </c>
      <c r="DK224" s="21" t="str">
        <f>[2]底表!EX224</f>
        <v/>
      </c>
      <c r="DL224" s="21">
        <f>[2]底表!EY224</f>
        <v>0</v>
      </c>
      <c r="DM224" s="21">
        <f>[2]底表!EZ224</f>
        <v>-200</v>
      </c>
      <c r="DN224" s="21">
        <f>[2]底表!FA224</f>
        <v>-1</v>
      </c>
      <c r="DO224" s="21">
        <f>[2]底表!BQ224</f>
        <v>0</v>
      </c>
      <c r="DP224" s="21">
        <f>[2]底表!BR224</f>
        <v>2</v>
      </c>
      <c r="DQ224" s="24" t="str">
        <f>[2]底表!BS224</f>
        <v>少2起</v>
      </c>
    </row>
    <row r="225" s="2" customFormat="1" ht="32" hidden="1" customHeight="1" spans="1:121">
      <c r="A225" s="27" t="str">
        <f>[2]底表!A225</f>
        <v>交通肇事案</v>
      </c>
      <c r="B225" s="28" t="str">
        <f>[2]底表!B225</f>
        <v>新兴县</v>
      </c>
      <c r="C225" s="21">
        <f>[2]底表!AM225</f>
        <v>5</v>
      </c>
      <c r="D225" s="21">
        <f>[2]底表!AN225</f>
        <v>3</v>
      </c>
      <c r="E225" s="23">
        <f>[2]底表!AO225</f>
        <v>0.6667</v>
      </c>
      <c r="F225" s="21">
        <f>[2]底表!AP225</f>
        <v>4</v>
      </c>
      <c r="G225" s="21">
        <f>[2]底表!AQ225</f>
        <v>0.25</v>
      </c>
      <c r="H225" s="21">
        <f>[2]底表!AR225</f>
        <v>1.25</v>
      </c>
      <c r="I225" s="21">
        <f>[2]底表!AS225</f>
        <v>0.25</v>
      </c>
      <c r="J225" s="21">
        <f>[2]底表!AT225</f>
        <v>0</v>
      </c>
      <c r="K225" s="21">
        <f>[2]底表!AU225</f>
        <v>0</v>
      </c>
      <c r="L225" s="21" t="str">
        <f>[2]底表!AV225</f>
        <v>持平</v>
      </c>
      <c r="M225" s="21">
        <f>[2]底表!AW225</f>
        <v>4</v>
      </c>
      <c r="N225" s="21" t="str">
        <f>[2]底表!AX225</f>
        <v>少4起</v>
      </c>
      <c r="O225" s="21">
        <f>[2]底表!AY225</f>
        <v>0</v>
      </c>
      <c r="P225" s="21">
        <f>[2]底表!AZ225</f>
        <v>0</v>
      </c>
      <c r="Q225" s="21" t="str">
        <f>[2]底表!BA225</f>
        <v>持平</v>
      </c>
      <c r="R225" s="21">
        <f>[2]底表!BB225</f>
        <v>4</v>
      </c>
      <c r="S225" s="21" t="str">
        <f>[2]底表!BC225</f>
        <v>少4起</v>
      </c>
      <c r="T225" s="21" t="str">
        <f>[2]底表!BD225</f>
        <v/>
      </c>
      <c r="U225" s="21" t="str">
        <f>[2]底表!BE225</f>
        <v/>
      </c>
      <c r="V225" s="21">
        <f>[2]底表!BF225</f>
        <v>4</v>
      </c>
      <c r="W225" s="21">
        <f>[2]底表!BG225</f>
        <v>3</v>
      </c>
      <c r="X225" s="21">
        <f>[2]底表!BH225</f>
        <v>0.3333</v>
      </c>
      <c r="Y225" s="21">
        <f>[2]底表!BI225</f>
        <v>0</v>
      </c>
      <c r="Z225" s="21" t="str">
        <f>[2]底表!BJ225</f>
        <v>多4起</v>
      </c>
      <c r="AA225" s="21">
        <f>[2]底表!BK225</f>
        <v>1</v>
      </c>
      <c r="AB225" s="21">
        <f>[2]底表!BL225</f>
        <v>5</v>
      </c>
      <c r="AC225" s="21">
        <f>[2]底表!BM225</f>
        <v>3</v>
      </c>
      <c r="AD225" s="21">
        <f>[2]底表!BN225</f>
        <v>0.6667</v>
      </c>
      <c r="AE225" s="21">
        <f>[2]底表!BO225</f>
        <v>0</v>
      </c>
      <c r="AF225" s="21" t="str">
        <f>[2]底表!BP225</f>
        <v>多5起</v>
      </c>
      <c r="AG225" s="21">
        <f>[2]底表!BT225</f>
        <v>4</v>
      </c>
      <c r="AH225" s="21">
        <f>[2]底表!BU225</f>
        <v>-0.5</v>
      </c>
      <c r="AI225" s="21">
        <f>[2]底表!BV225</f>
        <v>0.5</v>
      </c>
      <c r="AJ225" s="21">
        <f>[2]底表!BW225</f>
        <v>-0.8333</v>
      </c>
      <c r="AK225" s="21" t="str">
        <f>[2]底表!BX225</f>
        <v/>
      </c>
      <c r="AL225" s="21" t="str">
        <f>[2]底表!BY225</f>
        <v/>
      </c>
      <c r="AM225" s="21">
        <f>[2]底表!BZ225</f>
        <v>0</v>
      </c>
      <c r="AN225" s="21">
        <f>[2]底表!CA225</f>
        <v>0</v>
      </c>
      <c r="AO225" s="21" t="str">
        <f>[2]底表!CB225</f>
        <v>持平</v>
      </c>
      <c r="AP225" s="21">
        <f>[2]底表!CC225</f>
        <v>0</v>
      </c>
      <c r="AQ225" s="21" t="str">
        <f>[2]底表!CD225</f>
        <v>持平</v>
      </c>
      <c r="AR225" s="21" t="str">
        <f>[2]底表!CE225</f>
        <v/>
      </c>
      <c r="AS225" s="21" t="str">
        <f>[2]底表!CF225</f>
        <v/>
      </c>
      <c r="AT225" s="21">
        <f>[2]底表!CG225</f>
        <v>4</v>
      </c>
      <c r="AU225" s="21">
        <f>[2]底表!CH225</f>
        <v>1</v>
      </c>
      <c r="AV225" s="21">
        <f>[2]底表!CI225</f>
        <v>3</v>
      </c>
      <c r="AW225" s="21">
        <f>[2]底表!CJ225</f>
        <v>3</v>
      </c>
      <c r="AX225" s="21">
        <f>[2]底表!CK225</f>
        <v>0.3333</v>
      </c>
      <c r="AY225" s="21">
        <f>[2]底表!CL225</f>
        <v>100</v>
      </c>
      <c r="AZ225" s="21">
        <f>[2]底表!CM225</f>
        <v>67</v>
      </c>
      <c r="BA225" s="21">
        <f>[2]底表!CN225</f>
        <v>2</v>
      </c>
      <c r="BB225" s="21">
        <f>[2]底表!CO225</f>
        <v>3</v>
      </c>
      <c r="BC225" s="21">
        <f>[2]底表!CP225</f>
        <v>0</v>
      </c>
      <c r="BD225" s="21" t="str">
        <f>[2]底表!CQ225</f>
        <v>多3人</v>
      </c>
      <c r="BE225" s="21">
        <f>[2]底表!CR225</f>
        <v>4</v>
      </c>
      <c r="BF225" s="21">
        <f>[2]底表!CS225</f>
        <v>-0.25</v>
      </c>
      <c r="BG225" s="21">
        <f>[2]底表!CT225</f>
        <v>0.75</v>
      </c>
      <c r="BH225" s="21">
        <f>[2]底表!CU225</f>
        <v>0.75</v>
      </c>
      <c r="BI225" s="21">
        <f>[2]底表!CV225</f>
        <v>75</v>
      </c>
      <c r="BJ225" s="21">
        <f>[2]底表!CW225</f>
        <v>75</v>
      </c>
      <c r="BK225" s="21" t="str">
        <f>[2]底表!CX225</f>
        <v/>
      </c>
      <c r="BL225" s="21">
        <f>[2]底表!CY225</f>
        <v>5</v>
      </c>
      <c r="BM225" s="21">
        <f>[2]底表!CZ225</f>
        <v>0</v>
      </c>
      <c r="BN225" s="23" t="str">
        <f>[2]底表!DA225</f>
        <v>多5人</v>
      </c>
      <c r="BO225" s="21">
        <f>[2]底表!DB225</f>
        <v>8</v>
      </c>
      <c r="BP225" s="21">
        <f>[2]底表!DC225</f>
        <v>-0.375</v>
      </c>
      <c r="BQ225" s="21">
        <f>[2]底表!DD225</f>
        <v>1.25</v>
      </c>
      <c r="BR225" s="21">
        <f>[2]底表!DE225</f>
        <v>1.25</v>
      </c>
      <c r="BS225" s="21">
        <f>[2]底表!DF225</f>
        <v>125</v>
      </c>
      <c r="BT225" s="21">
        <f>[2]底表!DG225</f>
        <v>125</v>
      </c>
      <c r="BU225" s="21" t="str">
        <f>[2]底表!DH225</f>
        <v/>
      </c>
      <c r="BV225" s="21">
        <f>[2]底表!DI225</f>
        <v>5</v>
      </c>
      <c r="BW225" s="21">
        <f>[2]底表!DJ225</f>
        <v>0</v>
      </c>
      <c r="BX225" s="23" t="str">
        <f>[2]底表!DK225</f>
        <v>多5人</v>
      </c>
      <c r="BY225" s="21">
        <f>[2]底表!DL225</f>
        <v>7</v>
      </c>
      <c r="BZ225" s="21">
        <f>[2]底表!DM225</f>
        <v>-0.2857</v>
      </c>
      <c r="CA225" s="21">
        <f>[2]底表!DN225</f>
        <v>3</v>
      </c>
      <c r="CB225" s="21">
        <f>[2]底表!DO225</f>
        <v>1</v>
      </c>
      <c r="CC225" s="21">
        <f>[2]底表!DP225</f>
        <v>2</v>
      </c>
      <c r="CD225" s="21">
        <f>[2]底表!DQ225</f>
        <v>4</v>
      </c>
      <c r="CE225" s="21">
        <f>[2]底表!DR225</f>
        <v>-0.25</v>
      </c>
      <c r="CF225" s="21">
        <f>[2]底表!DS225</f>
        <v>3</v>
      </c>
      <c r="CG225" s="21">
        <f>[2]底表!DT225</f>
        <v>1</v>
      </c>
      <c r="CH225" s="21">
        <f>[2]底表!DU225</f>
        <v>2</v>
      </c>
      <c r="CI225" s="21">
        <f>[2]底表!DV225</f>
        <v>4</v>
      </c>
      <c r="CJ225" s="21">
        <f>[2]底表!DW225</f>
        <v>-0.25</v>
      </c>
      <c r="CK225" s="21">
        <f>[2]底表!DX225</f>
        <v>6</v>
      </c>
      <c r="CL225" s="21">
        <f>[2]底表!DY225</f>
        <v>0</v>
      </c>
      <c r="CM225" s="21" t="str">
        <f>[2]底表!DZ225</f>
        <v>多6人</v>
      </c>
      <c r="CN225" s="21">
        <f>[2]底表!EA225</f>
        <v>7</v>
      </c>
      <c r="CO225" s="21">
        <f>[2]底表!EB225</f>
        <v>-0.1429</v>
      </c>
      <c r="CP225" s="21">
        <f>[2]底表!EC225</f>
        <v>2</v>
      </c>
      <c r="CQ225" s="21">
        <f>[2]底表!ED225</f>
        <v>0</v>
      </c>
      <c r="CR225" s="21" t="str">
        <f>[2]底表!EE225</f>
        <v>多2人</v>
      </c>
      <c r="CS225" s="21">
        <f>[2]底表!EF225</f>
        <v>2</v>
      </c>
      <c r="CT225" s="21">
        <f>[2]底表!EG225</f>
        <v>0</v>
      </c>
      <c r="CU225" s="21">
        <f>[2]底表!EH225</f>
        <v>0.6667</v>
      </c>
      <c r="CV225" s="21" t="str">
        <f>[2]底表!EI225</f>
        <v/>
      </c>
      <c r="CW225" s="21">
        <f>[2]底表!EJ225</f>
        <v>50</v>
      </c>
      <c r="CX225" s="21">
        <f>[2]底表!EK225</f>
        <v>50</v>
      </c>
      <c r="CY225" s="21" t="str">
        <f>[2]底表!EL225</f>
        <v/>
      </c>
      <c r="CZ225" s="21">
        <f>[2]底表!EM225</f>
        <v>2</v>
      </c>
      <c r="DA225" s="21">
        <f>[2]底表!EN225</f>
        <v>0</v>
      </c>
      <c r="DB225" s="21" t="str">
        <f>[2]底表!EO225</f>
        <v>多2人</v>
      </c>
      <c r="DC225" s="21">
        <f>[2]底表!EP225</f>
        <v>2</v>
      </c>
      <c r="DD225" s="21">
        <f>[2]底表!EQ225</f>
        <v>0</v>
      </c>
      <c r="DE225" s="21">
        <f>[2]底表!ER225</f>
        <v>2</v>
      </c>
      <c r="DF225" s="21">
        <f>[2]底表!ES225</f>
        <v>4</v>
      </c>
      <c r="DG225" s="23">
        <f>[2]底表!ET225</f>
        <v>-0.5</v>
      </c>
      <c r="DH225" s="21">
        <f>[2]底表!EU225</f>
        <v>4</v>
      </c>
      <c r="DI225" s="21">
        <f>[2]底表!EV225</f>
        <v>-0.5</v>
      </c>
      <c r="DJ225" s="21">
        <f>[2]底表!EW225</f>
        <v>0.6667</v>
      </c>
      <c r="DK225" s="21" t="str">
        <f>[2]底表!EX225</f>
        <v/>
      </c>
      <c r="DL225" s="21">
        <f>[2]底表!EY225</f>
        <v>50</v>
      </c>
      <c r="DM225" s="21">
        <f>[2]底表!EZ225</f>
        <v>-83</v>
      </c>
      <c r="DN225" s="21">
        <f>[2]底表!FA225</f>
        <v>-0.625</v>
      </c>
      <c r="DO225" s="21">
        <f>[2]底表!BQ225</f>
        <v>2</v>
      </c>
      <c r="DP225" s="21">
        <f>[2]底表!BR225</f>
        <v>4</v>
      </c>
      <c r="DQ225" s="24">
        <f>[2]底表!BS225</f>
        <v>-0.5</v>
      </c>
    </row>
    <row r="226" s="2" customFormat="1" ht="32" hidden="1" customHeight="1" spans="1:121">
      <c r="A226" s="27" t="str">
        <f>[2]底表!A226</f>
        <v>交通肇事案</v>
      </c>
      <c r="B226" s="28" t="str">
        <f>[2]底表!B226</f>
        <v>郁南县</v>
      </c>
      <c r="C226" s="21">
        <f>[2]底表!AM226</f>
        <v>2</v>
      </c>
      <c r="D226" s="21">
        <f>[2]底表!AN226</f>
        <v>1</v>
      </c>
      <c r="E226" s="23">
        <f>[2]底表!AO226</f>
        <v>1</v>
      </c>
      <c r="F226" s="21">
        <f>[2]底表!AP226</f>
        <v>1</v>
      </c>
      <c r="G226" s="21">
        <f>[2]底表!AQ226</f>
        <v>1</v>
      </c>
      <c r="H226" s="21">
        <f>[2]底表!AR226</f>
        <v>0.6667</v>
      </c>
      <c r="I226" s="21">
        <f>[2]底表!AS226</f>
        <v>-0.3333</v>
      </c>
      <c r="J226" s="21">
        <f>[2]底表!AT226</f>
        <v>0</v>
      </c>
      <c r="K226" s="21">
        <f>[2]底表!AU226</f>
        <v>0</v>
      </c>
      <c r="L226" s="21" t="str">
        <f>[2]底表!AV226</f>
        <v>持平</v>
      </c>
      <c r="M226" s="21">
        <f>[2]底表!AW226</f>
        <v>1</v>
      </c>
      <c r="N226" s="21" t="str">
        <f>[2]底表!AX226</f>
        <v>少1起</v>
      </c>
      <c r="O226" s="21">
        <f>[2]底表!AY226</f>
        <v>0</v>
      </c>
      <c r="P226" s="21">
        <f>[2]底表!AZ226</f>
        <v>0</v>
      </c>
      <c r="Q226" s="21" t="str">
        <f>[2]底表!BA226</f>
        <v>持平</v>
      </c>
      <c r="R226" s="21">
        <f>[2]底表!BB226</f>
        <v>1</v>
      </c>
      <c r="S226" s="21" t="str">
        <f>[2]底表!BC226</f>
        <v>少1起</v>
      </c>
      <c r="T226" s="21" t="str">
        <f>[2]底表!BD226</f>
        <v/>
      </c>
      <c r="U226" s="21" t="str">
        <f>[2]底表!BE226</f>
        <v/>
      </c>
      <c r="V226" s="21">
        <f>[2]底表!BF226</f>
        <v>3</v>
      </c>
      <c r="W226" s="21">
        <f>[2]底表!BG226</f>
        <v>1</v>
      </c>
      <c r="X226" s="21">
        <f>[2]底表!BH226</f>
        <v>2</v>
      </c>
      <c r="Y226" s="21">
        <f>[2]底表!BI226</f>
        <v>0</v>
      </c>
      <c r="Z226" s="21" t="str">
        <f>[2]底表!BJ226</f>
        <v>多3起</v>
      </c>
      <c r="AA226" s="21">
        <f>[2]底表!BK226</f>
        <v>1</v>
      </c>
      <c r="AB226" s="21">
        <f>[2]底表!BL226</f>
        <v>2</v>
      </c>
      <c r="AC226" s="21">
        <f>[2]底表!BM226</f>
        <v>1</v>
      </c>
      <c r="AD226" s="21">
        <f>[2]底表!BN226</f>
        <v>1</v>
      </c>
      <c r="AE226" s="21">
        <f>[2]底表!BO226</f>
        <v>0</v>
      </c>
      <c r="AF226" s="21" t="str">
        <f>[2]底表!BP226</f>
        <v>多2起</v>
      </c>
      <c r="AG226" s="21">
        <f>[2]底表!BT226</f>
        <v>1</v>
      </c>
      <c r="AH226" s="21" t="str">
        <f>[2]底表!BU226</f>
        <v>少1起</v>
      </c>
      <c r="AI226" s="21">
        <f>[2]底表!BV226</f>
        <v>0</v>
      </c>
      <c r="AJ226" s="21">
        <f>[2]底表!BW226</f>
        <v>-2</v>
      </c>
      <c r="AK226" s="21" t="str">
        <f>[2]底表!BX226</f>
        <v/>
      </c>
      <c r="AL226" s="21" t="str">
        <f>[2]底表!BY226</f>
        <v/>
      </c>
      <c r="AM226" s="21">
        <f>[2]底表!BZ226</f>
        <v>0</v>
      </c>
      <c r="AN226" s="21">
        <f>[2]底表!CA226</f>
        <v>0</v>
      </c>
      <c r="AO226" s="21" t="str">
        <f>[2]底表!CB226</f>
        <v>持平</v>
      </c>
      <c r="AP226" s="21">
        <f>[2]底表!CC226</f>
        <v>0</v>
      </c>
      <c r="AQ226" s="21" t="str">
        <f>[2]底表!CD226</f>
        <v>持平</v>
      </c>
      <c r="AR226" s="21" t="str">
        <f>[2]底表!CE226</f>
        <v/>
      </c>
      <c r="AS226" s="21" t="str">
        <f>[2]底表!CF226</f>
        <v/>
      </c>
      <c r="AT226" s="21">
        <f>[2]底表!CG226</f>
        <v>2</v>
      </c>
      <c r="AU226" s="21">
        <f>[2]底表!CH226</f>
        <v>1</v>
      </c>
      <c r="AV226" s="21">
        <f>[2]底表!CI226</f>
        <v>1</v>
      </c>
      <c r="AW226" s="21">
        <f>[2]底表!CJ226</f>
        <v>1</v>
      </c>
      <c r="AX226" s="21">
        <f>[2]底表!CK226</f>
        <v>1</v>
      </c>
      <c r="AY226" s="21">
        <f>[2]底表!CL226</f>
        <v>67</v>
      </c>
      <c r="AZ226" s="21">
        <f>[2]底表!CM226</f>
        <v>-33</v>
      </c>
      <c r="BA226" s="21">
        <f>[2]底表!CN226</f>
        <v>-0.3333</v>
      </c>
      <c r="BB226" s="21">
        <f>[2]底表!CO226</f>
        <v>2</v>
      </c>
      <c r="BC226" s="21">
        <f>[2]底表!CP226</f>
        <v>1</v>
      </c>
      <c r="BD226" s="21">
        <f>[2]底表!CQ226</f>
        <v>1</v>
      </c>
      <c r="BE226" s="21">
        <f>[2]底表!CR226</f>
        <v>0</v>
      </c>
      <c r="BF226" s="21" t="str">
        <f>[2]底表!CS226</f>
        <v>多2人</v>
      </c>
      <c r="BG226" s="21">
        <f>[2]底表!CT226</f>
        <v>1</v>
      </c>
      <c r="BH226" s="21">
        <f>[2]底表!CU226</f>
        <v>0</v>
      </c>
      <c r="BI226" s="21">
        <f>[2]底表!CV226</f>
        <v>67</v>
      </c>
      <c r="BJ226" s="21">
        <f>[2]底表!CW226</f>
        <v>-33</v>
      </c>
      <c r="BK226" s="21">
        <f>[2]底表!CX226</f>
        <v>-0.3333</v>
      </c>
      <c r="BL226" s="21">
        <f>[2]底表!CY226</f>
        <v>2</v>
      </c>
      <c r="BM226" s="21">
        <f>[2]底表!CZ226</f>
        <v>1</v>
      </c>
      <c r="BN226" s="23">
        <f>[2]底表!DA226</f>
        <v>1</v>
      </c>
      <c r="BO226" s="21">
        <f>[2]底表!DB226</f>
        <v>1</v>
      </c>
      <c r="BP226" s="21">
        <f>[2]底表!DC226</f>
        <v>1</v>
      </c>
      <c r="BQ226" s="21">
        <f>[2]底表!DD226</f>
        <v>1</v>
      </c>
      <c r="BR226" s="21">
        <f>[2]底表!DE226</f>
        <v>0</v>
      </c>
      <c r="BS226" s="21">
        <f>[2]底表!DF226</f>
        <v>67</v>
      </c>
      <c r="BT226" s="21">
        <f>[2]底表!DG226</f>
        <v>-33</v>
      </c>
      <c r="BU226" s="21">
        <f>[2]底表!DH226</f>
        <v>-0.3333</v>
      </c>
      <c r="BV226" s="21">
        <f>[2]底表!DI226</f>
        <v>1</v>
      </c>
      <c r="BW226" s="21">
        <f>[2]底表!DJ226</f>
        <v>1</v>
      </c>
      <c r="BX226" s="23">
        <f>[2]底表!DK226</f>
        <v>0</v>
      </c>
      <c r="BY226" s="21">
        <f>[2]底表!DL226</f>
        <v>1</v>
      </c>
      <c r="BZ226" s="21">
        <f>[2]底表!DM226</f>
        <v>0</v>
      </c>
      <c r="CA226" s="21">
        <f>[2]底表!DN226</f>
        <v>1</v>
      </c>
      <c r="CB226" s="21">
        <f>[2]底表!DO226</f>
        <v>0</v>
      </c>
      <c r="CC226" s="21" t="str">
        <f>[2]底表!DP226</f>
        <v>多1人</v>
      </c>
      <c r="CD226" s="21">
        <f>[2]底表!DQ226</f>
        <v>1</v>
      </c>
      <c r="CE226" s="21">
        <f>[2]底表!DR226</f>
        <v>0</v>
      </c>
      <c r="CF226" s="21">
        <f>[2]底表!DS226</f>
        <v>1</v>
      </c>
      <c r="CG226" s="21">
        <f>[2]底表!DT226</f>
        <v>0</v>
      </c>
      <c r="CH226" s="21" t="str">
        <f>[2]底表!DU226</f>
        <v>多1人</v>
      </c>
      <c r="CI226" s="21">
        <f>[2]底表!DV226</f>
        <v>1</v>
      </c>
      <c r="CJ226" s="21">
        <f>[2]底表!DW226</f>
        <v>0</v>
      </c>
      <c r="CK226" s="21">
        <f>[2]底表!DX226</f>
        <v>1</v>
      </c>
      <c r="CL226" s="21">
        <f>[2]底表!DY226</f>
        <v>1</v>
      </c>
      <c r="CM226" s="21">
        <f>[2]底表!DZ226</f>
        <v>0</v>
      </c>
      <c r="CN226" s="21">
        <f>[2]底表!EA226</f>
        <v>1</v>
      </c>
      <c r="CO226" s="21">
        <f>[2]底表!EB226</f>
        <v>0</v>
      </c>
      <c r="CP226" s="21">
        <f>[2]底表!EC226</f>
        <v>0</v>
      </c>
      <c r="CQ226" s="21">
        <f>[2]底表!ED226</f>
        <v>1</v>
      </c>
      <c r="CR226" s="21" t="str">
        <f>[2]底表!EE226</f>
        <v>少1人</v>
      </c>
      <c r="CS226" s="21">
        <f>[2]底表!EF226</f>
        <v>0</v>
      </c>
      <c r="CT226" s="21" t="str">
        <f>[2]底表!EG226</f>
        <v>持平</v>
      </c>
      <c r="CU226" s="21">
        <f>[2]底表!EH226</f>
        <v>0</v>
      </c>
      <c r="CV226" s="21">
        <f>[2]底表!EI226</f>
        <v>-1</v>
      </c>
      <c r="CW226" s="21">
        <f>[2]底表!EJ226</f>
        <v>0</v>
      </c>
      <c r="CX226" s="21">
        <f>[2]底表!EK226</f>
        <v>-100</v>
      </c>
      <c r="CY226" s="21">
        <f>[2]底表!EL226</f>
        <v>-1</v>
      </c>
      <c r="CZ226" s="21">
        <f>[2]底表!EM226</f>
        <v>0</v>
      </c>
      <c r="DA226" s="21">
        <f>[2]底表!EN226</f>
        <v>1</v>
      </c>
      <c r="DB226" s="21" t="str">
        <f>[2]底表!EO226</f>
        <v>少1人</v>
      </c>
      <c r="DC226" s="21">
        <f>[2]底表!EP226</f>
        <v>0</v>
      </c>
      <c r="DD226" s="21" t="str">
        <f>[2]底表!EQ226</f>
        <v>持平</v>
      </c>
      <c r="DE226" s="21">
        <f>[2]底表!ER226</f>
        <v>0</v>
      </c>
      <c r="DF226" s="21">
        <f>[2]底表!ES226</f>
        <v>2</v>
      </c>
      <c r="DG226" s="23" t="str">
        <f>[2]底表!ET226</f>
        <v>少2人</v>
      </c>
      <c r="DH226" s="21">
        <f>[2]底表!EU226</f>
        <v>1</v>
      </c>
      <c r="DI226" s="21" t="str">
        <f>[2]底表!EV226</f>
        <v>少1人</v>
      </c>
      <c r="DJ226" s="21">
        <f>[2]底表!EW226</f>
        <v>0</v>
      </c>
      <c r="DK226" s="21">
        <f>[2]底表!EX226</f>
        <v>-2</v>
      </c>
      <c r="DL226" s="21">
        <f>[2]底表!EY226</f>
        <v>0</v>
      </c>
      <c r="DM226" s="21">
        <f>[2]底表!EZ226</f>
        <v>-200</v>
      </c>
      <c r="DN226" s="21">
        <f>[2]底表!FA226</f>
        <v>-1</v>
      </c>
      <c r="DO226" s="21">
        <f>[2]底表!BQ226</f>
        <v>0</v>
      </c>
      <c r="DP226" s="21">
        <f>[2]底表!BR226</f>
        <v>2</v>
      </c>
      <c r="DQ226" s="24" t="str">
        <f>[2]底表!BS226</f>
        <v>少2起</v>
      </c>
    </row>
    <row r="227" s="2" customFormat="1" ht="32" hidden="1" customHeight="1" spans="1:121">
      <c r="A227" s="27" t="str">
        <f>[2]底表!A227</f>
        <v>交通肇事案</v>
      </c>
      <c r="B227" s="28" t="str">
        <f>[2]底表!B227</f>
        <v>罗定市</v>
      </c>
      <c r="C227" s="21">
        <f>[2]底表!AM227</f>
        <v>1</v>
      </c>
      <c r="D227" s="21">
        <f>[2]底表!AN227</f>
        <v>1</v>
      </c>
      <c r="E227" s="23">
        <f>[2]底表!AO227</f>
        <v>0</v>
      </c>
      <c r="F227" s="21">
        <f>[2]底表!AP227</f>
        <v>6</v>
      </c>
      <c r="G227" s="21">
        <f>[2]底表!AQ227</f>
        <v>-0.8333</v>
      </c>
      <c r="H227" s="21">
        <f>[2]底表!AR227</f>
        <v>0.25</v>
      </c>
      <c r="I227" s="21">
        <f>[2]底表!AS227</f>
        <v>-0.0833</v>
      </c>
      <c r="J227" s="21">
        <f>[2]底表!AT227</f>
        <v>0</v>
      </c>
      <c r="K227" s="21">
        <f>[2]底表!AU227</f>
        <v>0</v>
      </c>
      <c r="L227" s="21" t="str">
        <f>[2]底表!AV227</f>
        <v>持平</v>
      </c>
      <c r="M227" s="21">
        <f>[2]底表!AW227</f>
        <v>3</v>
      </c>
      <c r="N227" s="21" t="str">
        <f>[2]底表!AX227</f>
        <v>少3起</v>
      </c>
      <c r="O227" s="21">
        <f>[2]底表!AY227</f>
        <v>0</v>
      </c>
      <c r="P227" s="21">
        <f>[2]底表!AZ227</f>
        <v>0</v>
      </c>
      <c r="Q227" s="21" t="str">
        <f>[2]底表!BA227</f>
        <v>持平</v>
      </c>
      <c r="R227" s="21">
        <f>[2]底表!BB227</f>
        <v>6</v>
      </c>
      <c r="S227" s="21" t="str">
        <f>[2]底表!BC227</f>
        <v>少6起</v>
      </c>
      <c r="T227" s="21" t="str">
        <f>[2]底表!BD227</f>
        <v/>
      </c>
      <c r="U227" s="21" t="str">
        <f>[2]底表!BE227</f>
        <v/>
      </c>
      <c r="V227" s="21">
        <f>[2]底表!BF227</f>
        <v>4</v>
      </c>
      <c r="W227" s="21">
        <f>[2]底表!BG227</f>
        <v>3</v>
      </c>
      <c r="X227" s="21">
        <f>[2]底表!BH227</f>
        <v>0.3333</v>
      </c>
      <c r="Y227" s="21">
        <f>[2]底表!BI227</f>
        <v>0</v>
      </c>
      <c r="Z227" s="21" t="str">
        <f>[2]底表!BJ227</f>
        <v>多4起</v>
      </c>
      <c r="AA227" s="21">
        <f>[2]底表!BK227</f>
        <v>1</v>
      </c>
      <c r="AB227" s="21">
        <f>[2]底表!BL227</f>
        <v>1</v>
      </c>
      <c r="AC227" s="21">
        <f>[2]底表!BM227</f>
        <v>1</v>
      </c>
      <c r="AD227" s="21">
        <f>[2]底表!BN227</f>
        <v>0</v>
      </c>
      <c r="AE227" s="21">
        <f>[2]底表!BO227</f>
        <v>0</v>
      </c>
      <c r="AF227" s="21" t="str">
        <f>[2]底表!BP227</f>
        <v>多1起</v>
      </c>
      <c r="AG227" s="21">
        <f>[2]底表!BT227</f>
        <v>7</v>
      </c>
      <c r="AH227" s="21">
        <f>[2]底表!BU227</f>
        <v>-0.8571</v>
      </c>
      <c r="AI227" s="21">
        <f>[2]底表!BV227</f>
        <v>0.25</v>
      </c>
      <c r="AJ227" s="21">
        <f>[2]底表!BW227</f>
        <v>0.25</v>
      </c>
      <c r="AK227" s="21" t="str">
        <f>[2]底表!BX227</f>
        <v/>
      </c>
      <c r="AL227" s="21" t="str">
        <f>[2]底表!BY227</f>
        <v/>
      </c>
      <c r="AM227" s="21">
        <f>[2]底表!BZ227</f>
        <v>0</v>
      </c>
      <c r="AN227" s="21">
        <f>[2]底表!CA227</f>
        <v>0</v>
      </c>
      <c r="AO227" s="21" t="str">
        <f>[2]底表!CB227</f>
        <v>持平</v>
      </c>
      <c r="AP227" s="21">
        <f>[2]底表!CC227</f>
        <v>0</v>
      </c>
      <c r="AQ227" s="21" t="str">
        <f>[2]底表!CD227</f>
        <v>持平</v>
      </c>
      <c r="AR227" s="21" t="str">
        <f>[2]底表!CE227</f>
        <v/>
      </c>
      <c r="AS227" s="21" t="str">
        <f>[2]底表!CF227</f>
        <v/>
      </c>
      <c r="AT227" s="21">
        <f>[2]底表!CG227</f>
        <v>0</v>
      </c>
      <c r="AU227" s="21">
        <f>[2]底表!CH227</f>
        <v>3</v>
      </c>
      <c r="AV227" s="21" t="str">
        <f>[2]底表!CI227</f>
        <v>少3人</v>
      </c>
      <c r="AW227" s="21">
        <f>[2]底表!CJ227</f>
        <v>3</v>
      </c>
      <c r="AX227" s="21" t="str">
        <f>[2]底表!CK227</f>
        <v>少3人</v>
      </c>
      <c r="AY227" s="21">
        <f>[2]底表!CL227</f>
        <v>0</v>
      </c>
      <c r="AZ227" s="21">
        <f>[2]底表!CM227</f>
        <v>-100</v>
      </c>
      <c r="BA227" s="21">
        <f>[2]底表!CN227</f>
        <v>-1</v>
      </c>
      <c r="BB227" s="21">
        <f>[2]底表!CO227</f>
        <v>1</v>
      </c>
      <c r="BC227" s="21">
        <f>[2]底表!CP227</f>
        <v>0</v>
      </c>
      <c r="BD227" s="21" t="str">
        <f>[2]底表!CQ227</f>
        <v>多1人</v>
      </c>
      <c r="BE227" s="21">
        <f>[2]底表!CR227</f>
        <v>2</v>
      </c>
      <c r="BF227" s="21">
        <f>[2]底表!CS227</f>
        <v>-0.5</v>
      </c>
      <c r="BG227" s="21" t="str">
        <f>[2]底表!CT227</f>
        <v/>
      </c>
      <c r="BH227" s="21" t="str">
        <f>[2]底表!CU227</f>
        <v/>
      </c>
      <c r="BI227" s="21">
        <f>[2]底表!CV227</f>
        <v>25</v>
      </c>
      <c r="BJ227" s="21">
        <f>[2]底表!CW227</f>
        <v>25</v>
      </c>
      <c r="BK227" s="21" t="str">
        <f>[2]底表!CX227</f>
        <v/>
      </c>
      <c r="BL227" s="21">
        <f>[2]底表!CY227</f>
        <v>2</v>
      </c>
      <c r="BM227" s="21">
        <f>[2]底表!CZ227</f>
        <v>3</v>
      </c>
      <c r="BN227" s="23">
        <f>[2]底表!DA227</f>
        <v>-0.3333</v>
      </c>
      <c r="BO227" s="21">
        <f>[2]底表!DB227</f>
        <v>5</v>
      </c>
      <c r="BP227" s="21">
        <f>[2]底表!DC227</f>
        <v>-0.6</v>
      </c>
      <c r="BQ227" s="21" t="str">
        <f>[2]底表!DD227</f>
        <v/>
      </c>
      <c r="BR227" s="21" t="str">
        <f>[2]底表!DE227</f>
        <v/>
      </c>
      <c r="BS227" s="21">
        <f>[2]底表!DF227</f>
        <v>50</v>
      </c>
      <c r="BT227" s="21">
        <f>[2]底表!DG227</f>
        <v>-50</v>
      </c>
      <c r="BU227" s="21">
        <f>[2]底表!DH227</f>
        <v>-0.5</v>
      </c>
      <c r="BV227" s="21">
        <f>[2]底表!DI227</f>
        <v>1</v>
      </c>
      <c r="BW227" s="21">
        <f>[2]底表!DJ227</f>
        <v>0</v>
      </c>
      <c r="BX227" s="23" t="str">
        <f>[2]底表!DK227</f>
        <v>多1人</v>
      </c>
      <c r="BY227" s="21">
        <f>[2]底表!DL227</f>
        <v>5</v>
      </c>
      <c r="BZ227" s="21">
        <f>[2]底表!DM227</f>
        <v>-0.8</v>
      </c>
      <c r="CA227" s="21">
        <f>[2]底表!DN227</f>
        <v>1</v>
      </c>
      <c r="CB227" s="21">
        <f>[2]底表!DO227</f>
        <v>3</v>
      </c>
      <c r="CC227" s="21">
        <f>[2]底表!DP227</f>
        <v>-0.6667</v>
      </c>
      <c r="CD227" s="21">
        <f>[2]底表!DQ227</f>
        <v>7</v>
      </c>
      <c r="CE227" s="21">
        <f>[2]底表!DR227</f>
        <v>-0.8571</v>
      </c>
      <c r="CF227" s="21">
        <f>[2]底表!DS227</f>
        <v>1</v>
      </c>
      <c r="CG227" s="21">
        <f>[2]底表!DT227</f>
        <v>3</v>
      </c>
      <c r="CH227" s="21">
        <f>[2]底表!DU227</f>
        <v>-0.6667</v>
      </c>
      <c r="CI227" s="21">
        <f>[2]底表!DV227</f>
        <v>7</v>
      </c>
      <c r="CJ227" s="21">
        <f>[2]底表!DW227</f>
        <v>-0.8571</v>
      </c>
      <c r="CK227" s="21">
        <f>[2]底表!DX227</f>
        <v>1</v>
      </c>
      <c r="CL227" s="21">
        <f>[2]底表!DY227</f>
        <v>1</v>
      </c>
      <c r="CM227" s="21">
        <f>[2]底表!DZ227</f>
        <v>0</v>
      </c>
      <c r="CN227" s="21">
        <f>[2]底表!EA227</f>
        <v>1</v>
      </c>
      <c r="CO227" s="21">
        <f>[2]底表!EB227</f>
        <v>0</v>
      </c>
      <c r="CP227" s="21">
        <f>[2]底表!EC227</f>
        <v>1</v>
      </c>
      <c r="CQ227" s="21">
        <f>[2]底表!ED227</f>
        <v>0</v>
      </c>
      <c r="CR227" s="21" t="str">
        <f>[2]底表!EE227</f>
        <v>多1人</v>
      </c>
      <c r="CS227" s="21">
        <f>[2]底表!EF227</f>
        <v>0</v>
      </c>
      <c r="CT227" s="21" t="str">
        <f>[2]底表!EG227</f>
        <v>多1人</v>
      </c>
      <c r="CU227" s="21">
        <f>[2]底表!EH227</f>
        <v>1</v>
      </c>
      <c r="CV227" s="21" t="str">
        <f>[2]底表!EI227</f>
        <v/>
      </c>
      <c r="CW227" s="21">
        <f>[2]底表!EJ227</f>
        <v>25</v>
      </c>
      <c r="CX227" s="21">
        <f>[2]底表!EK227</f>
        <v>25</v>
      </c>
      <c r="CY227" s="21" t="str">
        <f>[2]底表!EL227</f>
        <v/>
      </c>
      <c r="CZ227" s="21">
        <f>[2]底表!EM227</f>
        <v>1</v>
      </c>
      <c r="DA227" s="21">
        <f>[2]底表!EN227</f>
        <v>0</v>
      </c>
      <c r="DB227" s="21" t="str">
        <f>[2]底表!EO227</f>
        <v>多1人</v>
      </c>
      <c r="DC227" s="21">
        <f>[2]底表!EP227</f>
        <v>0</v>
      </c>
      <c r="DD227" s="21" t="str">
        <f>[2]底表!EQ227</f>
        <v>多1人</v>
      </c>
      <c r="DE227" s="21">
        <f>[2]底表!ER227</f>
        <v>1</v>
      </c>
      <c r="DF227" s="21">
        <f>[2]底表!ES227</f>
        <v>0</v>
      </c>
      <c r="DG227" s="23" t="str">
        <f>[2]底表!ET227</f>
        <v>多1人</v>
      </c>
      <c r="DH227" s="21">
        <f>[2]底表!EU227</f>
        <v>7</v>
      </c>
      <c r="DI227" s="21">
        <f>[2]底表!EV227</f>
        <v>-0.8571</v>
      </c>
      <c r="DJ227" s="21">
        <f>[2]底表!EW227</f>
        <v>1</v>
      </c>
      <c r="DK227" s="21" t="str">
        <f>[2]底表!EX227</f>
        <v/>
      </c>
      <c r="DL227" s="21">
        <f>[2]底表!EY227</f>
        <v>25</v>
      </c>
      <c r="DM227" s="21">
        <f>[2]底表!EZ227</f>
        <v>25</v>
      </c>
      <c r="DN227" s="21" t="str">
        <f>[2]底表!FA227</f>
        <v/>
      </c>
      <c r="DO227" s="21">
        <f>[2]底表!BQ227</f>
        <v>1</v>
      </c>
      <c r="DP227" s="21">
        <f>[2]底表!BR227</f>
        <v>0</v>
      </c>
      <c r="DQ227" s="24" t="str">
        <f>[2]底表!BS227</f>
        <v>多1起</v>
      </c>
    </row>
    <row r="228" s="2" customFormat="1" ht="32" hidden="1" customHeight="1" spans="1:121">
      <c r="A228" s="27" t="str">
        <f>[2]底表!A228</f>
        <v>故意毁坏财物</v>
      </c>
      <c r="B228" s="28" t="str">
        <f>[2]底表!B228</f>
        <v>全省</v>
      </c>
      <c r="C228" s="21">
        <f>[2]底表!AM228</f>
        <v>191</v>
      </c>
      <c r="D228" s="21">
        <f>[2]底表!AN228</f>
        <v>113</v>
      </c>
      <c r="E228" s="23">
        <f>[2]底表!AO228</f>
        <v>0.6903</v>
      </c>
      <c r="F228" s="21">
        <f>[2]底表!AP228</f>
        <v>280</v>
      </c>
      <c r="G228" s="21">
        <f>[2]底表!AQ228</f>
        <v>-0.3179</v>
      </c>
      <c r="H228" s="21">
        <f>[2]底表!AR228</f>
        <v>0.7796</v>
      </c>
      <c r="I228" s="21">
        <f>[2]底表!AS228</f>
        <v>0.1721</v>
      </c>
      <c r="J228" s="21">
        <f>[2]底表!AT228</f>
        <v>128</v>
      </c>
      <c r="K228" s="21">
        <f>[2]底表!AU228</f>
        <v>79</v>
      </c>
      <c r="L228" s="21">
        <f>[2]底表!AV228</f>
        <v>0.6203</v>
      </c>
      <c r="M228" s="21">
        <f>[2]底表!AW228</f>
        <v>237</v>
      </c>
      <c r="N228" s="21">
        <f>[2]底表!AX228</f>
        <v>-0.4599</v>
      </c>
      <c r="O228" s="21">
        <f>[2]底表!AY228</f>
        <v>90</v>
      </c>
      <c r="P228" s="21">
        <f>[2]底表!AZ228</f>
        <v>50</v>
      </c>
      <c r="Q228" s="21">
        <f>[2]底表!BA228</f>
        <v>0.8</v>
      </c>
      <c r="R228" s="21">
        <f>[2]底表!BB228</f>
        <v>226</v>
      </c>
      <c r="S228" s="21">
        <f>[2]底表!BC228</f>
        <v>-0.6018</v>
      </c>
      <c r="T228" s="21">
        <f>[2]底表!BD228</f>
        <v>0.7031</v>
      </c>
      <c r="U228" s="21">
        <f>[2]底表!BE228</f>
        <v>0.0702</v>
      </c>
      <c r="V228" s="21">
        <f>[2]底表!BF228</f>
        <v>117</v>
      </c>
      <c r="W228" s="21">
        <f>[2]底表!BG228</f>
        <v>107</v>
      </c>
      <c r="X228" s="21">
        <f>[2]底表!BH228</f>
        <v>0.0935</v>
      </c>
      <c r="Y228" s="21">
        <f>[2]底表!BI228</f>
        <v>13</v>
      </c>
      <c r="Z228" s="21">
        <f>[2]底表!BJ228</f>
        <v>8</v>
      </c>
      <c r="AA228" s="21">
        <f>[2]底表!BK228</f>
        <v>0.4776</v>
      </c>
      <c r="AB228" s="21">
        <f>[2]底表!BL228</f>
        <v>101</v>
      </c>
      <c r="AC228" s="21">
        <f>[2]底表!BM228</f>
        <v>63</v>
      </c>
      <c r="AD228" s="21">
        <f>[2]底表!BN228</f>
        <v>0.6032</v>
      </c>
      <c r="AE228" s="21">
        <f>[2]底表!BO228</f>
        <v>54</v>
      </c>
      <c r="AF228" s="21">
        <f>[2]底表!BP228</f>
        <v>0.8704</v>
      </c>
      <c r="AG228" s="21">
        <f>[2]底表!BT228</f>
        <v>160</v>
      </c>
      <c r="AH228" s="21">
        <f>[2]底表!BU228</f>
        <v>-0.35</v>
      </c>
      <c r="AI228" s="21">
        <f>[2]底表!BV228</f>
        <v>0.4245</v>
      </c>
      <c r="AJ228" s="21">
        <f>[2]底表!BW228</f>
        <v>0.0643</v>
      </c>
      <c r="AK228" s="21">
        <f>[2]底表!BX228</f>
        <v>0.8125</v>
      </c>
      <c r="AL228" s="21">
        <f>[2]底表!BY228</f>
        <v>-0.0356</v>
      </c>
      <c r="AM228" s="21">
        <f>[2]底表!BZ228</f>
        <v>0</v>
      </c>
      <c r="AN228" s="21">
        <f>[2]底表!CA228</f>
        <v>0</v>
      </c>
      <c r="AO228" s="21" t="str">
        <f>[2]底表!CB228</f>
        <v>持平</v>
      </c>
      <c r="AP228" s="21">
        <f>[2]底表!CC228</f>
        <v>26</v>
      </c>
      <c r="AQ228" s="21" t="str">
        <f>[2]底表!CD228</f>
        <v>少26起</v>
      </c>
      <c r="AR228" s="21" t="str">
        <f>[2]底表!CE228</f>
        <v/>
      </c>
      <c r="AS228" s="21" t="str">
        <f>[2]底表!CF228</f>
        <v/>
      </c>
      <c r="AT228" s="21">
        <f>[2]底表!CG228</f>
        <v>218</v>
      </c>
      <c r="AU228" s="21">
        <f>[2]底表!CH228</f>
        <v>159</v>
      </c>
      <c r="AV228" s="21">
        <f>[2]底表!CI228</f>
        <v>0.3711</v>
      </c>
      <c r="AW228" s="21">
        <f>[2]底表!CJ228</f>
        <v>257</v>
      </c>
      <c r="AX228" s="21">
        <f>[2]底表!CK228</f>
        <v>-0.1518</v>
      </c>
      <c r="AY228" s="21">
        <f>[2]底表!CL228</f>
        <v>89</v>
      </c>
      <c r="AZ228" s="21">
        <f>[2]底表!CM228</f>
        <v>3</v>
      </c>
      <c r="BA228" s="21">
        <f>[2]底表!CN228</f>
        <v>0.0409</v>
      </c>
      <c r="BB228" s="21">
        <f>[2]底表!CO228</f>
        <v>166</v>
      </c>
      <c r="BC228" s="21">
        <f>[2]底表!CP228</f>
        <v>64</v>
      </c>
      <c r="BD228" s="21">
        <f>[2]底表!CQ228</f>
        <v>1.5938</v>
      </c>
      <c r="BE228" s="21">
        <f>[2]底表!CR228</f>
        <v>159</v>
      </c>
      <c r="BF228" s="21">
        <f>[2]底表!CS228</f>
        <v>0.044</v>
      </c>
      <c r="BG228" s="21">
        <f>[2]底表!CT228</f>
        <v>0.7615</v>
      </c>
      <c r="BH228" s="21">
        <f>[2]底表!CU228</f>
        <v>0.359</v>
      </c>
      <c r="BI228" s="21">
        <f>[2]底表!CV228</f>
        <v>68</v>
      </c>
      <c r="BJ228" s="21">
        <f>[2]底表!CW228</f>
        <v>33</v>
      </c>
      <c r="BK228" s="21">
        <f>[2]底表!CX228</f>
        <v>0.9691</v>
      </c>
      <c r="BL228" s="21">
        <f>[2]底表!CY228</f>
        <v>237</v>
      </c>
      <c r="BM228" s="21">
        <f>[2]底表!CZ228</f>
        <v>120</v>
      </c>
      <c r="BN228" s="23">
        <f>[2]底表!DA228</f>
        <v>0.975</v>
      </c>
      <c r="BO228" s="21">
        <f>[2]底表!DB228</f>
        <v>251</v>
      </c>
      <c r="BP228" s="21">
        <f>[2]底表!DC228</f>
        <v>-0.0558</v>
      </c>
      <c r="BQ228" s="21">
        <f>[2]底表!DD228</f>
        <v>1.0872</v>
      </c>
      <c r="BR228" s="21">
        <f>[2]底表!DE228</f>
        <v>0.3324</v>
      </c>
      <c r="BS228" s="21">
        <f>[2]底表!DF228</f>
        <v>97</v>
      </c>
      <c r="BT228" s="21">
        <f>[2]底表!DG228</f>
        <v>32</v>
      </c>
      <c r="BU228" s="21">
        <f>[2]底表!DH228</f>
        <v>0.4994</v>
      </c>
      <c r="BV228" s="21">
        <f>[2]底表!DI228</f>
        <v>216</v>
      </c>
      <c r="BW228" s="21">
        <f>[2]底表!DJ228</f>
        <v>123</v>
      </c>
      <c r="BX228" s="23">
        <f>[2]底表!DK228</f>
        <v>0.7561</v>
      </c>
      <c r="BY228" s="21">
        <f>[2]底表!DL228</f>
        <v>246</v>
      </c>
      <c r="BZ228" s="21">
        <f>[2]底表!DM228</f>
        <v>-0.122</v>
      </c>
      <c r="CA228" s="21">
        <f>[2]底表!DN228</f>
        <v>193</v>
      </c>
      <c r="CB228" s="21">
        <f>[2]底表!DO228</f>
        <v>143</v>
      </c>
      <c r="CC228" s="21">
        <f>[2]底表!DP228</f>
        <v>0.3497</v>
      </c>
      <c r="CD228" s="21">
        <f>[2]底表!DQ228</f>
        <v>204</v>
      </c>
      <c r="CE228" s="21">
        <f>[2]底表!DR228</f>
        <v>-0.0539</v>
      </c>
      <c r="CF228" s="21">
        <f>[2]底表!DS228</f>
        <v>193</v>
      </c>
      <c r="CG228" s="21">
        <f>[2]底表!DT228</f>
        <v>143</v>
      </c>
      <c r="CH228" s="21">
        <f>[2]底表!DU228</f>
        <v>0.3497</v>
      </c>
      <c r="CI228" s="21">
        <f>[2]底表!DV228</f>
        <v>204</v>
      </c>
      <c r="CJ228" s="21">
        <f>[2]底表!DW228</f>
        <v>-0.0539</v>
      </c>
      <c r="CK228" s="21">
        <f>[2]底表!DX228</f>
        <v>124</v>
      </c>
      <c r="CL228" s="21">
        <f>[2]底表!DY228</f>
        <v>90</v>
      </c>
      <c r="CM228" s="21">
        <f>[2]底表!DZ228</f>
        <v>0.3778</v>
      </c>
      <c r="CN228" s="21">
        <f>[2]底表!EA228</f>
        <v>146</v>
      </c>
      <c r="CO228" s="21">
        <f>[2]底表!EB228</f>
        <v>-0.1507</v>
      </c>
      <c r="CP228" s="21">
        <f>[2]底表!EC228</f>
        <v>37</v>
      </c>
      <c r="CQ228" s="21">
        <f>[2]底表!ED228</f>
        <v>28</v>
      </c>
      <c r="CR228" s="21">
        <f>[2]底表!EE228</f>
        <v>0.3214</v>
      </c>
      <c r="CS228" s="21">
        <f>[2]底表!EF228</f>
        <v>74</v>
      </c>
      <c r="CT228" s="21">
        <f>[2]底表!EG228</f>
        <v>-0.5</v>
      </c>
      <c r="CU228" s="21">
        <f>[2]底表!EH228</f>
        <v>0.2229</v>
      </c>
      <c r="CV228" s="21">
        <f>[2]底表!EI228</f>
        <v>-0.2146</v>
      </c>
      <c r="CW228" s="21">
        <f>[2]底表!EJ228</f>
        <v>15</v>
      </c>
      <c r="CX228" s="21">
        <f>[2]底表!EK228</f>
        <v>0</v>
      </c>
      <c r="CY228" s="21">
        <f>[2]底表!EL228</f>
        <v>0.0032</v>
      </c>
      <c r="CZ228" s="21">
        <f>[2]底表!EM228</f>
        <v>38</v>
      </c>
      <c r="DA228" s="21">
        <f>[2]底表!EN228</f>
        <v>31</v>
      </c>
      <c r="DB228" s="21">
        <f>[2]底表!EO228</f>
        <v>0.2258</v>
      </c>
      <c r="DC228" s="21">
        <f>[2]底表!EP228</f>
        <v>77</v>
      </c>
      <c r="DD228" s="21">
        <f>[2]底表!EQ228</f>
        <v>-0.5065</v>
      </c>
      <c r="DE228" s="21">
        <f>[2]底表!ER228</f>
        <v>120</v>
      </c>
      <c r="DF228" s="21">
        <f>[2]底表!ES228</f>
        <v>74</v>
      </c>
      <c r="DG228" s="23">
        <f>[2]底表!ET228</f>
        <v>0.6216</v>
      </c>
      <c r="DH228" s="21">
        <f>[2]底表!EU228</f>
        <v>177</v>
      </c>
      <c r="DI228" s="21">
        <f>[2]底表!EV228</f>
        <v>-0.322</v>
      </c>
      <c r="DJ228" s="21">
        <f>[2]底表!EW228</f>
        <v>0.7229</v>
      </c>
      <c r="DK228" s="21">
        <f>[2]底表!EX228</f>
        <v>-0.4334</v>
      </c>
      <c r="DL228" s="21">
        <f>[2]底表!EY228</f>
        <v>49</v>
      </c>
      <c r="DM228" s="21">
        <f>[2]底表!EZ228</f>
        <v>9</v>
      </c>
      <c r="DN228" s="21">
        <f>[2]底表!FA228</f>
        <v>0.2311</v>
      </c>
      <c r="DO228" s="21">
        <f>[2]底表!BQ228</f>
        <v>104</v>
      </c>
      <c r="DP228" s="21">
        <f>[2]底表!BR228</f>
        <v>67</v>
      </c>
      <c r="DQ228" s="24">
        <f>[2]底表!BS228</f>
        <v>0.5522</v>
      </c>
    </row>
    <row r="229" s="2" customFormat="1" ht="32" hidden="1" customHeight="1" spans="1:121">
      <c r="A229" s="27" t="str">
        <f>[2]底表!A229</f>
        <v>故意毁坏财物</v>
      </c>
      <c r="B229" s="28" t="str">
        <f>[2]底表!B229</f>
        <v>云浮</v>
      </c>
      <c r="C229" s="21">
        <f>[2]底表!AM229</f>
        <v>1</v>
      </c>
      <c r="D229" s="21">
        <f>[2]底表!AN229</f>
        <v>1</v>
      </c>
      <c r="E229" s="23">
        <f>[2]底表!AO229</f>
        <v>0</v>
      </c>
      <c r="F229" s="21">
        <f>[2]底表!AP229</f>
        <v>0</v>
      </c>
      <c r="G229" s="21" t="str">
        <f>[2]底表!AQ229</f>
        <v>多1起</v>
      </c>
      <c r="H229" s="21">
        <f>[2]底表!AR229</f>
        <v>1</v>
      </c>
      <c r="I229" s="21" t="str">
        <f>[2]底表!AS229</f>
        <v/>
      </c>
      <c r="J229" s="21">
        <f>[2]底表!AT229</f>
        <v>0</v>
      </c>
      <c r="K229" s="21">
        <f>[2]底表!AU229</f>
        <v>0</v>
      </c>
      <c r="L229" s="21" t="str">
        <f>[2]底表!AV229</f>
        <v>持平</v>
      </c>
      <c r="M229" s="21">
        <f>[2]底表!AW229</f>
        <v>1</v>
      </c>
      <c r="N229" s="21" t="str">
        <f>[2]底表!AX229</f>
        <v>少1起</v>
      </c>
      <c r="O229" s="21">
        <f>[2]底表!AY229</f>
        <v>0</v>
      </c>
      <c r="P229" s="21">
        <f>[2]底表!AZ229</f>
        <v>0</v>
      </c>
      <c r="Q229" s="21" t="str">
        <f>[2]底表!BA229</f>
        <v>持平</v>
      </c>
      <c r="R229" s="21">
        <f>[2]底表!BB229</f>
        <v>0</v>
      </c>
      <c r="S229" s="21" t="str">
        <f>[2]底表!BC229</f>
        <v>持平</v>
      </c>
      <c r="T229" s="21" t="str">
        <f>[2]底表!BD229</f>
        <v/>
      </c>
      <c r="U229" s="21" t="str">
        <f>[2]底表!BE229</f>
        <v/>
      </c>
      <c r="V229" s="21">
        <f>[2]底表!BF229</f>
        <v>1</v>
      </c>
      <c r="W229" s="21">
        <f>[2]底表!BG229</f>
        <v>0</v>
      </c>
      <c r="X229" s="21" t="str">
        <f>[2]底表!BH229</f>
        <v>多1起</v>
      </c>
      <c r="Y229" s="21">
        <f>[2]底表!BI229</f>
        <v>0</v>
      </c>
      <c r="Z229" s="21" t="str">
        <f>[2]底表!BJ229</f>
        <v>多1起</v>
      </c>
      <c r="AA229" s="21">
        <f>[2]底表!BK229</f>
        <v>1</v>
      </c>
      <c r="AB229" s="21">
        <f>[2]底表!BL229</f>
        <v>1</v>
      </c>
      <c r="AC229" s="21">
        <f>[2]底表!BM229</f>
        <v>1</v>
      </c>
      <c r="AD229" s="21">
        <f>[2]底表!BN229</f>
        <v>0</v>
      </c>
      <c r="AE229" s="21">
        <f>[2]底表!BO229</f>
        <v>0</v>
      </c>
      <c r="AF229" s="21" t="str">
        <f>[2]底表!BP229</f>
        <v>多1起</v>
      </c>
      <c r="AG229" s="21">
        <f>[2]底表!BT229</f>
        <v>0</v>
      </c>
      <c r="AH229" s="21" t="str">
        <f>[2]底表!BU229</f>
        <v>持平</v>
      </c>
      <c r="AI229" s="21">
        <f>[2]底表!BV229</f>
        <v>0</v>
      </c>
      <c r="AJ229" s="21" t="str">
        <f>[2]底表!BW229</f>
        <v/>
      </c>
      <c r="AK229" s="21" t="str">
        <f>[2]底表!BX229</f>
        <v/>
      </c>
      <c r="AL229" s="21" t="str">
        <f>[2]底表!BY229</f>
        <v/>
      </c>
      <c r="AM229" s="21">
        <f>[2]底表!BZ229</f>
        <v>0</v>
      </c>
      <c r="AN229" s="21">
        <f>[2]底表!CA229</f>
        <v>0</v>
      </c>
      <c r="AO229" s="21" t="str">
        <f>[2]底表!CB229</f>
        <v>持平</v>
      </c>
      <c r="AP229" s="21">
        <f>[2]底表!CC229</f>
        <v>0</v>
      </c>
      <c r="AQ229" s="21" t="str">
        <f>[2]底表!CD229</f>
        <v>持平</v>
      </c>
      <c r="AR229" s="21" t="str">
        <f>[2]底表!CE229</f>
        <v/>
      </c>
      <c r="AS229" s="21" t="str">
        <f>[2]底表!CF229</f>
        <v/>
      </c>
      <c r="AT229" s="21">
        <f>[2]底表!CG229</f>
        <v>0</v>
      </c>
      <c r="AU229" s="21">
        <f>[2]底表!CH229</f>
        <v>1</v>
      </c>
      <c r="AV229" s="21" t="str">
        <f>[2]底表!CI229</f>
        <v>少1人</v>
      </c>
      <c r="AW229" s="21">
        <f>[2]底表!CJ229</f>
        <v>1</v>
      </c>
      <c r="AX229" s="21" t="str">
        <f>[2]底表!CK229</f>
        <v>少1人</v>
      </c>
      <c r="AY229" s="21">
        <f>[2]底表!CL229</f>
        <v>0</v>
      </c>
      <c r="AZ229" s="21" t="str">
        <f>[2]底表!CM229</f>
        <v/>
      </c>
      <c r="BA229" s="21" t="str">
        <f>[2]底表!CN229</f>
        <v/>
      </c>
      <c r="BB229" s="21">
        <f>[2]底表!CO229</f>
        <v>0</v>
      </c>
      <c r="BC229" s="21">
        <f>[2]底表!CP229</f>
        <v>2</v>
      </c>
      <c r="BD229" s="21" t="str">
        <f>[2]底表!CQ229</f>
        <v>少2人</v>
      </c>
      <c r="BE229" s="21">
        <f>[2]底表!CR229</f>
        <v>0</v>
      </c>
      <c r="BF229" s="21" t="str">
        <f>[2]底表!CS229</f>
        <v>持平</v>
      </c>
      <c r="BG229" s="21" t="str">
        <f>[2]底表!CT229</f>
        <v/>
      </c>
      <c r="BH229" s="21" t="str">
        <f>[2]底表!CU229</f>
        <v/>
      </c>
      <c r="BI229" s="21">
        <f>[2]底表!CV229</f>
        <v>0</v>
      </c>
      <c r="BJ229" s="21" t="str">
        <f>[2]底表!CW229</f>
        <v/>
      </c>
      <c r="BK229" s="21" t="str">
        <f>[2]底表!CX229</f>
        <v/>
      </c>
      <c r="BL229" s="21">
        <f>[2]底表!CY229</f>
        <v>0</v>
      </c>
      <c r="BM229" s="21">
        <f>[2]底表!CZ229</f>
        <v>5</v>
      </c>
      <c r="BN229" s="23" t="str">
        <f>[2]底表!DA229</f>
        <v>少5人</v>
      </c>
      <c r="BO229" s="21">
        <f>[2]底表!DB229</f>
        <v>0</v>
      </c>
      <c r="BP229" s="21" t="str">
        <f>[2]底表!DC229</f>
        <v>持平</v>
      </c>
      <c r="BQ229" s="21" t="str">
        <f>[2]底表!DD229</f>
        <v/>
      </c>
      <c r="BR229" s="21" t="str">
        <f>[2]底表!DE229</f>
        <v/>
      </c>
      <c r="BS229" s="21">
        <f>[2]底表!DF229</f>
        <v>0</v>
      </c>
      <c r="BT229" s="21" t="str">
        <f>[2]底表!DG229</f>
        <v/>
      </c>
      <c r="BU229" s="21" t="str">
        <f>[2]底表!DH229</f>
        <v/>
      </c>
      <c r="BV229" s="21">
        <f>[2]底表!DI229</f>
        <v>0</v>
      </c>
      <c r="BW229" s="21">
        <f>[2]底表!DJ229</f>
        <v>5</v>
      </c>
      <c r="BX229" s="23" t="str">
        <f>[2]底表!DK229</f>
        <v>少5人</v>
      </c>
      <c r="BY229" s="21">
        <f>[2]底表!DL229</f>
        <v>0</v>
      </c>
      <c r="BZ229" s="21" t="str">
        <f>[2]底表!DM229</f>
        <v>持平</v>
      </c>
      <c r="CA229" s="21">
        <f>[2]底表!DN229</f>
        <v>0</v>
      </c>
      <c r="CB229" s="21">
        <f>[2]底表!DO229</f>
        <v>6</v>
      </c>
      <c r="CC229" s="21" t="str">
        <f>[2]底表!DP229</f>
        <v>少6人</v>
      </c>
      <c r="CD229" s="21">
        <f>[2]底表!DQ229</f>
        <v>0</v>
      </c>
      <c r="CE229" s="21" t="str">
        <f>[2]底表!DR229</f>
        <v>持平</v>
      </c>
      <c r="CF229" s="21">
        <f>[2]底表!DS229</f>
        <v>0</v>
      </c>
      <c r="CG229" s="21">
        <f>[2]底表!DT229</f>
        <v>6</v>
      </c>
      <c r="CH229" s="21" t="str">
        <f>[2]底表!DU229</f>
        <v>少6人</v>
      </c>
      <c r="CI229" s="21">
        <f>[2]底表!DV229</f>
        <v>0</v>
      </c>
      <c r="CJ229" s="21" t="str">
        <f>[2]底表!DW229</f>
        <v>持平</v>
      </c>
      <c r="CK229" s="21">
        <f>[2]底表!DX229</f>
        <v>0</v>
      </c>
      <c r="CL229" s="21">
        <f>[2]底表!DY229</f>
        <v>0</v>
      </c>
      <c r="CM229" s="21" t="str">
        <f>[2]底表!DZ229</f>
        <v>持平</v>
      </c>
      <c r="CN229" s="21">
        <f>[2]底表!EA229</f>
        <v>0</v>
      </c>
      <c r="CO229" s="21" t="str">
        <f>[2]底表!EB229</f>
        <v>持平</v>
      </c>
      <c r="CP229" s="21">
        <f>[2]底表!EC229</f>
        <v>0</v>
      </c>
      <c r="CQ229" s="21">
        <f>[2]底表!ED229</f>
        <v>0</v>
      </c>
      <c r="CR229" s="21" t="str">
        <f>[2]底表!EE229</f>
        <v>持平</v>
      </c>
      <c r="CS229" s="21">
        <f>[2]底表!EF229</f>
        <v>0</v>
      </c>
      <c r="CT229" s="21" t="str">
        <f>[2]底表!EG229</f>
        <v>持平</v>
      </c>
      <c r="CU229" s="21" t="str">
        <f>[2]底表!EH229</f>
        <v/>
      </c>
      <c r="CV229" s="21" t="str">
        <f>[2]底表!EI229</f>
        <v/>
      </c>
      <c r="CW229" s="21">
        <f>[2]底表!EJ229</f>
        <v>0</v>
      </c>
      <c r="CX229" s="21" t="str">
        <f>[2]底表!EK229</f>
        <v/>
      </c>
      <c r="CY229" s="21" t="str">
        <f>[2]底表!EL229</f>
        <v/>
      </c>
      <c r="CZ229" s="21">
        <f>[2]底表!EM229</f>
        <v>0</v>
      </c>
      <c r="DA229" s="21">
        <f>[2]底表!EN229</f>
        <v>0</v>
      </c>
      <c r="DB229" s="21" t="str">
        <f>[2]底表!EO229</f>
        <v>持平</v>
      </c>
      <c r="DC229" s="21">
        <f>[2]底表!EP229</f>
        <v>0</v>
      </c>
      <c r="DD229" s="21" t="str">
        <f>[2]底表!EQ229</f>
        <v>持平</v>
      </c>
      <c r="DE229" s="21">
        <f>[2]底表!ER229</f>
        <v>0</v>
      </c>
      <c r="DF229" s="21">
        <f>[2]底表!ES229</f>
        <v>0</v>
      </c>
      <c r="DG229" s="23" t="str">
        <f>[2]底表!ET229</f>
        <v>持平</v>
      </c>
      <c r="DH229" s="21">
        <f>[2]底表!EU229</f>
        <v>0</v>
      </c>
      <c r="DI229" s="21" t="str">
        <f>[2]底表!EV229</f>
        <v>持平</v>
      </c>
      <c r="DJ229" s="21" t="str">
        <f>[2]底表!EW229</f>
        <v/>
      </c>
      <c r="DK229" s="21" t="str">
        <f>[2]底表!EX229</f>
        <v/>
      </c>
      <c r="DL229" s="21">
        <f>[2]底表!EY229</f>
        <v>0</v>
      </c>
      <c r="DM229" s="21" t="str">
        <f>[2]底表!EZ229</f>
        <v/>
      </c>
      <c r="DN229" s="21" t="str">
        <f>[2]底表!FA229</f>
        <v/>
      </c>
      <c r="DO229" s="21">
        <f>[2]底表!BQ229</f>
        <v>0</v>
      </c>
      <c r="DP229" s="21">
        <f>[2]底表!BR229</f>
        <v>0</v>
      </c>
      <c r="DQ229" s="24" t="str">
        <f>[2]底表!BS229</f>
        <v>持平</v>
      </c>
    </row>
    <row r="230" s="2" customFormat="1" ht="32" hidden="1" customHeight="1" spans="1:121">
      <c r="A230" s="27" t="str">
        <f>[2]底表!A230</f>
        <v>故意毁坏财物</v>
      </c>
      <c r="B230" s="28" t="str">
        <f>[2]底表!B230</f>
        <v>云城区</v>
      </c>
      <c r="C230" s="21">
        <f>[2]底表!AM230</f>
        <v>0</v>
      </c>
      <c r="D230" s="21">
        <f>[2]底表!AN230</f>
        <v>0</v>
      </c>
      <c r="E230" s="23" t="str">
        <f>[2]底表!AO230</f>
        <v>持平</v>
      </c>
      <c r="F230" s="21">
        <f>[2]底表!AP230</f>
        <v>0</v>
      </c>
      <c r="G230" s="21" t="str">
        <f>[2]底表!AQ230</f>
        <v>持平</v>
      </c>
      <c r="H230" s="21" t="str">
        <f>[2]底表!AR230</f>
        <v/>
      </c>
      <c r="I230" s="21" t="str">
        <f>[2]底表!AS230</f>
        <v/>
      </c>
      <c r="J230" s="21">
        <f>[2]底表!AT230</f>
        <v>0</v>
      </c>
      <c r="K230" s="21">
        <f>[2]底表!AU230</f>
        <v>0</v>
      </c>
      <c r="L230" s="21" t="str">
        <f>[2]底表!AV230</f>
        <v>持平</v>
      </c>
      <c r="M230" s="21">
        <f>[2]底表!AW230</f>
        <v>0</v>
      </c>
      <c r="N230" s="21" t="str">
        <f>[2]底表!AX230</f>
        <v>持平</v>
      </c>
      <c r="O230" s="21">
        <f>[2]底表!AY230</f>
        <v>0</v>
      </c>
      <c r="P230" s="21">
        <f>[2]底表!AZ230</f>
        <v>0</v>
      </c>
      <c r="Q230" s="21" t="str">
        <f>[2]底表!BA230</f>
        <v>持平</v>
      </c>
      <c r="R230" s="21">
        <f>[2]底表!BB230</f>
        <v>0</v>
      </c>
      <c r="S230" s="21" t="str">
        <f>[2]底表!BC230</f>
        <v>持平</v>
      </c>
      <c r="T230" s="21" t="str">
        <f>[2]底表!BD230</f>
        <v/>
      </c>
      <c r="U230" s="21" t="str">
        <f>[2]底表!BE230</f>
        <v/>
      </c>
      <c r="V230" s="21">
        <f>[2]底表!BF230</f>
        <v>0</v>
      </c>
      <c r="W230" s="21">
        <f>[2]底表!BG230</f>
        <v>0</v>
      </c>
      <c r="X230" s="21" t="str">
        <f>[2]底表!BH230</f>
        <v>持平</v>
      </c>
      <c r="Y230" s="21">
        <f>[2]底表!BI230</f>
        <v>0</v>
      </c>
      <c r="Z230" s="21" t="str">
        <f>[2]底表!BJ230</f>
        <v>持平</v>
      </c>
      <c r="AA230" s="21" t="str">
        <f>[2]底表!BK230</f>
        <v/>
      </c>
      <c r="AB230" s="21">
        <f>[2]底表!BL230</f>
        <v>0</v>
      </c>
      <c r="AC230" s="21">
        <f>[2]底表!BM230</f>
        <v>0</v>
      </c>
      <c r="AD230" s="21" t="str">
        <f>[2]底表!BN230</f>
        <v>持平</v>
      </c>
      <c r="AE230" s="21">
        <f>[2]底表!BO230</f>
        <v>0</v>
      </c>
      <c r="AF230" s="21" t="str">
        <f>[2]底表!BP230</f>
        <v>持平</v>
      </c>
      <c r="AG230" s="21">
        <f>[2]底表!BT230</f>
        <v>0</v>
      </c>
      <c r="AH230" s="21" t="str">
        <f>[2]底表!BU230</f>
        <v>持平</v>
      </c>
      <c r="AI230" s="21" t="str">
        <f>[2]底表!BV230</f>
        <v/>
      </c>
      <c r="AJ230" s="21" t="str">
        <f>[2]底表!BW230</f>
        <v/>
      </c>
      <c r="AK230" s="21" t="str">
        <f>[2]底表!BX230</f>
        <v/>
      </c>
      <c r="AL230" s="21" t="str">
        <f>[2]底表!BY230</f>
        <v/>
      </c>
      <c r="AM230" s="21">
        <f>[2]底表!BZ230</f>
        <v>0</v>
      </c>
      <c r="AN230" s="21">
        <f>[2]底表!CA230</f>
        <v>0</v>
      </c>
      <c r="AO230" s="21" t="str">
        <f>[2]底表!CB230</f>
        <v>持平</v>
      </c>
      <c r="AP230" s="21">
        <f>[2]底表!CC230</f>
        <v>0</v>
      </c>
      <c r="AQ230" s="21" t="str">
        <f>[2]底表!CD230</f>
        <v>持平</v>
      </c>
      <c r="AR230" s="21" t="str">
        <f>[2]底表!CE230</f>
        <v/>
      </c>
      <c r="AS230" s="21" t="str">
        <f>[2]底表!CF230</f>
        <v/>
      </c>
      <c r="AT230" s="21">
        <f>[2]底表!CG230</f>
        <v>0</v>
      </c>
      <c r="AU230" s="21">
        <f>[2]底表!CH230</f>
        <v>0</v>
      </c>
      <c r="AV230" s="21" t="str">
        <f>[2]底表!CI230</f>
        <v>持平</v>
      </c>
      <c r="AW230" s="21">
        <f>[2]底表!CJ230</f>
        <v>0</v>
      </c>
      <c r="AX230" s="21" t="str">
        <f>[2]底表!CK230</f>
        <v>持平</v>
      </c>
      <c r="AY230" s="21" t="str">
        <f>[2]底表!CL230</f>
        <v/>
      </c>
      <c r="AZ230" s="21" t="str">
        <f>[2]底表!CM230</f>
        <v/>
      </c>
      <c r="BA230" s="21" t="str">
        <f>[2]底表!CN230</f>
        <v/>
      </c>
      <c r="BB230" s="21">
        <f>[2]底表!CO230</f>
        <v>0</v>
      </c>
      <c r="BC230" s="21">
        <f>[2]底表!CP230</f>
        <v>0</v>
      </c>
      <c r="BD230" s="21" t="str">
        <f>[2]底表!CQ230</f>
        <v>持平</v>
      </c>
      <c r="BE230" s="21">
        <f>[2]底表!CR230</f>
        <v>0</v>
      </c>
      <c r="BF230" s="21" t="str">
        <f>[2]底表!CS230</f>
        <v>持平</v>
      </c>
      <c r="BG230" s="21" t="str">
        <f>[2]底表!CT230</f>
        <v/>
      </c>
      <c r="BH230" s="21" t="str">
        <f>[2]底表!CU230</f>
        <v/>
      </c>
      <c r="BI230" s="21" t="str">
        <f>[2]底表!CV230</f>
        <v/>
      </c>
      <c r="BJ230" s="21" t="str">
        <f>[2]底表!CW230</f>
        <v/>
      </c>
      <c r="BK230" s="21" t="str">
        <f>[2]底表!CX230</f>
        <v/>
      </c>
      <c r="BL230" s="21">
        <f>[2]底表!CY230</f>
        <v>0</v>
      </c>
      <c r="BM230" s="21">
        <f>[2]底表!CZ230</f>
        <v>0</v>
      </c>
      <c r="BN230" s="23" t="str">
        <f>[2]底表!DA230</f>
        <v>持平</v>
      </c>
      <c r="BO230" s="21">
        <f>[2]底表!DB230</f>
        <v>0</v>
      </c>
      <c r="BP230" s="21" t="str">
        <f>[2]底表!DC230</f>
        <v>持平</v>
      </c>
      <c r="BQ230" s="21" t="str">
        <f>[2]底表!DD230</f>
        <v/>
      </c>
      <c r="BR230" s="21" t="str">
        <f>[2]底表!DE230</f>
        <v/>
      </c>
      <c r="BS230" s="21" t="str">
        <f>[2]底表!DF230</f>
        <v/>
      </c>
      <c r="BT230" s="21" t="str">
        <f>[2]底表!DG230</f>
        <v/>
      </c>
      <c r="BU230" s="21" t="str">
        <f>[2]底表!DH230</f>
        <v/>
      </c>
      <c r="BV230" s="21">
        <f>[2]底表!DI230</f>
        <v>0</v>
      </c>
      <c r="BW230" s="21">
        <f>[2]底表!DJ230</f>
        <v>0</v>
      </c>
      <c r="BX230" s="23" t="str">
        <f>[2]底表!DK230</f>
        <v>持平</v>
      </c>
      <c r="BY230" s="21">
        <f>[2]底表!DL230</f>
        <v>0</v>
      </c>
      <c r="BZ230" s="21" t="str">
        <f>[2]底表!DM230</f>
        <v>持平</v>
      </c>
      <c r="CA230" s="21">
        <f>[2]底表!DN230</f>
        <v>0</v>
      </c>
      <c r="CB230" s="21">
        <f>[2]底表!DO230</f>
        <v>0</v>
      </c>
      <c r="CC230" s="21" t="str">
        <f>[2]底表!DP230</f>
        <v>持平</v>
      </c>
      <c r="CD230" s="21">
        <f>[2]底表!DQ230</f>
        <v>0</v>
      </c>
      <c r="CE230" s="21" t="str">
        <f>[2]底表!DR230</f>
        <v>持平</v>
      </c>
      <c r="CF230" s="21">
        <f>[2]底表!DS230</f>
        <v>0</v>
      </c>
      <c r="CG230" s="21">
        <f>[2]底表!DT230</f>
        <v>0</v>
      </c>
      <c r="CH230" s="21" t="str">
        <f>[2]底表!DU230</f>
        <v>持平</v>
      </c>
      <c r="CI230" s="21">
        <f>[2]底表!DV230</f>
        <v>0</v>
      </c>
      <c r="CJ230" s="21" t="str">
        <f>[2]底表!DW230</f>
        <v>持平</v>
      </c>
      <c r="CK230" s="21">
        <f>[2]底表!DX230</f>
        <v>0</v>
      </c>
      <c r="CL230" s="21">
        <f>[2]底表!DY230</f>
        <v>0</v>
      </c>
      <c r="CM230" s="21" t="str">
        <f>[2]底表!DZ230</f>
        <v>持平</v>
      </c>
      <c r="CN230" s="21">
        <f>[2]底表!EA230</f>
        <v>0</v>
      </c>
      <c r="CO230" s="21" t="str">
        <f>[2]底表!EB230</f>
        <v>持平</v>
      </c>
      <c r="CP230" s="21">
        <f>[2]底表!EC230</f>
        <v>0</v>
      </c>
      <c r="CQ230" s="21">
        <f>[2]底表!ED230</f>
        <v>0</v>
      </c>
      <c r="CR230" s="21" t="str">
        <f>[2]底表!EE230</f>
        <v>持平</v>
      </c>
      <c r="CS230" s="21">
        <f>[2]底表!EF230</f>
        <v>0</v>
      </c>
      <c r="CT230" s="21" t="str">
        <f>[2]底表!EG230</f>
        <v>持平</v>
      </c>
      <c r="CU230" s="21" t="str">
        <f>[2]底表!EH230</f>
        <v/>
      </c>
      <c r="CV230" s="21" t="str">
        <f>[2]底表!EI230</f>
        <v/>
      </c>
      <c r="CW230" s="21" t="str">
        <f>[2]底表!EJ230</f>
        <v/>
      </c>
      <c r="CX230" s="21" t="str">
        <f>[2]底表!EK230</f>
        <v/>
      </c>
      <c r="CY230" s="21" t="str">
        <f>[2]底表!EL230</f>
        <v/>
      </c>
      <c r="CZ230" s="21">
        <f>[2]底表!EM230</f>
        <v>0</v>
      </c>
      <c r="DA230" s="21">
        <f>[2]底表!EN230</f>
        <v>0</v>
      </c>
      <c r="DB230" s="21" t="str">
        <f>[2]底表!EO230</f>
        <v>持平</v>
      </c>
      <c r="DC230" s="21">
        <f>[2]底表!EP230</f>
        <v>0</v>
      </c>
      <c r="DD230" s="21" t="str">
        <f>[2]底表!EQ230</f>
        <v>持平</v>
      </c>
      <c r="DE230" s="21">
        <f>[2]底表!ER230</f>
        <v>0</v>
      </c>
      <c r="DF230" s="21">
        <f>[2]底表!ES230</f>
        <v>0</v>
      </c>
      <c r="DG230" s="23" t="str">
        <f>[2]底表!ET230</f>
        <v>持平</v>
      </c>
      <c r="DH230" s="21">
        <f>[2]底表!EU230</f>
        <v>0</v>
      </c>
      <c r="DI230" s="21" t="str">
        <f>[2]底表!EV230</f>
        <v>持平</v>
      </c>
      <c r="DJ230" s="21" t="str">
        <f>[2]底表!EW230</f>
        <v/>
      </c>
      <c r="DK230" s="21" t="str">
        <f>[2]底表!EX230</f>
        <v/>
      </c>
      <c r="DL230" s="21" t="str">
        <f>[2]底表!EY230</f>
        <v/>
      </c>
      <c r="DM230" s="21" t="str">
        <f>[2]底表!EZ230</f>
        <v/>
      </c>
      <c r="DN230" s="21" t="str">
        <f>[2]底表!FA230</f>
        <v/>
      </c>
      <c r="DO230" s="21">
        <f>[2]底表!BQ230</f>
        <v>0</v>
      </c>
      <c r="DP230" s="21">
        <f>[2]底表!BR230</f>
        <v>0</v>
      </c>
      <c r="DQ230" s="24" t="str">
        <f>[2]底表!BS230</f>
        <v>持平</v>
      </c>
    </row>
    <row r="231" s="2" customFormat="1" ht="32" hidden="1" customHeight="1" spans="1:121">
      <c r="A231" s="27" t="str">
        <f>[2]底表!A231</f>
        <v>故意毁坏财物</v>
      </c>
      <c r="B231" s="28" t="str">
        <f>[2]底表!B231</f>
        <v>云安区</v>
      </c>
      <c r="C231" s="21">
        <f>[2]底表!AM231</f>
        <v>1</v>
      </c>
      <c r="D231" s="21">
        <f>[2]底表!AN231</f>
        <v>0</v>
      </c>
      <c r="E231" s="23" t="str">
        <f>[2]底表!AO231</f>
        <v>多1起</v>
      </c>
      <c r="F231" s="21">
        <f>[2]底表!AP231</f>
        <v>0</v>
      </c>
      <c r="G231" s="21" t="str">
        <f>[2]底表!AQ231</f>
        <v>多1起</v>
      </c>
      <c r="H231" s="21" t="str">
        <f>[2]底表!AR231</f>
        <v/>
      </c>
      <c r="I231" s="21" t="str">
        <f>[2]底表!AS231</f>
        <v/>
      </c>
      <c r="J231" s="21">
        <f>[2]底表!AT231</f>
        <v>0</v>
      </c>
      <c r="K231" s="21">
        <f>[2]底表!AU231</f>
        <v>0</v>
      </c>
      <c r="L231" s="21" t="str">
        <f>[2]底表!AV231</f>
        <v>持平</v>
      </c>
      <c r="M231" s="21">
        <f>[2]底表!AW231</f>
        <v>0</v>
      </c>
      <c r="N231" s="21" t="str">
        <f>[2]底表!AX231</f>
        <v>持平</v>
      </c>
      <c r="O231" s="21">
        <f>[2]底表!AY231</f>
        <v>0</v>
      </c>
      <c r="P231" s="21">
        <f>[2]底表!AZ231</f>
        <v>0</v>
      </c>
      <c r="Q231" s="21" t="str">
        <f>[2]底表!BA231</f>
        <v>持平</v>
      </c>
      <c r="R231" s="21">
        <f>[2]底表!BB231</f>
        <v>0</v>
      </c>
      <c r="S231" s="21" t="str">
        <f>[2]底表!BC231</f>
        <v>持平</v>
      </c>
      <c r="T231" s="21" t="str">
        <f>[2]底表!BD231</f>
        <v/>
      </c>
      <c r="U231" s="21" t="str">
        <f>[2]底表!BE231</f>
        <v/>
      </c>
      <c r="V231" s="21">
        <f>[2]底表!BF231</f>
        <v>0</v>
      </c>
      <c r="W231" s="21">
        <f>[2]底表!BG231</f>
        <v>0</v>
      </c>
      <c r="X231" s="21" t="str">
        <f>[2]底表!BH231</f>
        <v>持平</v>
      </c>
      <c r="Y231" s="21">
        <f>[2]底表!BI231</f>
        <v>0</v>
      </c>
      <c r="Z231" s="21" t="str">
        <f>[2]底表!BJ231</f>
        <v>持平</v>
      </c>
      <c r="AA231" s="21" t="str">
        <f>[2]底表!BK231</f>
        <v/>
      </c>
      <c r="AB231" s="21">
        <f>[2]底表!BL231</f>
        <v>1</v>
      </c>
      <c r="AC231" s="21">
        <f>[2]底表!BM231</f>
        <v>0</v>
      </c>
      <c r="AD231" s="21" t="str">
        <f>[2]底表!BN231</f>
        <v>多1起</v>
      </c>
      <c r="AE231" s="21">
        <f>[2]底表!BO231</f>
        <v>0</v>
      </c>
      <c r="AF231" s="21" t="str">
        <f>[2]底表!BP231</f>
        <v>多1起</v>
      </c>
      <c r="AG231" s="21">
        <f>[2]底表!BT231</f>
        <v>0</v>
      </c>
      <c r="AH231" s="21" t="str">
        <f>[2]底表!BU231</f>
        <v>持平</v>
      </c>
      <c r="AI231" s="21" t="str">
        <f>[2]底表!BV231</f>
        <v/>
      </c>
      <c r="AJ231" s="21" t="str">
        <f>[2]底表!BW231</f>
        <v/>
      </c>
      <c r="AK231" s="21" t="str">
        <f>[2]底表!BX231</f>
        <v/>
      </c>
      <c r="AL231" s="21" t="str">
        <f>[2]底表!BY231</f>
        <v/>
      </c>
      <c r="AM231" s="21">
        <f>[2]底表!BZ231</f>
        <v>0</v>
      </c>
      <c r="AN231" s="21">
        <f>[2]底表!CA231</f>
        <v>0</v>
      </c>
      <c r="AO231" s="21" t="str">
        <f>[2]底表!CB231</f>
        <v>持平</v>
      </c>
      <c r="AP231" s="21">
        <f>[2]底表!CC231</f>
        <v>0</v>
      </c>
      <c r="AQ231" s="21" t="str">
        <f>[2]底表!CD231</f>
        <v>持平</v>
      </c>
      <c r="AR231" s="21" t="str">
        <f>[2]底表!CE231</f>
        <v/>
      </c>
      <c r="AS231" s="21" t="str">
        <f>[2]底表!CF231</f>
        <v/>
      </c>
      <c r="AT231" s="21">
        <f>[2]底表!CG231</f>
        <v>0</v>
      </c>
      <c r="AU231" s="21">
        <f>[2]底表!CH231</f>
        <v>0</v>
      </c>
      <c r="AV231" s="21" t="str">
        <f>[2]底表!CI231</f>
        <v>持平</v>
      </c>
      <c r="AW231" s="21">
        <f>[2]底表!CJ231</f>
        <v>0</v>
      </c>
      <c r="AX231" s="21" t="str">
        <f>[2]底表!CK231</f>
        <v>持平</v>
      </c>
      <c r="AY231" s="21" t="str">
        <f>[2]底表!CL231</f>
        <v/>
      </c>
      <c r="AZ231" s="21" t="str">
        <f>[2]底表!CM231</f>
        <v/>
      </c>
      <c r="BA231" s="21" t="str">
        <f>[2]底表!CN231</f>
        <v/>
      </c>
      <c r="BB231" s="21">
        <f>[2]底表!CO231</f>
        <v>0</v>
      </c>
      <c r="BC231" s="21">
        <f>[2]底表!CP231</f>
        <v>0</v>
      </c>
      <c r="BD231" s="21" t="str">
        <f>[2]底表!CQ231</f>
        <v>持平</v>
      </c>
      <c r="BE231" s="21">
        <f>[2]底表!CR231</f>
        <v>0</v>
      </c>
      <c r="BF231" s="21" t="str">
        <f>[2]底表!CS231</f>
        <v>持平</v>
      </c>
      <c r="BG231" s="21" t="str">
        <f>[2]底表!CT231</f>
        <v/>
      </c>
      <c r="BH231" s="21" t="str">
        <f>[2]底表!CU231</f>
        <v/>
      </c>
      <c r="BI231" s="21" t="str">
        <f>[2]底表!CV231</f>
        <v/>
      </c>
      <c r="BJ231" s="21" t="str">
        <f>[2]底表!CW231</f>
        <v/>
      </c>
      <c r="BK231" s="21" t="str">
        <f>[2]底表!CX231</f>
        <v/>
      </c>
      <c r="BL231" s="21">
        <f>[2]底表!CY231</f>
        <v>0</v>
      </c>
      <c r="BM231" s="21">
        <f>[2]底表!CZ231</f>
        <v>0</v>
      </c>
      <c r="BN231" s="23" t="str">
        <f>[2]底表!DA231</f>
        <v>持平</v>
      </c>
      <c r="BO231" s="21">
        <f>[2]底表!DB231</f>
        <v>0</v>
      </c>
      <c r="BP231" s="21" t="str">
        <f>[2]底表!DC231</f>
        <v>持平</v>
      </c>
      <c r="BQ231" s="21" t="str">
        <f>[2]底表!DD231</f>
        <v/>
      </c>
      <c r="BR231" s="21" t="str">
        <f>[2]底表!DE231</f>
        <v/>
      </c>
      <c r="BS231" s="21" t="str">
        <f>[2]底表!DF231</f>
        <v/>
      </c>
      <c r="BT231" s="21" t="str">
        <f>[2]底表!DG231</f>
        <v/>
      </c>
      <c r="BU231" s="21" t="str">
        <f>[2]底表!DH231</f>
        <v/>
      </c>
      <c r="BV231" s="21">
        <f>[2]底表!DI231</f>
        <v>0</v>
      </c>
      <c r="BW231" s="21">
        <f>[2]底表!DJ231</f>
        <v>0</v>
      </c>
      <c r="BX231" s="23" t="str">
        <f>[2]底表!DK231</f>
        <v>持平</v>
      </c>
      <c r="BY231" s="21">
        <f>[2]底表!DL231</f>
        <v>0</v>
      </c>
      <c r="BZ231" s="21" t="str">
        <f>[2]底表!DM231</f>
        <v>持平</v>
      </c>
      <c r="CA231" s="21">
        <f>[2]底表!DN231</f>
        <v>0</v>
      </c>
      <c r="CB231" s="21">
        <f>[2]底表!DO231</f>
        <v>0</v>
      </c>
      <c r="CC231" s="21" t="str">
        <f>[2]底表!DP231</f>
        <v>持平</v>
      </c>
      <c r="CD231" s="21">
        <f>[2]底表!DQ231</f>
        <v>0</v>
      </c>
      <c r="CE231" s="21" t="str">
        <f>[2]底表!DR231</f>
        <v>持平</v>
      </c>
      <c r="CF231" s="21">
        <f>[2]底表!DS231</f>
        <v>0</v>
      </c>
      <c r="CG231" s="21">
        <f>[2]底表!DT231</f>
        <v>0</v>
      </c>
      <c r="CH231" s="21" t="str">
        <f>[2]底表!DU231</f>
        <v>持平</v>
      </c>
      <c r="CI231" s="21">
        <f>[2]底表!DV231</f>
        <v>0</v>
      </c>
      <c r="CJ231" s="21" t="str">
        <f>[2]底表!DW231</f>
        <v>持平</v>
      </c>
      <c r="CK231" s="21">
        <f>[2]底表!DX231</f>
        <v>0</v>
      </c>
      <c r="CL231" s="21">
        <f>[2]底表!DY231</f>
        <v>0</v>
      </c>
      <c r="CM231" s="21" t="str">
        <f>[2]底表!DZ231</f>
        <v>持平</v>
      </c>
      <c r="CN231" s="21">
        <f>[2]底表!EA231</f>
        <v>0</v>
      </c>
      <c r="CO231" s="21" t="str">
        <f>[2]底表!EB231</f>
        <v>持平</v>
      </c>
      <c r="CP231" s="21">
        <f>[2]底表!EC231</f>
        <v>0</v>
      </c>
      <c r="CQ231" s="21">
        <f>[2]底表!ED231</f>
        <v>0</v>
      </c>
      <c r="CR231" s="21" t="str">
        <f>[2]底表!EE231</f>
        <v>持平</v>
      </c>
      <c r="CS231" s="21">
        <f>[2]底表!EF231</f>
        <v>0</v>
      </c>
      <c r="CT231" s="21" t="str">
        <f>[2]底表!EG231</f>
        <v>持平</v>
      </c>
      <c r="CU231" s="21" t="str">
        <f>[2]底表!EH231</f>
        <v/>
      </c>
      <c r="CV231" s="21" t="str">
        <f>[2]底表!EI231</f>
        <v/>
      </c>
      <c r="CW231" s="21" t="str">
        <f>[2]底表!EJ231</f>
        <v/>
      </c>
      <c r="CX231" s="21" t="str">
        <f>[2]底表!EK231</f>
        <v/>
      </c>
      <c r="CY231" s="21" t="str">
        <f>[2]底表!EL231</f>
        <v/>
      </c>
      <c r="CZ231" s="21">
        <f>[2]底表!EM231</f>
        <v>0</v>
      </c>
      <c r="DA231" s="21">
        <f>[2]底表!EN231</f>
        <v>0</v>
      </c>
      <c r="DB231" s="21" t="str">
        <f>[2]底表!EO231</f>
        <v>持平</v>
      </c>
      <c r="DC231" s="21">
        <f>[2]底表!EP231</f>
        <v>0</v>
      </c>
      <c r="DD231" s="21" t="str">
        <f>[2]底表!EQ231</f>
        <v>持平</v>
      </c>
      <c r="DE231" s="21">
        <f>[2]底表!ER231</f>
        <v>0</v>
      </c>
      <c r="DF231" s="21">
        <f>[2]底表!ES231</f>
        <v>0</v>
      </c>
      <c r="DG231" s="23" t="str">
        <f>[2]底表!ET231</f>
        <v>持平</v>
      </c>
      <c r="DH231" s="21">
        <f>[2]底表!EU231</f>
        <v>0</v>
      </c>
      <c r="DI231" s="21" t="str">
        <f>[2]底表!EV231</f>
        <v>持平</v>
      </c>
      <c r="DJ231" s="21" t="str">
        <f>[2]底表!EW231</f>
        <v/>
      </c>
      <c r="DK231" s="21" t="str">
        <f>[2]底表!EX231</f>
        <v/>
      </c>
      <c r="DL231" s="21" t="str">
        <f>[2]底表!EY231</f>
        <v/>
      </c>
      <c r="DM231" s="21" t="str">
        <f>[2]底表!EZ231</f>
        <v/>
      </c>
      <c r="DN231" s="21" t="str">
        <f>[2]底表!FA231</f>
        <v/>
      </c>
      <c r="DO231" s="21">
        <f>[2]底表!BQ231</f>
        <v>0</v>
      </c>
      <c r="DP231" s="21">
        <f>[2]底表!BR231</f>
        <v>0</v>
      </c>
      <c r="DQ231" s="24" t="str">
        <f>[2]底表!BS231</f>
        <v>持平</v>
      </c>
    </row>
    <row r="232" s="2" customFormat="1" ht="32" hidden="1" customHeight="1" spans="1:121">
      <c r="A232" s="27" t="str">
        <f>[2]底表!A232</f>
        <v>故意毁坏财物</v>
      </c>
      <c r="B232" s="28" t="str">
        <f>[2]底表!B232</f>
        <v>新兴县</v>
      </c>
      <c r="C232" s="21">
        <f>[2]底表!AM232</f>
        <v>0</v>
      </c>
      <c r="D232" s="21">
        <f>[2]底表!AN232</f>
        <v>0</v>
      </c>
      <c r="E232" s="23" t="str">
        <f>[2]底表!AO232</f>
        <v>持平</v>
      </c>
      <c r="F232" s="21">
        <f>[2]底表!AP232</f>
        <v>0</v>
      </c>
      <c r="G232" s="21" t="str">
        <f>[2]底表!AQ232</f>
        <v>持平</v>
      </c>
      <c r="H232" s="21" t="str">
        <f>[2]底表!AR232</f>
        <v/>
      </c>
      <c r="I232" s="21" t="str">
        <f>[2]底表!AS232</f>
        <v/>
      </c>
      <c r="J232" s="21">
        <f>[2]底表!AT232</f>
        <v>0</v>
      </c>
      <c r="K232" s="21">
        <f>[2]底表!AU232</f>
        <v>0</v>
      </c>
      <c r="L232" s="21" t="str">
        <f>[2]底表!AV232</f>
        <v>持平</v>
      </c>
      <c r="M232" s="21">
        <f>[2]底表!AW232</f>
        <v>1</v>
      </c>
      <c r="N232" s="21" t="str">
        <f>[2]底表!AX232</f>
        <v>少1起</v>
      </c>
      <c r="O232" s="21">
        <f>[2]底表!AY232</f>
        <v>0</v>
      </c>
      <c r="P232" s="21">
        <f>[2]底表!AZ232</f>
        <v>0</v>
      </c>
      <c r="Q232" s="21" t="str">
        <f>[2]底表!BA232</f>
        <v>持平</v>
      </c>
      <c r="R232" s="21">
        <f>[2]底表!BB232</f>
        <v>0</v>
      </c>
      <c r="S232" s="21" t="str">
        <f>[2]底表!BC232</f>
        <v>持平</v>
      </c>
      <c r="T232" s="21" t="str">
        <f>[2]底表!BD232</f>
        <v/>
      </c>
      <c r="U232" s="21" t="str">
        <f>[2]底表!BE232</f>
        <v/>
      </c>
      <c r="V232" s="21">
        <f>[2]底表!BF232</f>
        <v>0</v>
      </c>
      <c r="W232" s="21">
        <f>[2]底表!BG232</f>
        <v>0</v>
      </c>
      <c r="X232" s="21" t="str">
        <f>[2]底表!BH232</f>
        <v>持平</v>
      </c>
      <c r="Y232" s="21">
        <f>[2]底表!BI232</f>
        <v>0</v>
      </c>
      <c r="Z232" s="21" t="str">
        <f>[2]底表!BJ232</f>
        <v>持平</v>
      </c>
      <c r="AA232" s="21" t="str">
        <f>[2]底表!BK232</f>
        <v/>
      </c>
      <c r="AB232" s="21">
        <f>[2]底表!BL232</f>
        <v>0</v>
      </c>
      <c r="AC232" s="21">
        <f>[2]底表!BM232</f>
        <v>0</v>
      </c>
      <c r="AD232" s="21" t="str">
        <f>[2]底表!BN232</f>
        <v>持平</v>
      </c>
      <c r="AE232" s="21">
        <f>[2]底表!BO232</f>
        <v>0</v>
      </c>
      <c r="AF232" s="21" t="str">
        <f>[2]底表!BP232</f>
        <v>持平</v>
      </c>
      <c r="AG232" s="21">
        <f>[2]底表!BT232</f>
        <v>0</v>
      </c>
      <c r="AH232" s="21" t="str">
        <f>[2]底表!BU232</f>
        <v>持平</v>
      </c>
      <c r="AI232" s="21" t="str">
        <f>[2]底表!BV232</f>
        <v/>
      </c>
      <c r="AJ232" s="21" t="str">
        <f>[2]底表!BW232</f>
        <v/>
      </c>
      <c r="AK232" s="21" t="str">
        <f>[2]底表!BX232</f>
        <v/>
      </c>
      <c r="AL232" s="21" t="str">
        <f>[2]底表!BY232</f>
        <v/>
      </c>
      <c r="AM232" s="21">
        <f>[2]底表!BZ232</f>
        <v>0</v>
      </c>
      <c r="AN232" s="21">
        <f>[2]底表!CA232</f>
        <v>0</v>
      </c>
      <c r="AO232" s="21" t="str">
        <f>[2]底表!CB232</f>
        <v>持平</v>
      </c>
      <c r="AP232" s="21">
        <f>[2]底表!CC232</f>
        <v>0</v>
      </c>
      <c r="AQ232" s="21" t="str">
        <f>[2]底表!CD232</f>
        <v>持平</v>
      </c>
      <c r="AR232" s="21" t="str">
        <f>[2]底表!CE232</f>
        <v/>
      </c>
      <c r="AS232" s="21" t="str">
        <f>[2]底表!CF232</f>
        <v/>
      </c>
      <c r="AT232" s="21">
        <f>[2]底表!CG232</f>
        <v>0</v>
      </c>
      <c r="AU232" s="21">
        <f>[2]底表!CH232</f>
        <v>1</v>
      </c>
      <c r="AV232" s="21" t="str">
        <f>[2]底表!CI232</f>
        <v>少1人</v>
      </c>
      <c r="AW232" s="21">
        <f>[2]底表!CJ232</f>
        <v>1</v>
      </c>
      <c r="AX232" s="21" t="str">
        <f>[2]底表!CK232</f>
        <v>少1人</v>
      </c>
      <c r="AY232" s="21" t="str">
        <f>[2]底表!CL232</f>
        <v/>
      </c>
      <c r="AZ232" s="21" t="str">
        <f>[2]底表!CM232</f>
        <v/>
      </c>
      <c r="BA232" s="21" t="str">
        <f>[2]底表!CN232</f>
        <v/>
      </c>
      <c r="BB232" s="21">
        <f>[2]底表!CO232</f>
        <v>0</v>
      </c>
      <c r="BC232" s="21">
        <f>[2]底表!CP232</f>
        <v>0</v>
      </c>
      <c r="BD232" s="21" t="str">
        <f>[2]底表!CQ232</f>
        <v>持平</v>
      </c>
      <c r="BE232" s="21">
        <f>[2]底表!CR232</f>
        <v>0</v>
      </c>
      <c r="BF232" s="21" t="str">
        <f>[2]底表!CS232</f>
        <v>持平</v>
      </c>
      <c r="BG232" s="21" t="str">
        <f>[2]底表!CT232</f>
        <v/>
      </c>
      <c r="BH232" s="21" t="str">
        <f>[2]底表!CU232</f>
        <v/>
      </c>
      <c r="BI232" s="21" t="str">
        <f>[2]底表!CV232</f>
        <v/>
      </c>
      <c r="BJ232" s="21" t="str">
        <f>[2]底表!CW232</f>
        <v/>
      </c>
      <c r="BK232" s="21" t="str">
        <f>[2]底表!CX232</f>
        <v/>
      </c>
      <c r="BL232" s="21">
        <f>[2]底表!CY232</f>
        <v>0</v>
      </c>
      <c r="BM232" s="21">
        <f>[2]底表!CZ232</f>
        <v>0</v>
      </c>
      <c r="BN232" s="23" t="str">
        <f>[2]底表!DA232</f>
        <v>持平</v>
      </c>
      <c r="BO232" s="21">
        <f>[2]底表!DB232</f>
        <v>0</v>
      </c>
      <c r="BP232" s="21" t="str">
        <f>[2]底表!DC232</f>
        <v>持平</v>
      </c>
      <c r="BQ232" s="21" t="str">
        <f>[2]底表!DD232</f>
        <v/>
      </c>
      <c r="BR232" s="21" t="str">
        <f>[2]底表!DE232</f>
        <v/>
      </c>
      <c r="BS232" s="21" t="str">
        <f>[2]底表!DF232</f>
        <v/>
      </c>
      <c r="BT232" s="21" t="str">
        <f>[2]底表!DG232</f>
        <v/>
      </c>
      <c r="BU232" s="21" t="str">
        <f>[2]底表!DH232</f>
        <v/>
      </c>
      <c r="BV232" s="21">
        <f>[2]底表!DI232</f>
        <v>0</v>
      </c>
      <c r="BW232" s="21">
        <f>[2]底表!DJ232</f>
        <v>0</v>
      </c>
      <c r="BX232" s="23" t="str">
        <f>[2]底表!DK232</f>
        <v>持平</v>
      </c>
      <c r="BY232" s="21">
        <f>[2]底表!DL232</f>
        <v>0</v>
      </c>
      <c r="BZ232" s="21" t="str">
        <f>[2]底表!DM232</f>
        <v>持平</v>
      </c>
      <c r="CA232" s="21">
        <f>[2]底表!DN232</f>
        <v>0</v>
      </c>
      <c r="CB232" s="21">
        <f>[2]底表!DO232</f>
        <v>0</v>
      </c>
      <c r="CC232" s="21" t="str">
        <f>[2]底表!DP232</f>
        <v>持平</v>
      </c>
      <c r="CD232" s="21">
        <f>[2]底表!DQ232</f>
        <v>0</v>
      </c>
      <c r="CE232" s="21" t="str">
        <f>[2]底表!DR232</f>
        <v>持平</v>
      </c>
      <c r="CF232" s="21">
        <f>[2]底表!DS232</f>
        <v>0</v>
      </c>
      <c r="CG232" s="21">
        <f>[2]底表!DT232</f>
        <v>0</v>
      </c>
      <c r="CH232" s="21" t="str">
        <f>[2]底表!DU232</f>
        <v>持平</v>
      </c>
      <c r="CI232" s="21">
        <f>[2]底表!DV232</f>
        <v>0</v>
      </c>
      <c r="CJ232" s="21" t="str">
        <f>[2]底表!DW232</f>
        <v>持平</v>
      </c>
      <c r="CK232" s="21">
        <f>[2]底表!DX232</f>
        <v>0</v>
      </c>
      <c r="CL232" s="21">
        <f>[2]底表!DY232</f>
        <v>0</v>
      </c>
      <c r="CM232" s="21" t="str">
        <f>[2]底表!DZ232</f>
        <v>持平</v>
      </c>
      <c r="CN232" s="21">
        <f>[2]底表!EA232</f>
        <v>0</v>
      </c>
      <c r="CO232" s="21" t="str">
        <f>[2]底表!EB232</f>
        <v>持平</v>
      </c>
      <c r="CP232" s="21">
        <f>[2]底表!EC232</f>
        <v>0</v>
      </c>
      <c r="CQ232" s="21">
        <f>[2]底表!ED232</f>
        <v>0</v>
      </c>
      <c r="CR232" s="21" t="str">
        <f>[2]底表!EE232</f>
        <v>持平</v>
      </c>
      <c r="CS232" s="21">
        <f>[2]底表!EF232</f>
        <v>0</v>
      </c>
      <c r="CT232" s="21" t="str">
        <f>[2]底表!EG232</f>
        <v>持平</v>
      </c>
      <c r="CU232" s="21" t="str">
        <f>[2]底表!EH232</f>
        <v/>
      </c>
      <c r="CV232" s="21" t="str">
        <f>[2]底表!EI232</f>
        <v/>
      </c>
      <c r="CW232" s="21" t="str">
        <f>[2]底表!EJ232</f>
        <v/>
      </c>
      <c r="CX232" s="21" t="str">
        <f>[2]底表!EK232</f>
        <v/>
      </c>
      <c r="CY232" s="21" t="str">
        <f>[2]底表!EL232</f>
        <v/>
      </c>
      <c r="CZ232" s="21">
        <f>[2]底表!EM232</f>
        <v>0</v>
      </c>
      <c r="DA232" s="21">
        <f>[2]底表!EN232</f>
        <v>0</v>
      </c>
      <c r="DB232" s="21" t="str">
        <f>[2]底表!EO232</f>
        <v>持平</v>
      </c>
      <c r="DC232" s="21">
        <f>[2]底表!EP232</f>
        <v>0</v>
      </c>
      <c r="DD232" s="21" t="str">
        <f>[2]底表!EQ232</f>
        <v>持平</v>
      </c>
      <c r="DE232" s="21">
        <f>[2]底表!ER232</f>
        <v>0</v>
      </c>
      <c r="DF232" s="21">
        <f>[2]底表!ES232</f>
        <v>0</v>
      </c>
      <c r="DG232" s="23" t="str">
        <f>[2]底表!ET232</f>
        <v>持平</v>
      </c>
      <c r="DH232" s="21">
        <f>[2]底表!EU232</f>
        <v>0</v>
      </c>
      <c r="DI232" s="21" t="str">
        <f>[2]底表!EV232</f>
        <v>持平</v>
      </c>
      <c r="DJ232" s="21" t="str">
        <f>[2]底表!EW232</f>
        <v/>
      </c>
      <c r="DK232" s="21" t="str">
        <f>[2]底表!EX232</f>
        <v/>
      </c>
      <c r="DL232" s="21" t="str">
        <f>[2]底表!EY232</f>
        <v/>
      </c>
      <c r="DM232" s="21" t="str">
        <f>[2]底表!EZ232</f>
        <v/>
      </c>
      <c r="DN232" s="21" t="str">
        <f>[2]底表!FA232</f>
        <v/>
      </c>
      <c r="DO232" s="21">
        <f>[2]底表!BQ232</f>
        <v>0</v>
      </c>
      <c r="DP232" s="21">
        <f>[2]底表!BR232</f>
        <v>0</v>
      </c>
      <c r="DQ232" s="24" t="str">
        <f>[2]底表!BS232</f>
        <v>持平</v>
      </c>
    </row>
    <row r="233" s="2" customFormat="1" ht="32" hidden="1" customHeight="1" spans="1:121">
      <c r="A233" s="27" t="str">
        <f>[2]底表!A233</f>
        <v>故意毁坏财物</v>
      </c>
      <c r="B233" s="28" t="str">
        <f>[2]底表!B233</f>
        <v>郁南县</v>
      </c>
      <c r="C233" s="21">
        <f>[2]底表!AM233</f>
        <v>0</v>
      </c>
      <c r="D233" s="21">
        <f>[2]底表!AN233</f>
        <v>0</v>
      </c>
      <c r="E233" s="23" t="str">
        <f>[2]底表!AO233</f>
        <v>持平</v>
      </c>
      <c r="F233" s="21">
        <f>[2]底表!AP233</f>
        <v>0</v>
      </c>
      <c r="G233" s="21" t="str">
        <f>[2]底表!AQ233</f>
        <v>持平</v>
      </c>
      <c r="H233" s="21">
        <f>[2]底表!AR233</f>
        <v>0</v>
      </c>
      <c r="I233" s="21" t="str">
        <f>[2]底表!AS233</f>
        <v/>
      </c>
      <c r="J233" s="21">
        <f>[2]底表!AT233</f>
        <v>0</v>
      </c>
      <c r="K233" s="21">
        <f>[2]底表!AU233</f>
        <v>0</v>
      </c>
      <c r="L233" s="21" t="str">
        <f>[2]底表!AV233</f>
        <v>持平</v>
      </c>
      <c r="M233" s="21">
        <f>[2]底表!AW233</f>
        <v>0</v>
      </c>
      <c r="N233" s="21" t="str">
        <f>[2]底表!AX233</f>
        <v>持平</v>
      </c>
      <c r="O233" s="21">
        <f>[2]底表!AY233</f>
        <v>0</v>
      </c>
      <c r="P233" s="21">
        <f>[2]底表!AZ233</f>
        <v>0</v>
      </c>
      <c r="Q233" s="21" t="str">
        <f>[2]底表!BA233</f>
        <v>持平</v>
      </c>
      <c r="R233" s="21">
        <f>[2]底表!BB233</f>
        <v>0</v>
      </c>
      <c r="S233" s="21" t="str">
        <f>[2]底表!BC233</f>
        <v>持平</v>
      </c>
      <c r="T233" s="21" t="str">
        <f>[2]底表!BD233</f>
        <v/>
      </c>
      <c r="U233" s="21" t="str">
        <f>[2]底表!BE233</f>
        <v/>
      </c>
      <c r="V233" s="21">
        <f>[2]底表!BF233</f>
        <v>1</v>
      </c>
      <c r="W233" s="21">
        <f>[2]底表!BG233</f>
        <v>0</v>
      </c>
      <c r="X233" s="21" t="str">
        <f>[2]底表!BH233</f>
        <v>多1起</v>
      </c>
      <c r="Y233" s="21">
        <f>[2]底表!BI233</f>
        <v>0</v>
      </c>
      <c r="Z233" s="21" t="str">
        <f>[2]底表!BJ233</f>
        <v>多1起</v>
      </c>
      <c r="AA233" s="21">
        <f>[2]底表!BK233</f>
        <v>1</v>
      </c>
      <c r="AB233" s="21">
        <f>[2]底表!BL233</f>
        <v>0</v>
      </c>
      <c r="AC233" s="21">
        <f>[2]底表!BM233</f>
        <v>0</v>
      </c>
      <c r="AD233" s="21" t="str">
        <f>[2]底表!BN233</f>
        <v>持平</v>
      </c>
      <c r="AE233" s="21">
        <f>[2]底表!BO233</f>
        <v>0</v>
      </c>
      <c r="AF233" s="21" t="str">
        <f>[2]底表!BP233</f>
        <v>持平</v>
      </c>
      <c r="AG233" s="21">
        <f>[2]底表!BT233</f>
        <v>0</v>
      </c>
      <c r="AH233" s="21" t="str">
        <f>[2]底表!BU233</f>
        <v>持平</v>
      </c>
      <c r="AI233" s="21">
        <f>[2]底表!BV233</f>
        <v>0</v>
      </c>
      <c r="AJ233" s="21" t="str">
        <f>[2]底表!BW233</f>
        <v/>
      </c>
      <c r="AK233" s="21" t="str">
        <f>[2]底表!BX233</f>
        <v/>
      </c>
      <c r="AL233" s="21" t="str">
        <f>[2]底表!BY233</f>
        <v/>
      </c>
      <c r="AM233" s="21">
        <f>[2]底表!BZ233</f>
        <v>0</v>
      </c>
      <c r="AN233" s="21">
        <f>[2]底表!CA233</f>
        <v>0</v>
      </c>
      <c r="AO233" s="21" t="str">
        <f>[2]底表!CB233</f>
        <v>持平</v>
      </c>
      <c r="AP233" s="21">
        <f>[2]底表!CC233</f>
        <v>0</v>
      </c>
      <c r="AQ233" s="21" t="str">
        <f>[2]底表!CD233</f>
        <v>持平</v>
      </c>
      <c r="AR233" s="21" t="str">
        <f>[2]底表!CE233</f>
        <v/>
      </c>
      <c r="AS233" s="21" t="str">
        <f>[2]底表!CF233</f>
        <v/>
      </c>
      <c r="AT233" s="21">
        <f>[2]底表!CG233</f>
        <v>0</v>
      </c>
      <c r="AU233" s="21">
        <f>[2]底表!CH233</f>
        <v>0</v>
      </c>
      <c r="AV233" s="21" t="str">
        <f>[2]底表!CI233</f>
        <v>持平</v>
      </c>
      <c r="AW233" s="21">
        <f>[2]底表!CJ233</f>
        <v>0</v>
      </c>
      <c r="AX233" s="21" t="str">
        <f>[2]底表!CK233</f>
        <v>持平</v>
      </c>
      <c r="AY233" s="21">
        <f>[2]底表!CL233</f>
        <v>0</v>
      </c>
      <c r="AZ233" s="21" t="str">
        <f>[2]底表!CM233</f>
        <v/>
      </c>
      <c r="BA233" s="21" t="str">
        <f>[2]底表!CN233</f>
        <v/>
      </c>
      <c r="BB233" s="21">
        <f>[2]底表!CO233</f>
        <v>0</v>
      </c>
      <c r="BC233" s="21">
        <f>[2]底表!CP233</f>
        <v>0</v>
      </c>
      <c r="BD233" s="21" t="str">
        <f>[2]底表!CQ233</f>
        <v>持平</v>
      </c>
      <c r="BE233" s="21">
        <f>[2]底表!CR233</f>
        <v>0</v>
      </c>
      <c r="BF233" s="21" t="str">
        <f>[2]底表!CS233</f>
        <v>持平</v>
      </c>
      <c r="BG233" s="21" t="str">
        <f>[2]底表!CT233</f>
        <v/>
      </c>
      <c r="BH233" s="21" t="str">
        <f>[2]底表!CU233</f>
        <v/>
      </c>
      <c r="BI233" s="21">
        <f>[2]底表!CV233</f>
        <v>0</v>
      </c>
      <c r="BJ233" s="21" t="str">
        <f>[2]底表!CW233</f>
        <v/>
      </c>
      <c r="BK233" s="21" t="str">
        <f>[2]底表!CX233</f>
        <v/>
      </c>
      <c r="BL233" s="21">
        <f>[2]底表!CY233</f>
        <v>0</v>
      </c>
      <c r="BM233" s="21">
        <f>[2]底表!CZ233</f>
        <v>0</v>
      </c>
      <c r="BN233" s="23" t="str">
        <f>[2]底表!DA233</f>
        <v>持平</v>
      </c>
      <c r="BO233" s="21">
        <f>[2]底表!DB233</f>
        <v>0</v>
      </c>
      <c r="BP233" s="21" t="str">
        <f>[2]底表!DC233</f>
        <v>持平</v>
      </c>
      <c r="BQ233" s="21" t="str">
        <f>[2]底表!DD233</f>
        <v/>
      </c>
      <c r="BR233" s="21" t="str">
        <f>[2]底表!DE233</f>
        <v/>
      </c>
      <c r="BS233" s="21">
        <f>[2]底表!DF233</f>
        <v>0</v>
      </c>
      <c r="BT233" s="21" t="str">
        <f>[2]底表!DG233</f>
        <v/>
      </c>
      <c r="BU233" s="21" t="str">
        <f>[2]底表!DH233</f>
        <v/>
      </c>
      <c r="BV233" s="21">
        <f>[2]底表!DI233</f>
        <v>0</v>
      </c>
      <c r="BW233" s="21">
        <f>[2]底表!DJ233</f>
        <v>0</v>
      </c>
      <c r="BX233" s="23" t="str">
        <f>[2]底表!DK233</f>
        <v>持平</v>
      </c>
      <c r="BY233" s="21">
        <f>[2]底表!DL233</f>
        <v>0</v>
      </c>
      <c r="BZ233" s="21" t="str">
        <f>[2]底表!DM233</f>
        <v>持平</v>
      </c>
      <c r="CA233" s="21">
        <f>[2]底表!DN233</f>
        <v>0</v>
      </c>
      <c r="CB233" s="21">
        <f>[2]底表!DO233</f>
        <v>1</v>
      </c>
      <c r="CC233" s="21" t="str">
        <f>[2]底表!DP233</f>
        <v>少1人</v>
      </c>
      <c r="CD233" s="21">
        <f>[2]底表!DQ233</f>
        <v>0</v>
      </c>
      <c r="CE233" s="21" t="str">
        <f>[2]底表!DR233</f>
        <v>持平</v>
      </c>
      <c r="CF233" s="21">
        <f>[2]底表!DS233</f>
        <v>0</v>
      </c>
      <c r="CG233" s="21">
        <f>[2]底表!DT233</f>
        <v>1</v>
      </c>
      <c r="CH233" s="21" t="str">
        <f>[2]底表!DU233</f>
        <v>少1人</v>
      </c>
      <c r="CI233" s="21">
        <f>[2]底表!DV233</f>
        <v>0</v>
      </c>
      <c r="CJ233" s="21" t="str">
        <f>[2]底表!DW233</f>
        <v>持平</v>
      </c>
      <c r="CK233" s="21">
        <f>[2]底表!DX233</f>
        <v>0</v>
      </c>
      <c r="CL233" s="21">
        <f>[2]底表!DY233</f>
        <v>0</v>
      </c>
      <c r="CM233" s="21" t="str">
        <f>[2]底表!DZ233</f>
        <v>持平</v>
      </c>
      <c r="CN233" s="21">
        <f>[2]底表!EA233</f>
        <v>0</v>
      </c>
      <c r="CO233" s="21" t="str">
        <f>[2]底表!EB233</f>
        <v>持平</v>
      </c>
      <c r="CP233" s="21">
        <f>[2]底表!EC233</f>
        <v>0</v>
      </c>
      <c r="CQ233" s="21">
        <f>[2]底表!ED233</f>
        <v>0</v>
      </c>
      <c r="CR233" s="21" t="str">
        <f>[2]底表!EE233</f>
        <v>持平</v>
      </c>
      <c r="CS233" s="21">
        <f>[2]底表!EF233</f>
        <v>0</v>
      </c>
      <c r="CT233" s="21" t="str">
        <f>[2]底表!EG233</f>
        <v>持平</v>
      </c>
      <c r="CU233" s="21" t="str">
        <f>[2]底表!EH233</f>
        <v/>
      </c>
      <c r="CV233" s="21" t="str">
        <f>[2]底表!EI233</f>
        <v/>
      </c>
      <c r="CW233" s="21">
        <f>[2]底表!EJ233</f>
        <v>0</v>
      </c>
      <c r="CX233" s="21" t="str">
        <f>[2]底表!EK233</f>
        <v/>
      </c>
      <c r="CY233" s="21" t="str">
        <f>[2]底表!EL233</f>
        <v/>
      </c>
      <c r="CZ233" s="21">
        <f>[2]底表!EM233</f>
        <v>0</v>
      </c>
      <c r="DA233" s="21">
        <f>[2]底表!EN233</f>
        <v>0</v>
      </c>
      <c r="DB233" s="21" t="str">
        <f>[2]底表!EO233</f>
        <v>持平</v>
      </c>
      <c r="DC233" s="21">
        <f>[2]底表!EP233</f>
        <v>0</v>
      </c>
      <c r="DD233" s="21" t="str">
        <f>[2]底表!EQ233</f>
        <v>持平</v>
      </c>
      <c r="DE233" s="21">
        <f>[2]底表!ER233</f>
        <v>0</v>
      </c>
      <c r="DF233" s="21">
        <f>[2]底表!ES233</f>
        <v>0</v>
      </c>
      <c r="DG233" s="23" t="str">
        <f>[2]底表!ET233</f>
        <v>持平</v>
      </c>
      <c r="DH233" s="21">
        <f>[2]底表!EU233</f>
        <v>0</v>
      </c>
      <c r="DI233" s="21" t="str">
        <f>[2]底表!EV233</f>
        <v>持平</v>
      </c>
      <c r="DJ233" s="21" t="str">
        <f>[2]底表!EW233</f>
        <v/>
      </c>
      <c r="DK233" s="21" t="str">
        <f>[2]底表!EX233</f>
        <v/>
      </c>
      <c r="DL233" s="21">
        <f>[2]底表!EY233</f>
        <v>0</v>
      </c>
      <c r="DM233" s="21" t="str">
        <f>[2]底表!EZ233</f>
        <v/>
      </c>
      <c r="DN233" s="21" t="str">
        <f>[2]底表!FA233</f>
        <v/>
      </c>
      <c r="DO233" s="21">
        <f>[2]底表!BQ233</f>
        <v>0</v>
      </c>
      <c r="DP233" s="21">
        <f>[2]底表!BR233</f>
        <v>0</v>
      </c>
      <c r="DQ233" s="24" t="str">
        <f>[2]底表!BS233</f>
        <v>持平</v>
      </c>
    </row>
    <row r="234" s="2" customFormat="1" ht="32" hidden="1" customHeight="1" spans="1:121">
      <c r="A234" s="27" t="str">
        <f>[2]底表!A234</f>
        <v>故意毁坏财物</v>
      </c>
      <c r="B234" s="28" t="str">
        <f>[2]底表!B234</f>
        <v>罗定市</v>
      </c>
      <c r="C234" s="21">
        <f>[2]底表!AM234</f>
        <v>0</v>
      </c>
      <c r="D234" s="21">
        <f>[2]底表!AN234</f>
        <v>1</v>
      </c>
      <c r="E234" s="23" t="str">
        <f>[2]底表!AO234</f>
        <v>少1起</v>
      </c>
      <c r="F234" s="21">
        <f>[2]底表!AP234</f>
        <v>0</v>
      </c>
      <c r="G234" s="21" t="str">
        <f>[2]底表!AQ234</f>
        <v>持平</v>
      </c>
      <c r="H234" s="21" t="str">
        <f>[2]底表!AR234</f>
        <v/>
      </c>
      <c r="I234" s="21" t="str">
        <f>[2]底表!AS234</f>
        <v/>
      </c>
      <c r="J234" s="21">
        <f>[2]底表!AT234</f>
        <v>0</v>
      </c>
      <c r="K234" s="21">
        <f>[2]底表!AU234</f>
        <v>0</v>
      </c>
      <c r="L234" s="21" t="str">
        <f>[2]底表!AV234</f>
        <v>持平</v>
      </c>
      <c r="M234" s="21">
        <f>[2]底表!AW234</f>
        <v>0</v>
      </c>
      <c r="N234" s="21" t="str">
        <f>[2]底表!AX234</f>
        <v>持平</v>
      </c>
      <c r="O234" s="21">
        <f>[2]底表!AY234</f>
        <v>0</v>
      </c>
      <c r="P234" s="21">
        <f>[2]底表!AZ234</f>
        <v>0</v>
      </c>
      <c r="Q234" s="21" t="str">
        <f>[2]底表!BA234</f>
        <v>持平</v>
      </c>
      <c r="R234" s="21">
        <f>[2]底表!BB234</f>
        <v>0</v>
      </c>
      <c r="S234" s="21" t="str">
        <f>[2]底表!BC234</f>
        <v>持平</v>
      </c>
      <c r="T234" s="21" t="str">
        <f>[2]底表!BD234</f>
        <v/>
      </c>
      <c r="U234" s="21" t="str">
        <f>[2]底表!BE234</f>
        <v/>
      </c>
      <c r="V234" s="21">
        <f>[2]底表!BF234</f>
        <v>0</v>
      </c>
      <c r="W234" s="21">
        <f>[2]底表!BG234</f>
        <v>0</v>
      </c>
      <c r="X234" s="21" t="str">
        <f>[2]底表!BH234</f>
        <v>持平</v>
      </c>
      <c r="Y234" s="21">
        <f>[2]底表!BI234</f>
        <v>0</v>
      </c>
      <c r="Z234" s="21" t="str">
        <f>[2]底表!BJ234</f>
        <v>持平</v>
      </c>
      <c r="AA234" s="21" t="str">
        <f>[2]底表!BK234</f>
        <v/>
      </c>
      <c r="AB234" s="21">
        <f>[2]底表!BL234</f>
        <v>0</v>
      </c>
      <c r="AC234" s="21">
        <f>[2]底表!BM234</f>
        <v>1</v>
      </c>
      <c r="AD234" s="21" t="str">
        <f>[2]底表!BN234</f>
        <v>少1起</v>
      </c>
      <c r="AE234" s="21">
        <f>[2]底表!BO234</f>
        <v>0</v>
      </c>
      <c r="AF234" s="21" t="str">
        <f>[2]底表!BP234</f>
        <v>持平</v>
      </c>
      <c r="AG234" s="21">
        <f>[2]底表!BT234</f>
        <v>0</v>
      </c>
      <c r="AH234" s="21" t="str">
        <f>[2]底表!BU234</f>
        <v>持平</v>
      </c>
      <c r="AI234" s="21" t="str">
        <f>[2]底表!BV234</f>
        <v/>
      </c>
      <c r="AJ234" s="21" t="str">
        <f>[2]底表!BW234</f>
        <v/>
      </c>
      <c r="AK234" s="21" t="str">
        <f>[2]底表!BX234</f>
        <v/>
      </c>
      <c r="AL234" s="21" t="str">
        <f>[2]底表!BY234</f>
        <v/>
      </c>
      <c r="AM234" s="21">
        <f>[2]底表!BZ234</f>
        <v>0</v>
      </c>
      <c r="AN234" s="21">
        <f>[2]底表!CA234</f>
        <v>0</v>
      </c>
      <c r="AO234" s="21" t="str">
        <f>[2]底表!CB234</f>
        <v>持平</v>
      </c>
      <c r="AP234" s="21">
        <f>[2]底表!CC234</f>
        <v>0</v>
      </c>
      <c r="AQ234" s="21" t="str">
        <f>[2]底表!CD234</f>
        <v>持平</v>
      </c>
      <c r="AR234" s="21" t="str">
        <f>[2]底表!CE234</f>
        <v/>
      </c>
      <c r="AS234" s="21" t="str">
        <f>[2]底表!CF234</f>
        <v/>
      </c>
      <c r="AT234" s="21">
        <f>[2]底表!CG234</f>
        <v>0</v>
      </c>
      <c r="AU234" s="21">
        <f>[2]底表!CH234</f>
        <v>0</v>
      </c>
      <c r="AV234" s="21" t="str">
        <f>[2]底表!CI234</f>
        <v>持平</v>
      </c>
      <c r="AW234" s="21">
        <f>[2]底表!CJ234</f>
        <v>0</v>
      </c>
      <c r="AX234" s="21" t="str">
        <f>[2]底表!CK234</f>
        <v>持平</v>
      </c>
      <c r="AY234" s="21" t="str">
        <f>[2]底表!CL234</f>
        <v/>
      </c>
      <c r="AZ234" s="21" t="str">
        <f>[2]底表!CM234</f>
        <v/>
      </c>
      <c r="BA234" s="21" t="str">
        <f>[2]底表!CN234</f>
        <v/>
      </c>
      <c r="BB234" s="21">
        <f>[2]底表!CO234</f>
        <v>0</v>
      </c>
      <c r="BC234" s="21">
        <f>[2]底表!CP234</f>
        <v>2</v>
      </c>
      <c r="BD234" s="21" t="str">
        <f>[2]底表!CQ234</f>
        <v>少2人</v>
      </c>
      <c r="BE234" s="21">
        <f>[2]底表!CR234</f>
        <v>0</v>
      </c>
      <c r="BF234" s="21" t="str">
        <f>[2]底表!CS234</f>
        <v>持平</v>
      </c>
      <c r="BG234" s="21" t="str">
        <f>[2]底表!CT234</f>
        <v/>
      </c>
      <c r="BH234" s="21" t="str">
        <f>[2]底表!CU234</f>
        <v/>
      </c>
      <c r="BI234" s="21" t="str">
        <f>[2]底表!CV234</f>
        <v/>
      </c>
      <c r="BJ234" s="21" t="str">
        <f>[2]底表!CW234</f>
        <v/>
      </c>
      <c r="BK234" s="21" t="str">
        <f>[2]底表!CX234</f>
        <v/>
      </c>
      <c r="BL234" s="21">
        <f>[2]底表!CY234</f>
        <v>0</v>
      </c>
      <c r="BM234" s="21">
        <f>[2]底表!CZ234</f>
        <v>5</v>
      </c>
      <c r="BN234" s="23" t="str">
        <f>[2]底表!DA234</f>
        <v>少5人</v>
      </c>
      <c r="BO234" s="21">
        <f>[2]底表!DB234</f>
        <v>0</v>
      </c>
      <c r="BP234" s="21" t="str">
        <f>[2]底表!DC234</f>
        <v>持平</v>
      </c>
      <c r="BQ234" s="21" t="str">
        <f>[2]底表!DD234</f>
        <v/>
      </c>
      <c r="BR234" s="21" t="str">
        <f>[2]底表!DE234</f>
        <v/>
      </c>
      <c r="BS234" s="21" t="str">
        <f>[2]底表!DF234</f>
        <v/>
      </c>
      <c r="BT234" s="21" t="str">
        <f>[2]底表!DG234</f>
        <v/>
      </c>
      <c r="BU234" s="21" t="str">
        <f>[2]底表!DH234</f>
        <v/>
      </c>
      <c r="BV234" s="21">
        <f>[2]底表!DI234</f>
        <v>0</v>
      </c>
      <c r="BW234" s="21">
        <f>[2]底表!DJ234</f>
        <v>0</v>
      </c>
      <c r="BX234" s="23" t="str">
        <f>[2]底表!DK234</f>
        <v>持平</v>
      </c>
      <c r="BY234" s="21">
        <f>[2]底表!DL234</f>
        <v>0</v>
      </c>
      <c r="BZ234" s="21" t="str">
        <f>[2]底表!DM234</f>
        <v>持平</v>
      </c>
      <c r="CA234" s="21">
        <f>[2]底表!DN234</f>
        <v>0</v>
      </c>
      <c r="CB234" s="21">
        <f>[2]底表!DO234</f>
        <v>5</v>
      </c>
      <c r="CC234" s="21" t="str">
        <f>[2]底表!DP234</f>
        <v>少5人</v>
      </c>
      <c r="CD234" s="21">
        <f>[2]底表!DQ234</f>
        <v>0</v>
      </c>
      <c r="CE234" s="21" t="str">
        <f>[2]底表!DR234</f>
        <v>持平</v>
      </c>
      <c r="CF234" s="21">
        <f>[2]底表!DS234</f>
        <v>0</v>
      </c>
      <c r="CG234" s="21">
        <f>[2]底表!DT234</f>
        <v>5</v>
      </c>
      <c r="CH234" s="21" t="str">
        <f>[2]底表!DU234</f>
        <v>少5人</v>
      </c>
      <c r="CI234" s="21">
        <f>[2]底表!DV234</f>
        <v>0</v>
      </c>
      <c r="CJ234" s="21" t="str">
        <f>[2]底表!DW234</f>
        <v>持平</v>
      </c>
      <c r="CK234" s="21">
        <f>[2]底表!DX234</f>
        <v>0</v>
      </c>
      <c r="CL234" s="21">
        <f>[2]底表!DY234</f>
        <v>0</v>
      </c>
      <c r="CM234" s="21" t="str">
        <f>[2]底表!DZ234</f>
        <v>持平</v>
      </c>
      <c r="CN234" s="21">
        <f>[2]底表!EA234</f>
        <v>0</v>
      </c>
      <c r="CO234" s="21" t="str">
        <f>[2]底表!EB234</f>
        <v>持平</v>
      </c>
      <c r="CP234" s="21">
        <f>[2]底表!EC234</f>
        <v>0</v>
      </c>
      <c r="CQ234" s="21">
        <f>[2]底表!ED234</f>
        <v>0</v>
      </c>
      <c r="CR234" s="21" t="str">
        <f>[2]底表!EE234</f>
        <v>持平</v>
      </c>
      <c r="CS234" s="21">
        <f>[2]底表!EF234</f>
        <v>0</v>
      </c>
      <c r="CT234" s="21" t="str">
        <f>[2]底表!EG234</f>
        <v>持平</v>
      </c>
      <c r="CU234" s="21" t="str">
        <f>[2]底表!EH234</f>
        <v/>
      </c>
      <c r="CV234" s="21" t="str">
        <f>[2]底表!EI234</f>
        <v/>
      </c>
      <c r="CW234" s="21" t="str">
        <f>[2]底表!EJ234</f>
        <v/>
      </c>
      <c r="CX234" s="21" t="str">
        <f>[2]底表!EK234</f>
        <v/>
      </c>
      <c r="CY234" s="21" t="str">
        <f>[2]底表!EL234</f>
        <v/>
      </c>
      <c r="CZ234" s="21">
        <f>[2]底表!EM234</f>
        <v>0</v>
      </c>
      <c r="DA234" s="21">
        <f>[2]底表!EN234</f>
        <v>0</v>
      </c>
      <c r="DB234" s="21" t="str">
        <f>[2]底表!EO234</f>
        <v>持平</v>
      </c>
      <c r="DC234" s="21">
        <f>[2]底表!EP234</f>
        <v>0</v>
      </c>
      <c r="DD234" s="21" t="str">
        <f>[2]底表!EQ234</f>
        <v>持平</v>
      </c>
      <c r="DE234" s="21">
        <f>[2]底表!ER234</f>
        <v>0</v>
      </c>
      <c r="DF234" s="21">
        <f>[2]底表!ES234</f>
        <v>0</v>
      </c>
      <c r="DG234" s="23" t="str">
        <f>[2]底表!ET234</f>
        <v>持平</v>
      </c>
      <c r="DH234" s="21">
        <f>[2]底表!EU234</f>
        <v>0</v>
      </c>
      <c r="DI234" s="21" t="str">
        <f>[2]底表!EV234</f>
        <v>持平</v>
      </c>
      <c r="DJ234" s="21" t="str">
        <f>[2]底表!EW234</f>
        <v/>
      </c>
      <c r="DK234" s="21" t="str">
        <f>[2]底表!EX234</f>
        <v/>
      </c>
      <c r="DL234" s="21" t="str">
        <f>[2]底表!EY234</f>
        <v/>
      </c>
      <c r="DM234" s="21" t="str">
        <f>[2]底表!EZ234</f>
        <v/>
      </c>
      <c r="DN234" s="21" t="str">
        <f>[2]底表!FA234</f>
        <v/>
      </c>
      <c r="DO234" s="21">
        <f>[2]底表!BQ234</f>
        <v>0</v>
      </c>
      <c r="DP234" s="21">
        <f>[2]底表!BR234</f>
        <v>0</v>
      </c>
      <c r="DQ234" s="24" t="str">
        <f>[2]底表!BS234</f>
        <v>持平</v>
      </c>
    </row>
    <row r="235" s="2" customFormat="1" ht="47" hidden="1" customHeight="1" spans="1:121">
      <c r="A235" s="25" t="str">
        <f>[2]底表!A235</f>
        <v>经济（含职务侵占、挪用资金）</v>
      </c>
      <c r="B235" s="28" t="str">
        <f>[2]底表!B235</f>
        <v>全省</v>
      </c>
      <c r="C235" s="21">
        <f>[2]底表!AM235</f>
        <v>1540</v>
      </c>
      <c r="D235" s="21">
        <f>[2]底表!AN235</f>
        <v>761</v>
      </c>
      <c r="E235" s="23">
        <f>[2]底表!AO235</f>
        <v>1.0237</v>
      </c>
      <c r="F235" s="21">
        <f>[2]底表!AP235</f>
        <v>1753</v>
      </c>
      <c r="G235" s="21">
        <f>[2]底表!AQ235</f>
        <v>-0.1215</v>
      </c>
      <c r="H235" s="21">
        <f>[2]底表!AR235</f>
        <v>0.8144</v>
      </c>
      <c r="I235" s="21">
        <f>[2]底表!AS235</f>
        <v>0.1474</v>
      </c>
      <c r="J235" s="21">
        <f>[2]底表!AT235</f>
        <v>836</v>
      </c>
      <c r="K235" s="21">
        <f>[2]底表!AU235</f>
        <v>406</v>
      </c>
      <c r="L235" s="21">
        <f>[2]底表!AV235</f>
        <v>1.0591</v>
      </c>
      <c r="M235" s="21">
        <f>[2]底表!AW235</f>
        <v>1361</v>
      </c>
      <c r="N235" s="21">
        <f>[2]底表!AX235</f>
        <v>-0.3857</v>
      </c>
      <c r="O235" s="21">
        <f>[2]底表!AY235</f>
        <v>537</v>
      </c>
      <c r="P235" s="21">
        <f>[2]底表!AZ235</f>
        <v>191</v>
      </c>
      <c r="Q235" s="21">
        <f>[2]底表!BA235</f>
        <v>1.8115</v>
      </c>
      <c r="R235" s="21">
        <f>[2]底表!BB235</f>
        <v>1011</v>
      </c>
      <c r="S235" s="21">
        <f>[2]底表!BC235</f>
        <v>-0.4688</v>
      </c>
      <c r="T235" s="21">
        <f>[2]底表!BD235</f>
        <v>0.6423</v>
      </c>
      <c r="U235" s="21">
        <f>[2]底表!BE235</f>
        <v>0.1719</v>
      </c>
      <c r="V235" s="21">
        <f>[2]底表!BF235</f>
        <v>1055</v>
      </c>
      <c r="W235" s="21">
        <f>[2]底表!BG235</f>
        <v>735</v>
      </c>
      <c r="X235" s="21">
        <f>[2]底表!BH235</f>
        <v>0.4354</v>
      </c>
      <c r="Y235" s="21">
        <f>[2]底表!BI235</f>
        <v>457</v>
      </c>
      <c r="Z235" s="21">
        <f>[2]底表!BJ235</f>
        <v>1.3085</v>
      </c>
      <c r="AA235" s="21">
        <f>[2]底表!BK235</f>
        <v>0.5579</v>
      </c>
      <c r="AB235" s="21">
        <f>[2]底表!BL235</f>
        <v>1003</v>
      </c>
      <c r="AC235" s="21">
        <f>[2]底表!BM235</f>
        <v>570</v>
      </c>
      <c r="AD235" s="21">
        <f>[2]底表!BN235</f>
        <v>0.7596</v>
      </c>
      <c r="AE235" s="21">
        <f>[2]底表!BO235</f>
        <v>742</v>
      </c>
      <c r="AF235" s="21">
        <f>[2]底表!BP235</f>
        <v>0.3518</v>
      </c>
      <c r="AG235" s="21">
        <f>[2]底表!BT235</f>
        <v>1155</v>
      </c>
      <c r="AH235" s="21">
        <f>[2]底表!BU235</f>
        <v>-0.3974</v>
      </c>
      <c r="AI235" s="21">
        <f>[2]底表!BV235</f>
        <v>0.3681</v>
      </c>
      <c r="AJ235" s="21">
        <f>[2]底表!BW235</f>
        <v>-0.0202</v>
      </c>
      <c r="AK235" s="21">
        <f>[2]底表!BX235</f>
        <v>0.8325</v>
      </c>
      <c r="AL235" s="21">
        <f>[2]底表!BY235</f>
        <v>-0.2586</v>
      </c>
      <c r="AM235" s="21">
        <f>[2]底表!BZ235</f>
        <v>0</v>
      </c>
      <c r="AN235" s="21">
        <f>[2]底表!CA235</f>
        <v>1</v>
      </c>
      <c r="AO235" s="21" t="str">
        <f>[2]底表!CB235</f>
        <v>少1起</v>
      </c>
      <c r="AP235" s="21">
        <f>[2]底表!CC235</f>
        <v>32</v>
      </c>
      <c r="AQ235" s="21" t="str">
        <f>[2]底表!CD235</f>
        <v>少32起</v>
      </c>
      <c r="AR235" s="21" t="str">
        <f>[2]底表!CE235</f>
        <v/>
      </c>
      <c r="AS235" s="21" t="str">
        <f>[2]底表!CF235</f>
        <v/>
      </c>
      <c r="AT235" s="21">
        <f>[2]底表!CG235</f>
        <v>3458</v>
      </c>
      <c r="AU235" s="21">
        <f>[2]底表!CH235</f>
        <v>1534</v>
      </c>
      <c r="AV235" s="21">
        <f>[2]底表!CI235</f>
        <v>1.2542</v>
      </c>
      <c r="AW235" s="21">
        <f>[2]底表!CJ235</f>
        <v>2916</v>
      </c>
      <c r="AX235" s="21">
        <f>[2]底表!CK235</f>
        <v>0.1859</v>
      </c>
      <c r="AY235" s="21">
        <f>[2]底表!CL235</f>
        <v>183</v>
      </c>
      <c r="AZ235" s="21">
        <f>[2]底表!CM235</f>
        <v>48</v>
      </c>
      <c r="BA235" s="21">
        <f>[2]底表!CN235</f>
        <v>0.3602</v>
      </c>
      <c r="BB235" s="21">
        <f>[2]底表!CO235</f>
        <v>3474</v>
      </c>
      <c r="BC235" s="21">
        <f>[2]底表!CP235</f>
        <v>1240</v>
      </c>
      <c r="BD235" s="21">
        <f>[2]底表!CQ235</f>
        <v>1.8016</v>
      </c>
      <c r="BE235" s="21">
        <f>[2]底表!CR235</f>
        <v>2929</v>
      </c>
      <c r="BF235" s="21">
        <f>[2]底表!CS235</f>
        <v>0.1861</v>
      </c>
      <c r="BG235" s="21">
        <f>[2]底表!CT235</f>
        <v>1.0046</v>
      </c>
      <c r="BH235" s="21">
        <f>[2]底表!CU235</f>
        <v>0.1963</v>
      </c>
      <c r="BI235" s="21">
        <f>[2]底表!CV235</f>
        <v>184</v>
      </c>
      <c r="BJ235" s="21">
        <f>[2]底表!CW235</f>
        <v>75</v>
      </c>
      <c r="BK235" s="21">
        <f>[2]底表!CX235</f>
        <v>0.6904</v>
      </c>
      <c r="BL235" s="21">
        <f>[2]底表!CY235</f>
        <v>3684</v>
      </c>
      <c r="BM235" s="21">
        <f>[2]底表!CZ235</f>
        <v>1484</v>
      </c>
      <c r="BN235" s="23">
        <f>[2]底表!DA235</f>
        <v>1.4825</v>
      </c>
      <c r="BO235" s="21">
        <f>[2]底表!DB235</f>
        <v>3187</v>
      </c>
      <c r="BP235" s="21">
        <f>[2]底表!DC235</f>
        <v>0.1559</v>
      </c>
      <c r="BQ235" s="21">
        <f>[2]底表!DD235</f>
        <v>1.0654</v>
      </c>
      <c r="BR235" s="21">
        <f>[2]底表!DE235</f>
        <v>0.098</v>
      </c>
      <c r="BS235" s="21">
        <f>[2]底表!DF235</f>
        <v>195</v>
      </c>
      <c r="BT235" s="21">
        <f>[2]底表!DG235</f>
        <v>65</v>
      </c>
      <c r="BU235" s="21">
        <f>[2]底表!DH235</f>
        <v>0.4979</v>
      </c>
      <c r="BV235" s="21">
        <f>[2]底表!DI235</f>
        <v>3713</v>
      </c>
      <c r="BW235" s="21">
        <f>[2]底表!DJ235</f>
        <v>1723</v>
      </c>
      <c r="BX235" s="23">
        <f>[2]底表!DK235</f>
        <v>1.155</v>
      </c>
      <c r="BY235" s="21">
        <f>[2]底表!DL235</f>
        <v>3124</v>
      </c>
      <c r="BZ235" s="21">
        <f>[2]底表!DM235</f>
        <v>0.1885</v>
      </c>
      <c r="CA235" s="21">
        <f>[2]底表!DN235</f>
        <v>1902</v>
      </c>
      <c r="CB235" s="21">
        <f>[2]底表!DO235</f>
        <v>1284</v>
      </c>
      <c r="CC235" s="21">
        <f>[2]底表!DP235</f>
        <v>0.4813</v>
      </c>
      <c r="CD235" s="21">
        <f>[2]底表!DQ235</f>
        <v>1861</v>
      </c>
      <c r="CE235" s="21">
        <f>[2]底表!DR235</f>
        <v>0.022</v>
      </c>
      <c r="CF235" s="21">
        <f>[2]底表!DS235</f>
        <v>1903</v>
      </c>
      <c r="CG235" s="21">
        <f>[2]底表!DT235</f>
        <v>1284</v>
      </c>
      <c r="CH235" s="21">
        <f>[2]底表!DU235</f>
        <v>0.4821</v>
      </c>
      <c r="CI235" s="21">
        <f>[2]底表!DV235</f>
        <v>1861</v>
      </c>
      <c r="CJ235" s="21">
        <f>[2]底表!DW235</f>
        <v>0.0226</v>
      </c>
      <c r="CK235" s="21">
        <f>[2]底表!DX235</f>
        <v>2647</v>
      </c>
      <c r="CL235" s="21">
        <f>[2]底表!DY235</f>
        <v>1496</v>
      </c>
      <c r="CM235" s="21">
        <f>[2]底表!DZ235</f>
        <v>0.7694</v>
      </c>
      <c r="CN235" s="21">
        <f>[2]底表!EA235</f>
        <v>1875</v>
      </c>
      <c r="CO235" s="21">
        <f>[2]底表!EB235</f>
        <v>0.4117</v>
      </c>
      <c r="CP235" s="21">
        <f>[2]底表!EC235</f>
        <v>985</v>
      </c>
      <c r="CQ235" s="21">
        <f>[2]底表!ED235</f>
        <v>827</v>
      </c>
      <c r="CR235" s="21">
        <f>[2]底表!EE235</f>
        <v>0.1911</v>
      </c>
      <c r="CS235" s="21">
        <f>[2]底表!EF235</f>
        <v>990</v>
      </c>
      <c r="CT235" s="21">
        <f>[2]底表!EG235</f>
        <v>-0.0051</v>
      </c>
      <c r="CU235" s="21">
        <f>[2]底表!EH235</f>
        <v>0.2835</v>
      </c>
      <c r="CV235" s="21">
        <f>[2]底表!EI235</f>
        <v>-0.3834</v>
      </c>
      <c r="CW235" s="21">
        <f>[2]底表!EJ235</f>
        <v>52</v>
      </c>
      <c r="CX235" s="21">
        <f>[2]底表!EK235</f>
        <v>-20</v>
      </c>
      <c r="CY235" s="21">
        <f>[2]底表!EL235</f>
        <v>-0.2813</v>
      </c>
      <c r="CZ235" s="21">
        <f>[2]底表!EM235</f>
        <v>1026</v>
      </c>
      <c r="DA235" s="21">
        <f>[2]底表!EN235</f>
        <v>835</v>
      </c>
      <c r="DB235" s="21">
        <f>[2]底表!EO235</f>
        <v>0.2287</v>
      </c>
      <c r="DC235" s="21">
        <f>[2]底表!EP235</f>
        <v>1010</v>
      </c>
      <c r="DD235" s="21">
        <f>[2]底表!EQ235</f>
        <v>0.0158</v>
      </c>
      <c r="DE235" s="21">
        <f>[2]底表!ER235</f>
        <v>1415</v>
      </c>
      <c r="DF235" s="21">
        <f>[2]底表!ES235</f>
        <v>976</v>
      </c>
      <c r="DG235" s="23">
        <f>[2]底表!ET235</f>
        <v>0.4498</v>
      </c>
      <c r="DH235" s="21">
        <f>[2]底表!EU235</f>
        <v>2245</v>
      </c>
      <c r="DI235" s="21">
        <f>[2]底表!EV235</f>
        <v>-0.3697</v>
      </c>
      <c r="DJ235" s="21">
        <f>[2]底表!EW235</f>
        <v>0.4073</v>
      </c>
      <c r="DK235" s="21">
        <f>[2]底表!EX235</f>
        <v>-0.3798</v>
      </c>
      <c r="DL235" s="21">
        <f>[2]底表!EY235</f>
        <v>75</v>
      </c>
      <c r="DM235" s="21">
        <f>[2]底表!EZ235</f>
        <v>-11</v>
      </c>
      <c r="DN235" s="21">
        <f>[2]底表!FA235</f>
        <v>-0.1252</v>
      </c>
      <c r="DO235" s="21">
        <f>[2]底表!BQ235</f>
        <v>696</v>
      </c>
      <c r="DP235" s="21">
        <f>[2]底表!BR235</f>
        <v>443</v>
      </c>
      <c r="DQ235" s="24">
        <f>[2]底表!BS235</f>
        <v>0.5711</v>
      </c>
    </row>
    <row r="236" s="2" customFormat="1" ht="47" hidden="1" customHeight="1" spans="1:121">
      <c r="A236" s="25" t="str">
        <f>[2]底表!A236</f>
        <v>经济（含职务侵占、挪用资金）</v>
      </c>
      <c r="B236" s="28" t="str">
        <f>[2]底表!B236</f>
        <v>云浮</v>
      </c>
      <c r="C236" s="21">
        <f>[2]底表!AM236</f>
        <v>18</v>
      </c>
      <c r="D236" s="21">
        <f>[2]底表!AN236</f>
        <v>5</v>
      </c>
      <c r="E236" s="23">
        <f>[2]底表!AO236</f>
        <v>2.6</v>
      </c>
      <c r="F236" s="21">
        <f>[2]底表!AP236</f>
        <v>18</v>
      </c>
      <c r="G236" s="21">
        <f>[2]底表!AQ236</f>
        <v>0</v>
      </c>
      <c r="H236" s="21">
        <f>[2]底表!AR236</f>
        <v>1</v>
      </c>
      <c r="I236" s="21">
        <f>[2]底表!AS236</f>
        <v>0.375</v>
      </c>
      <c r="J236" s="21">
        <f>[2]底表!AT236</f>
        <v>8</v>
      </c>
      <c r="K236" s="21">
        <f>[2]底表!AU236</f>
        <v>3</v>
      </c>
      <c r="L236" s="21">
        <f>[2]底表!AV236</f>
        <v>1.6667</v>
      </c>
      <c r="M236" s="21">
        <f>[2]底表!AW236</f>
        <v>13</v>
      </c>
      <c r="N236" s="21">
        <f>[2]底表!AX236</f>
        <v>-0.3846</v>
      </c>
      <c r="O236" s="21">
        <f>[2]底表!AY236</f>
        <v>5</v>
      </c>
      <c r="P236" s="21">
        <f>[2]底表!AZ236</f>
        <v>1</v>
      </c>
      <c r="Q236" s="21">
        <f>[2]底表!BA236</f>
        <v>4</v>
      </c>
      <c r="R236" s="21">
        <f>[2]底表!BB236</f>
        <v>8</v>
      </c>
      <c r="S236" s="21">
        <f>[2]底表!BC236</f>
        <v>-0.375</v>
      </c>
      <c r="T236" s="21">
        <f>[2]底表!BD236</f>
        <v>0.625</v>
      </c>
      <c r="U236" s="21">
        <f>[2]底表!BE236</f>
        <v>0.2917</v>
      </c>
      <c r="V236" s="21">
        <f>[2]底表!BF236</f>
        <v>10</v>
      </c>
      <c r="W236" s="21">
        <f>[2]底表!BG236</f>
        <v>5</v>
      </c>
      <c r="X236" s="21">
        <f>[2]底表!BH236</f>
        <v>1</v>
      </c>
      <c r="Y236" s="21">
        <f>[2]底表!BI236</f>
        <v>4</v>
      </c>
      <c r="Z236" s="21">
        <f>[2]底表!BJ236</f>
        <v>1.5</v>
      </c>
      <c r="AA236" s="21">
        <f>[2]底表!BK236</f>
        <v>0.5556</v>
      </c>
      <c r="AB236" s="21">
        <f>[2]底表!BL236</f>
        <v>13</v>
      </c>
      <c r="AC236" s="21">
        <f>[2]底表!BM236</f>
        <v>4</v>
      </c>
      <c r="AD236" s="21">
        <f>[2]底表!BN236</f>
        <v>2.25</v>
      </c>
      <c r="AE236" s="21">
        <f>[2]底表!BO236</f>
        <v>10</v>
      </c>
      <c r="AF236" s="21">
        <f>[2]底表!BP236</f>
        <v>0.3</v>
      </c>
      <c r="AG236" s="21">
        <f>[2]底表!BT236</f>
        <v>17</v>
      </c>
      <c r="AH236" s="21">
        <f>[2]底表!BU236</f>
        <v>-0.5882</v>
      </c>
      <c r="AI236" s="21">
        <f>[2]底表!BV236</f>
        <v>0.3889</v>
      </c>
      <c r="AJ236" s="21">
        <f>[2]底表!BW236</f>
        <v>-0.4861</v>
      </c>
      <c r="AK236" s="21">
        <f>[2]底表!BX236</f>
        <v>0.875</v>
      </c>
      <c r="AL236" s="21">
        <f>[2]底表!BY236</f>
        <v>-1.4583</v>
      </c>
      <c r="AM236" s="21">
        <f>[2]底表!BZ236</f>
        <v>0</v>
      </c>
      <c r="AN236" s="21">
        <f>[2]底表!CA236</f>
        <v>0</v>
      </c>
      <c r="AO236" s="21" t="str">
        <f>[2]底表!CB236</f>
        <v>持平</v>
      </c>
      <c r="AP236" s="21">
        <f>[2]底表!CC236</f>
        <v>0</v>
      </c>
      <c r="AQ236" s="21" t="str">
        <f>[2]底表!CD236</f>
        <v>持平</v>
      </c>
      <c r="AR236" s="21" t="str">
        <f>[2]底表!CE236</f>
        <v/>
      </c>
      <c r="AS236" s="21" t="str">
        <f>[2]底表!CF236</f>
        <v/>
      </c>
      <c r="AT236" s="21">
        <f>[2]底表!CG236</f>
        <v>17</v>
      </c>
      <c r="AU236" s="21">
        <f>[2]底表!CH236</f>
        <v>6</v>
      </c>
      <c r="AV236" s="21">
        <f>[2]底表!CI236</f>
        <v>1.8333</v>
      </c>
      <c r="AW236" s="21">
        <f>[2]底表!CJ236</f>
        <v>42</v>
      </c>
      <c r="AX236" s="21">
        <f>[2]底表!CK236</f>
        <v>-0.5952</v>
      </c>
      <c r="AY236" s="21">
        <f>[2]底表!CL236</f>
        <v>94</v>
      </c>
      <c r="AZ236" s="21">
        <f>[2]底表!CM236</f>
        <v>19</v>
      </c>
      <c r="BA236" s="21">
        <f>[2]底表!CN236</f>
        <v>0.2593</v>
      </c>
      <c r="BB236" s="21">
        <f>[2]底表!CO236</f>
        <v>22</v>
      </c>
      <c r="BC236" s="21">
        <f>[2]底表!CP236</f>
        <v>9</v>
      </c>
      <c r="BD236" s="21">
        <f>[2]底表!CQ236</f>
        <v>1.4444</v>
      </c>
      <c r="BE236" s="21">
        <f>[2]底表!CR236</f>
        <v>34</v>
      </c>
      <c r="BF236" s="21">
        <f>[2]底表!CS236</f>
        <v>-0.3529</v>
      </c>
      <c r="BG236" s="21">
        <f>[2]底表!CT236</f>
        <v>1.2941</v>
      </c>
      <c r="BH236" s="21">
        <f>[2]底表!CU236</f>
        <v>-0.2059</v>
      </c>
      <c r="BI236" s="21">
        <f>[2]底表!CV236</f>
        <v>122</v>
      </c>
      <c r="BJ236" s="21">
        <f>[2]底表!CW236</f>
        <v>10</v>
      </c>
      <c r="BK236" s="21">
        <f>[2]底表!CX236</f>
        <v>0.0864</v>
      </c>
      <c r="BL236" s="21">
        <f>[2]底表!CY236</f>
        <v>23</v>
      </c>
      <c r="BM236" s="21">
        <f>[2]底表!CZ236</f>
        <v>9</v>
      </c>
      <c r="BN236" s="23">
        <f>[2]底表!DA236</f>
        <v>1.5556</v>
      </c>
      <c r="BO236" s="21">
        <f>[2]底表!DB236</f>
        <v>42</v>
      </c>
      <c r="BP236" s="21">
        <f>[2]底表!DC236</f>
        <v>-0.4524</v>
      </c>
      <c r="BQ236" s="21">
        <f>[2]底表!DD236</f>
        <v>1.3529</v>
      </c>
      <c r="BR236" s="21">
        <f>[2]底表!DE236</f>
        <v>-0.1471</v>
      </c>
      <c r="BS236" s="21">
        <f>[2]底表!DF236</f>
        <v>128</v>
      </c>
      <c r="BT236" s="21">
        <f>[2]底表!DG236</f>
        <v>15</v>
      </c>
      <c r="BU236" s="21">
        <f>[2]底表!DH236</f>
        <v>0.1358</v>
      </c>
      <c r="BV236" s="21">
        <f>[2]底表!DI236</f>
        <v>17</v>
      </c>
      <c r="BW236" s="21">
        <f>[2]底表!DJ236</f>
        <v>10</v>
      </c>
      <c r="BX236" s="23">
        <f>[2]底表!DK236</f>
        <v>0.7</v>
      </c>
      <c r="BY236" s="21">
        <f>[2]底表!DL236</f>
        <v>38</v>
      </c>
      <c r="BZ236" s="21">
        <f>[2]底表!DM236</f>
        <v>-0.5526</v>
      </c>
      <c r="CA236" s="21">
        <f>[2]底表!DN236</f>
        <v>20</v>
      </c>
      <c r="CB236" s="21">
        <f>[2]底表!DO236</f>
        <v>3</v>
      </c>
      <c r="CC236" s="21">
        <f>[2]底表!DP236</f>
        <v>5.6667</v>
      </c>
      <c r="CD236" s="21">
        <f>[2]底表!DQ236</f>
        <v>20</v>
      </c>
      <c r="CE236" s="21">
        <f>[2]底表!DR236</f>
        <v>0</v>
      </c>
      <c r="CF236" s="21">
        <f>[2]底表!DS236</f>
        <v>20</v>
      </c>
      <c r="CG236" s="21">
        <f>[2]底表!DT236</f>
        <v>3</v>
      </c>
      <c r="CH236" s="21">
        <f>[2]底表!DU236</f>
        <v>5.6667</v>
      </c>
      <c r="CI236" s="21">
        <f>[2]底表!DV236</f>
        <v>20</v>
      </c>
      <c r="CJ236" s="21">
        <f>[2]底表!DW236</f>
        <v>0</v>
      </c>
      <c r="CK236" s="21">
        <f>[2]底表!DX236</f>
        <v>31</v>
      </c>
      <c r="CL236" s="21">
        <f>[2]底表!DY236</f>
        <v>6</v>
      </c>
      <c r="CM236" s="21">
        <f>[2]底表!DZ236</f>
        <v>4.1667</v>
      </c>
      <c r="CN236" s="21">
        <f>[2]底表!EA236</f>
        <v>18</v>
      </c>
      <c r="CO236" s="21">
        <f>[2]底表!EB236</f>
        <v>0.7222</v>
      </c>
      <c r="CP236" s="21">
        <f>[2]底表!EC236</f>
        <v>28</v>
      </c>
      <c r="CQ236" s="21">
        <f>[2]底表!ED236</f>
        <v>5</v>
      </c>
      <c r="CR236" s="21">
        <f>[2]底表!EE236</f>
        <v>4.6</v>
      </c>
      <c r="CS236" s="21">
        <f>[2]底表!EF236</f>
        <v>10</v>
      </c>
      <c r="CT236" s="21">
        <f>[2]底表!EG236</f>
        <v>1.8</v>
      </c>
      <c r="CU236" s="21">
        <f>[2]底表!EH236</f>
        <v>1.2727</v>
      </c>
      <c r="CV236" s="21">
        <f>[2]底表!EI236</f>
        <v>0.7172</v>
      </c>
      <c r="CW236" s="21">
        <f>[2]底表!EJ236</f>
        <v>156</v>
      </c>
      <c r="CX236" s="21">
        <f>[2]底表!EK236</f>
        <v>93</v>
      </c>
      <c r="CY236" s="21">
        <f>[2]底表!EL236</f>
        <v>1.4889</v>
      </c>
      <c r="CZ236" s="21">
        <f>[2]底表!EM236</f>
        <v>29</v>
      </c>
      <c r="DA236" s="21">
        <f>[2]底表!EN236</f>
        <v>5</v>
      </c>
      <c r="DB236" s="21">
        <f>[2]底表!EO236</f>
        <v>4.8</v>
      </c>
      <c r="DC236" s="21">
        <f>[2]底表!EP236</f>
        <v>11</v>
      </c>
      <c r="DD236" s="21">
        <f>[2]底表!EQ236</f>
        <v>1.6364</v>
      </c>
      <c r="DE236" s="21">
        <f>[2]底表!ER236</f>
        <v>12</v>
      </c>
      <c r="DF236" s="21">
        <f>[2]底表!ES236</f>
        <v>16</v>
      </c>
      <c r="DG236" s="23">
        <f>[2]底表!ET236</f>
        <v>-0.25</v>
      </c>
      <c r="DH236" s="21">
        <f>[2]底表!EU236</f>
        <v>32</v>
      </c>
      <c r="DI236" s="21">
        <f>[2]底表!EV236</f>
        <v>-0.625</v>
      </c>
      <c r="DJ236" s="21">
        <f>[2]底表!EW236</f>
        <v>0.5455</v>
      </c>
      <c r="DK236" s="21">
        <f>[2]底表!EX236</f>
        <v>-1.2323</v>
      </c>
      <c r="DL236" s="21">
        <f>[2]底表!EY236</f>
        <v>67</v>
      </c>
      <c r="DM236" s="21">
        <f>[2]底表!EZ236</f>
        <v>-133</v>
      </c>
      <c r="DN236" s="21">
        <f>[2]底表!FA236</f>
        <v>-0.6667</v>
      </c>
      <c r="DO236" s="21">
        <f>[2]底表!BQ236</f>
        <v>7</v>
      </c>
      <c r="DP236" s="21">
        <f>[2]底表!BR236</f>
        <v>7</v>
      </c>
      <c r="DQ236" s="24">
        <f>[2]底表!BS236</f>
        <v>0</v>
      </c>
    </row>
    <row r="237" s="2" customFormat="1" ht="32" hidden="1" customHeight="1" spans="1:121">
      <c r="A237" s="29" t="str">
        <f>[2]底表!A237</f>
        <v>经济（含职务侵占、挪用资金）</v>
      </c>
      <c r="B237" s="28" t="str">
        <f>[2]底表!B237</f>
        <v>云城区</v>
      </c>
      <c r="C237" s="21">
        <f>[2]底表!AM237</f>
        <v>2</v>
      </c>
      <c r="D237" s="21">
        <f>[2]底表!AN237</f>
        <v>1</v>
      </c>
      <c r="E237" s="23">
        <f>[2]底表!AO237</f>
        <v>1</v>
      </c>
      <c r="F237" s="21">
        <f>[2]底表!AP237</f>
        <v>4</v>
      </c>
      <c r="G237" s="21">
        <f>[2]底表!AQ237</f>
        <v>-0.5</v>
      </c>
      <c r="H237" s="21">
        <f>[2]底表!AR237</f>
        <v>0.6667</v>
      </c>
      <c r="I237" s="21">
        <f>[2]底表!AS237</f>
        <v>-0.3333</v>
      </c>
      <c r="J237" s="21">
        <f>[2]底表!AT237</f>
        <v>2</v>
      </c>
      <c r="K237" s="21">
        <f>[2]底表!AU237</f>
        <v>0</v>
      </c>
      <c r="L237" s="21" t="str">
        <f>[2]底表!AV237</f>
        <v>多2起</v>
      </c>
      <c r="M237" s="21">
        <f>[2]底表!AW237</f>
        <v>2</v>
      </c>
      <c r="N237" s="21">
        <f>[2]底表!AX237</f>
        <v>0</v>
      </c>
      <c r="O237" s="21">
        <f>[2]底表!AY237</f>
        <v>0</v>
      </c>
      <c r="P237" s="21">
        <f>[2]底表!AZ237</f>
        <v>0</v>
      </c>
      <c r="Q237" s="21" t="str">
        <f>[2]底表!BA237</f>
        <v>持平</v>
      </c>
      <c r="R237" s="21">
        <f>[2]底表!BB237</f>
        <v>1</v>
      </c>
      <c r="S237" s="21" t="str">
        <f>[2]底表!BC237</f>
        <v>少1起</v>
      </c>
      <c r="T237" s="21">
        <f>[2]底表!BD237</f>
        <v>0</v>
      </c>
      <c r="U237" s="21" t="str">
        <f>[2]底表!BE237</f>
        <v/>
      </c>
      <c r="V237" s="21">
        <f>[2]底表!BF237</f>
        <v>1</v>
      </c>
      <c r="W237" s="21">
        <f>[2]底表!BG237</f>
        <v>1</v>
      </c>
      <c r="X237" s="21">
        <f>[2]底表!BH237</f>
        <v>0</v>
      </c>
      <c r="Y237" s="21">
        <f>[2]底表!BI237</f>
        <v>0</v>
      </c>
      <c r="Z237" s="21" t="str">
        <f>[2]底表!BJ237</f>
        <v>多1起</v>
      </c>
      <c r="AA237" s="21">
        <f>[2]底表!BK237</f>
        <v>0.3333</v>
      </c>
      <c r="AB237" s="21">
        <f>[2]底表!BL237</f>
        <v>2</v>
      </c>
      <c r="AC237" s="21">
        <f>[2]底表!BM237</f>
        <v>1</v>
      </c>
      <c r="AD237" s="21">
        <f>[2]底表!BN237</f>
        <v>1</v>
      </c>
      <c r="AE237" s="21">
        <f>[2]底表!BO237</f>
        <v>3</v>
      </c>
      <c r="AF237" s="21">
        <f>[2]底表!BP237</f>
        <v>-0.3333</v>
      </c>
      <c r="AG237" s="21">
        <f>[2]底表!BT237</f>
        <v>2</v>
      </c>
      <c r="AH237" s="21" t="str">
        <f>[2]底表!BU237</f>
        <v>少2起</v>
      </c>
      <c r="AI237" s="21">
        <f>[2]底表!BV237</f>
        <v>0</v>
      </c>
      <c r="AJ237" s="21">
        <f>[2]底表!BW237</f>
        <v>-1</v>
      </c>
      <c r="AK237" s="21">
        <f>[2]底表!BX237</f>
        <v>0</v>
      </c>
      <c r="AL237" s="21" t="str">
        <f>[2]底表!BY237</f>
        <v/>
      </c>
      <c r="AM237" s="21">
        <f>[2]底表!BZ237</f>
        <v>0</v>
      </c>
      <c r="AN237" s="21">
        <f>[2]底表!CA237</f>
        <v>0</v>
      </c>
      <c r="AO237" s="21" t="str">
        <f>[2]底表!CB237</f>
        <v>持平</v>
      </c>
      <c r="AP237" s="21">
        <f>[2]底表!CC237</f>
        <v>0</v>
      </c>
      <c r="AQ237" s="21" t="str">
        <f>[2]底表!CD237</f>
        <v>持平</v>
      </c>
      <c r="AR237" s="21" t="str">
        <f>[2]底表!CE237</f>
        <v/>
      </c>
      <c r="AS237" s="21" t="str">
        <f>[2]底表!CF237</f>
        <v/>
      </c>
      <c r="AT237" s="21">
        <f>[2]底表!CG237</f>
        <v>1</v>
      </c>
      <c r="AU237" s="21">
        <f>[2]底表!CH237</f>
        <v>0</v>
      </c>
      <c r="AV237" s="21" t="str">
        <f>[2]底表!CI237</f>
        <v>多1人</v>
      </c>
      <c r="AW237" s="21">
        <f>[2]底表!CJ237</f>
        <v>20</v>
      </c>
      <c r="AX237" s="21">
        <f>[2]底表!CK237</f>
        <v>-0.95</v>
      </c>
      <c r="AY237" s="21">
        <f>[2]底表!CL237</f>
        <v>33</v>
      </c>
      <c r="AZ237" s="21">
        <f>[2]底表!CM237</f>
        <v>33</v>
      </c>
      <c r="BA237" s="21" t="str">
        <f>[2]底表!CN237</f>
        <v/>
      </c>
      <c r="BB237" s="21">
        <f>[2]底表!CO237</f>
        <v>0</v>
      </c>
      <c r="BC237" s="21">
        <f>[2]底表!CP237</f>
        <v>1</v>
      </c>
      <c r="BD237" s="21" t="str">
        <f>[2]底表!CQ237</f>
        <v>少1人</v>
      </c>
      <c r="BE237" s="21">
        <f>[2]底表!CR237</f>
        <v>2</v>
      </c>
      <c r="BF237" s="21" t="str">
        <f>[2]底表!CS237</f>
        <v>少2人</v>
      </c>
      <c r="BG237" s="21">
        <f>[2]底表!CT237</f>
        <v>0</v>
      </c>
      <c r="BH237" s="21" t="str">
        <f>[2]底表!CU237</f>
        <v/>
      </c>
      <c r="BI237" s="21">
        <f>[2]底表!CV237</f>
        <v>0</v>
      </c>
      <c r="BJ237" s="21">
        <f>[2]底表!CW237</f>
        <v>-100</v>
      </c>
      <c r="BK237" s="21">
        <f>[2]底表!CX237</f>
        <v>-1</v>
      </c>
      <c r="BL237" s="21">
        <f>[2]底表!CY237</f>
        <v>0</v>
      </c>
      <c r="BM237" s="21">
        <f>[2]底表!CZ237</f>
        <v>1</v>
      </c>
      <c r="BN237" s="23" t="str">
        <f>[2]底表!DA237</f>
        <v>少1人</v>
      </c>
      <c r="BO237" s="21">
        <f>[2]底表!DB237</f>
        <v>2</v>
      </c>
      <c r="BP237" s="21" t="str">
        <f>[2]底表!DC237</f>
        <v>少2人</v>
      </c>
      <c r="BQ237" s="21">
        <f>[2]底表!DD237</f>
        <v>0</v>
      </c>
      <c r="BR237" s="21" t="str">
        <f>[2]底表!DE237</f>
        <v/>
      </c>
      <c r="BS237" s="21">
        <f>[2]底表!DF237</f>
        <v>0</v>
      </c>
      <c r="BT237" s="21">
        <f>[2]底表!DG237</f>
        <v>-100</v>
      </c>
      <c r="BU237" s="21">
        <f>[2]底表!DH237</f>
        <v>-1</v>
      </c>
      <c r="BV237" s="21">
        <f>[2]底表!DI237</f>
        <v>0</v>
      </c>
      <c r="BW237" s="21">
        <f>[2]底表!DJ237</f>
        <v>0</v>
      </c>
      <c r="BX237" s="23" t="str">
        <f>[2]底表!DK237</f>
        <v>持平</v>
      </c>
      <c r="BY237" s="21">
        <f>[2]底表!DL237</f>
        <v>0</v>
      </c>
      <c r="BZ237" s="21" t="str">
        <f>[2]底表!DM237</f>
        <v>持平</v>
      </c>
      <c r="CA237" s="21">
        <f>[2]底表!DN237</f>
        <v>3</v>
      </c>
      <c r="CB237" s="21">
        <f>[2]底表!DO237</f>
        <v>0</v>
      </c>
      <c r="CC237" s="21" t="str">
        <f>[2]底表!DP237</f>
        <v>多3人</v>
      </c>
      <c r="CD237" s="21">
        <f>[2]底表!DQ237</f>
        <v>2</v>
      </c>
      <c r="CE237" s="21">
        <f>[2]底表!DR237</f>
        <v>0.5</v>
      </c>
      <c r="CF237" s="21">
        <f>[2]底表!DS237</f>
        <v>3</v>
      </c>
      <c r="CG237" s="21">
        <f>[2]底表!DT237</f>
        <v>0</v>
      </c>
      <c r="CH237" s="21" t="str">
        <f>[2]底表!DU237</f>
        <v>多3人</v>
      </c>
      <c r="CI237" s="21">
        <f>[2]底表!DV237</f>
        <v>2</v>
      </c>
      <c r="CJ237" s="21">
        <f>[2]底表!DW237</f>
        <v>0.5</v>
      </c>
      <c r="CK237" s="21">
        <f>[2]底表!DX237</f>
        <v>18</v>
      </c>
      <c r="CL237" s="21">
        <f>[2]底表!DY237</f>
        <v>1</v>
      </c>
      <c r="CM237" s="21">
        <f>[2]底表!DZ237</f>
        <v>17</v>
      </c>
      <c r="CN237" s="21">
        <f>[2]底表!EA237</f>
        <v>1</v>
      </c>
      <c r="CO237" s="21">
        <f>[2]底表!EB237</f>
        <v>17</v>
      </c>
      <c r="CP237" s="21">
        <f>[2]底表!EC237</f>
        <v>16</v>
      </c>
      <c r="CQ237" s="21">
        <f>[2]底表!ED237</f>
        <v>1</v>
      </c>
      <c r="CR237" s="21">
        <f>[2]底表!EE237</f>
        <v>15</v>
      </c>
      <c r="CS237" s="21">
        <f>[2]底表!EF237</f>
        <v>0</v>
      </c>
      <c r="CT237" s="21" t="str">
        <f>[2]底表!EG237</f>
        <v>多16人</v>
      </c>
      <c r="CU237" s="21" t="str">
        <f>[2]底表!EH237</f>
        <v/>
      </c>
      <c r="CV237" s="21" t="str">
        <f>[2]底表!EI237</f>
        <v/>
      </c>
      <c r="CW237" s="21">
        <f>[2]底表!EJ237</f>
        <v>533</v>
      </c>
      <c r="CX237" s="21">
        <f>[2]底表!EK237</f>
        <v>433</v>
      </c>
      <c r="CY237" s="21">
        <f>[2]底表!EL237</f>
        <v>4.3333</v>
      </c>
      <c r="CZ237" s="21">
        <f>[2]底表!EM237</f>
        <v>17</v>
      </c>
      <c r="DA237" s="21">
        <f>[2]底表!EN237</f>
        <v>1</v>
      </c>
      <c r="DB237" s="21">
        <f>[2]底表!EO237</f>
        <v>16</v>
      </c>
      <c r="DC237" s="21">
        <f>[2]底表!EP237</f>
        <v>0</v>
      </c>
      <c r="DD237" s="21" t="str">
        <f>[2]底表!EQ237</f>
        <v>多17人</v>
      </c>
      <c r="DE237" s="21">
        <f>[2]底表!ER237</f>
        <v>0</v>
      </c>
      <c r="DF237" s="21">
        <f>[2]底表!ES237</f>
        <v>2</v>
      </c>
      <c r="DG237" s="23" t="str">
        <f>[2]底表!ET237</f>
        <v>少2人</v>
      </c>
      <c r="DH237" s="21">
        <f>[2]底表!EU237</f>
        <v>3</v>
      </c>
      <c r="DI237" s="21" t="str">
        <f>[2]底表!EV237</f>
        <v>少3人</v>
      </c>
      <c r="DJ237" s="21" t="str">
        <f>[2]底表!EW237</f>
        <v/>
      </c>
      <c r="DK237" s="21" t="str">
        <f>[2]底表!EX237</f>
        <v/>
      </c>
      <c r="DL237" s="21">
        <f>[2]底表!EY237</f>
        <v>0</v>
      </c>
      <c r="DM237" s="21">
        <f>[2]底表!EZ237</f>
        <v>-200</v>
      </c>
      <c r="DN237" s="21">
        <f>[2]底表!FA237</f>
        <v>-1</v>
      </c>
      <c r="DO237" s="21">
        <f>[2]底表!BQ237</f>
        <v>0</v>
      </c>
      <c r="DP237" s="21">
        <f>[2]底表!BR237</f>
        <v>1</v>
      </c>
      <c r="DQ237" s="24" t="str">
        <f>[2]底表!BS237</f>
        <v>少1起</v>
      </c>
    </row>
    <row r="238" s="2" customFormat="1" ht="32" hidden="1" customHeight="1" spans="1:121">
      <c r="A238" s="29" t="str">
        <f>[2]底表!A238</f>
        <v>经济（含职务侵占、挪用资金）</v>
      </c>
      <c r="B238" s="28" t="str">
        <f>[2]底表!B238</f>
        <v>云安区</v>
      </c>
      <c r="C238" s="21">
        <f>[2]底表!AM238</f>
        <v>3</v>
      </c>
      <c r="D238" s="21">
        <f>[2]底表!AN238</f>
        <v>2</v>
      </c>
      <c r="E238" s="23">
        <f>[2]底表!AO238</f>
        <v>0.5</v>
      </c>
      <c r="F238" s="21">
        <f>[2]底表!AP238</f>
        <v>2</v>
      </c>
      <c r="G238" s="21">
        <f>[2]底表!AQ238</f>
        <v>0.5</v>
      </c>
      <c r="H238" s="21">
        <f>[2]底表!AR238</f>
        <v>0.75</v>
      </c>
      <c r="I238" s="21">
        <f>[2]底表!AS238</f>
        <v>0.0833</v>
      </c>
      <c r="J238" s="21">
        <f>[2]底表!AT238</f>
        <v>2</v>
      </c>
      <c r="K238" s="21">
        <f>[2]底表!AU238</f>
        <v>2</v>
      </c>
      <c r="L238" s="21">
        <f>[2]底表!AV238</f>
        <v>0</v>
      </c>
      <c r="M238" s="21">
        <f>[2]底表!AW238</f>
        <v>0</v>
      </c>
      <c r="N238" s="21" t="str">
        <f>[2]底表!AX238</f>
        <v>多2起</v>
      </c>
      <c r="O238" s="21">
        <f>[2]底表!AY238</f>
        <v>2</v>
      </c>
      <c r="P238" s="21">
        <f>[2]底表!AZ238</f>
        <v>1</v>
      </c>
      <c r="Q238" s="21">
        <f>[2]底表!BA238</f>
        <v>1</v>
      </c>
      <c r="R238" s="21">
        <f>[2]底表!BB238</f>
        <v>0</v>
      </c>
      <c r="S238" s="21" t="str">
        <f>[2]底表!BC238</f>
        <v>多2起</v>
      </c>
      <c r="T238" s="21">
        <f>[2]底表!BD238</f>
        <v>1</v>
      </c>
      <c r="U238" s="21">
        <f>[2]底表!BE238</f>
        <v>0.5</v>
      </c>
      <c r="V238" s="21">
        <f>[2]底表!BF238</f>
        <v>2</v>
      </c>
      <c r="W238" s="21">
        <f>[2]底表!BG238</f>
        <v>1</v>
      </c>
      <c r="X238" s="21">
        <f>[2]底表!BH238</f>
        <v>1</v>
      </c>
      <c r="Y238" s="21">
        <f>[2]底表!BI238</f>
        <v>0</v>
      </c>
      <c r="Z238" s="21" t="str">
        <f>[2]底表!BJ238</f>
        <v>多2起</v>
      </c>
      <c r="AA238" s="21">
        <f>[2]底表!BK238</f>
        <v>0.5</v>
      </c>
      <c r="AB238" s="21">
        <f>[2]底表!BL238</f>
        <v>1</v>
      </c>
      <c r="AC238" s="21">
        <f>[2]底表!BM238</f>
        <v>1</v>
      </c>
      <c r="AD238" s="21">
        <f>[2]底表!BN238</f>
        <v>0</v>
      </c>
      <c r="AE238" s="21">
        <f>[2]底表!BO238</f>
        <v>2</v>
      </c>
      <c r="AF238" s="21">
        <f>[2]底表!BP238</f>
        <v>-0.5</v>
      </c>
      <c r="AG238" s="21">
        <f>[2]底表!BT238</f>
        <v>4</v>
      </c>
      <c r="AH238" s="21">
        <f>[2]底表!BU238</f>
        <v>-0.75</v>
      </c>
      <c r="AI238" s="21">
        <f>[2]底表!BV238</f>
        <v>0.25</v>
      </c>
      <c r="AJ238" s="21">
        <f>[2]底表!BW238</f>
        <v>-0.0833</v>
      </c>
      <c r="AK238" s="21">
        <f>[2]底表!BX238</f>
        <v>0.5</v>
      </c>
      <c r="AL238" s="21">
        <f>[2]底表!BY238</f>
        <v>0</v>
      </c>
      <c r="AM238" s="21">
        <f>[2]底表!BZ238</f>
        <v>0</v>
      </c>
      <c r="AN238" s="21">
        <f>[2]底表!CA238</f>
        <v>0</v>
      </c>
      <c r="AO238" s="21" t="str">
        <f>[2]底表!CB238</f>
        <v>持平</v>
      </c>
      <c r="AP238" s="21">
        <f>[2]底表!CC238</f>
        <v>0</v>
      </c>
      <c r="AQ238" s="21" t="str">
        <f>[2]底表!CD238</f>
        <v>持平</v>
      </c>
      <c r="AR238" s="21" t="str">
        <f>[2]底表!CE238</f>
        <v/>
      </c>
      <c r="AS238" s="21" t="str">
        <f>[2]底表!CF238</f>
        <v/>
      </c>
      <c r="AT238" s="21">
        <f>[2]底表!CG238</f>
        <v>7</v>
      </c>
      <c r="AU238" s="21">
        <f>[2]底表!CH238</f>
        <v>4</v>
      </c>
      <c r="AV238" s="21">
        <f>[2]底表!CI238</f>
        <v>0.75</v>
      </c>
      <c r="AW238" s="21">
        <f>[2]底表!CJ238</f>
        <v>5</v>
      </c>
      <c r="AX238" s="21">
        <f>[2]底表!CK238</f>
        <v>0.4</v>
      </c>
      <c r="AY238" s="21">
        <f>[2]底表!CL238</f>
        <v>175</v>
      </c>
      <c r="AZ238" s="21">
        <f>[2]底表!CM238</f>
        <v>42</v>
      </c>
      <c r="BA238" s="21">
        <f>[2]底表!CN238</f>
        <v>0.3125</v>
      </c>
      <c r="BB238" s="21">
        <f>[2]底表!CO238</f>
        <v>8</v>
      </c>
      <c r="BC238" s="21">
        <f>[2]底表!CP238</f>
        <v>5</v>
      </c>
      <c r="BD238" s="21">
        <f>[2]底表!CQ238</f>
        <v>0.6</v>
      </c>
      <c r="BE238" s="21">
        <f>[2]底表!CR238</f>
        <v>3</v>
      </c>
      <c r="BF238" s="21">
        <f>[2]底表!CS238</f>
        <v>1.6667</v>
      </c>
      <c r="BG238" s="21">
        <f>[2]底表!CT238</f>
        <v>1.1429</v>
      </c>
      <c r="BH238" s="21">
        <f>[2]底表!CU238</f>
        <v>-0.1071</v>
      </c>
      <c r="BI238" s="21">
        <f>[2]底表!CV238</f>
        <v>200</v>
      </c>
      <c r="BJ238" s="21">
        <f>[2]底表!CW238</f>
        <v>33</v>
      </c>
      <c r="BK238" s="21">
        <f>[2]底表!CX238</f>
        <v>0.2</v>
      </c>
      <c r="BL238" s="21">
        <f>[2]底表!CY238</f>
        <v>8</v>
      </c>
      <c r="BM238" s="21">
        <f>[2]底表!CZ238</f>
        <v>5</v>
      </c>
      <c r="BN238" s="23">
        <f>[2]底表!DA238</f>
        <v>0.6</v>
      </c>
      <c r="BO238" s="21">
        <f>[2]底表!DB238</f>
        <v>3</v>
      </c>
      <c r="BP238" s="21">
        <f>[2]底表!DC238</f>
        <v>1.6667</v>
      </c>
      <c r="BQ238" s="21">
        <f>[2]底表!DD238</f>
        <v>1.1429</v>
      </c>
      <c r="BR238" s="21">
        <f>[2]底表!DE238</f>
        <v>-0.1071</v>
      </c>
      <c r="BS238" s="21">
        <f>[2]底表!DF238</f>
        <v>200</v>
      </c>
      <c r="BT238" s="21">
        <f>[2]底表!DG238</f>
        <v>33</v>
      </c>
      <c r="BU238" s="21">
        <f>[2]底表!DH238</f>
        <v>0.2</v>
      </c>
      <c r="BV238" s="21">
        <f>[2]底表!DI238</f>
        <v>0</v>
      </c>
      <c r="BW238" s="21">
        <f>[2]底表!DJ238</f>
        <v>0</v>
      </c>
      <c r="BX238" s="23" t="str">
        <f>[2]底表!DK238</f>
        <v>持平</v>
      </c>
      <c r="BY238" s="21">
        <f>[2]底表!DL238</f>
        <v>0</v>
      </c>
      <c r="BZ238" s="21" t="str">
        <f>[2]底表!DM238</f>
        <v>持平</v>
      </c>
      <c r="CA238" s="21">
        <f>[2]底表!DN238</f>
        <v>0</v>
      </c>
      <c r="CB238" s="21">
        <f>[2]底表!DO238</f>
        <v>2</v>
      </c>
      <c r="CC238" s="21" t="str">
        <f>[2]底表!DP238</f>
        <v>少2人</v>
      </c>
      <c r="CD238" s="21">
        <f>[2]底表!DQ238</f>
        <v>1</v>
      </c>
      <c r="CE238" s="21" t="str">
        <f>[2]底表!DR238</f>
        <v>少1人</v>
      </c>
      <c r="CF238" s="21">
        <f>[2]底表!DS238</f>
        <v>0</v>
      </c>
      <c r="CG238" s="21">
        <f>[2]底表!DT238</f>
        <v>2</v>
      </c>
      <c r="CH238" s="21" t="str">
        <f>[2]底表!DU238</f>
        <v>少2人</v>
      </c>
      <c r="CI238" s="21">
        <f>[2]底表!DV238</f>
        <v>1</v>
      </c>
      <c r="CJ238" s="21" t="str">
        <f>[2]底表!DW238</f>
        <v>少1人</v>
      </c>
      <c r="CK238" s="21">
        <f>[2]底表!DX238</f>
        <v>4</v>
      </c>
      <c r="CL238" s="21">
        <f>[2]底表!DY238</f>
        <v>5</v>
      </c>
      <c r="CM238" s="21">
        <f>[2]底表!DZ238</f>
        <v>-0.2</v>
      </c>
      <c r="CN238" s="21">
        <f>[2]底表!EA238</f>
        <v>3</v>
      </c>
      <c r="CO238" s="21">
        <f>[2]底表!EB238</f>
        <v>0.3333</v>
      </c>
      <c r="CP238" s="21">
        <f>[2]底表!EC238</f>
        <v>4</v>
      </c>
      <c r="CQ238" s="21">
        <f>[2]底表!ED238</f>
        <v>4</v>
      </c>
      <c r="CR238" s="21">
        <f>[2]底表!EE238</f>
        <v>0</v>
      </c>
      <c r="CS238" s="21">
        <f>[2]底表!EF238</f>
        <v>1</v>
      </c>
      <c r="CT238" s="21">
        <f>[2]底表!EG238</f>
        <v>3</v>
      </c>
      <c r="CU238" s="21">
        <f>[2]底表!EH238</f>
        <v>0.5</v>
      </c>
      <c r="CV238" s="21">
        <f>[2]底表!EI238</f>
        <v>-0.3</v>
      </c>
      <c r="CW238" s="21">
        <f>[2]底表!EJ238</f>
        <v>100</v>
      </c>
      <c r="CX238" s="21">
        <f>[2]底表!EK238</f>
        <v>-33</v>
      </c>
      <c r="CY238" s="21">
        <f>[2]底表!EL238</f>
        <v>-0.25</v>
      </c>
      <c r="CZ238" s="21">
        <f>[2]底表!EM238</f>
        <v>4</v>
      </c>
      <c r="DA238" s="21">
        <f>[2]底表!EN238</f>
        <v>4</v>
      </c>
      <c r="DB238" s="21">
        <f>[2]底表!EO238</f>
        <v>0</v>
      </c>
      <c r="DC238" s="21">
        <f>[2]底表!EP238</f>
        <v>1</v>
      </c>
      <c r="DD238" s="21">
        <f>[2]底表!EQ238</f>
        <v>3</v>
      </c>
      <c r="DE238" s="21">
        <f>[2]底表!ER238</f>
        <v>3</v>
      </c>
      <c r="DF238" s="21">
        <f>[2]底表!ES238</f>
        <v>2</v>
      </c>
      <c r="DG238" s="23">
        <f>[2]底表!ET238</f>
        <v>0.5</v>
      </c>
      <c r="DH238" s="21">
        <f>[2]底表!EU238</f>
        <v>6</v>
      </c>
      <c r="DI238" s="21">
        <f>[2]底表!EV238</f>
        <v>-0.5</v>
      </c>
      <c r="DJ238" s="21">
        <f>[2]底表!EW238</f>
        <v>0.375</v>
      </c>
      <c r="DK238" s="21">
        <f>[2]底表!EX238</f>
        <v>-0.025</v>
      </c>
      <c r="DL238" s="21">
        <f>[2]底表!EY238</f>
        <v>75</v>
      </c>
      <c r="DM238" s="21">
        <f>[2]底表!EZ238</f>
        <v>8</v>
      </c>
      <c r="DN238" s="21">
        <f>[2]底表!FA238</f>
        <v>0.125</v>
      </c>
      <c r="DO238" s="21">
        <f>[2]底表!BQ238</f>
        <v>1</v>
      </c>
      <c r="DP238" s="21">
        <f>[2]底表!BR238</f>
        <v>1</v>
      </c>
      <c r="DQ238" s="24">
        <f>[2]底表!BS238</f>
        <v>0</v>
      </c>
    </row>
    <row r="239" s="2" customFormat="1" ht="32" hidden="1" customHeight="1" spans="1:121">
      <c r="A239" s="29" t="str">
        <f>[2]底表!A239</f>
        <v>经济（含职务侵占、挪用资金）</v>
      </c>
      <c r="B239" s="28" t="str">
        <f>[2]底表!B239</f>
        <v>新兴县</v>
      </c>
      <c r="C239" s="21">
        <f>[2]底表!AM239</f>
        <v>3</v>
      </c>
      <c r="D239" s="21">
        <f>[2]底表!AN239</f>
        <v>0</v>
      </c>
      <c r="E239" s="23" t="str">
        <f>[2]底表!AO239</f>
        <v>多3起</v>
      </c>
      <c r="F239" s="21">
        <f>[2]底表!AP239</f>
        <v>3</v>
      </c>
      <c r="G239" s="21">
        <f>[2]底表!AQ239</f>
        <v>0</v>
      </c>
      <c r="H239" s="21">
        <f>[2]底表!AR239</f>
        <v>0.75</v>
      </c>
      <c r="I239" s="21">
        <f>[2]底表!AS239</f>
        <v>0.75</v>
      </c>
      <c r="J239" s="21">
        <f>[2]底表!AT239</f>
        <v>1</v>
      </c>
      <c r="K239" s="21">
        <f>[2]底表!AU239</f>
        <v>0</v>
      </c>
      <c r="L239" s="21" t="str">
        <f>[2]底表!AV239</f>
        <v>多1起</v>
      </c>
      <c r="M239" s="21">
        <f>[2]底表!AW239</f>
        <v>4</v>
      </c>
      <c r="N239" s="21">
        <f>[2]底表!AX239</f>
        <v>-0.75</v>
      </c>
      <c r="O239" s="21">
        <f>[2]底表!AY239</f>
        <v>1</v>
      </c>
      <c r="P239" s="21">
        <f>[2]底表!AZ239</f>
        <v>0</v>
      </c>
      <c r="Q239" s="21" t="str">
        <f>[2]底表!BA239</f>
        <v>多1起</v>
      </c>
      <c r="R239" s="21">
        <f>[2]底表!BB239</f>
        <v>1</v>
      </c>
      <c r="S239" s="21">
        <f>[2]底表!BC239</f>
        <v>0</v>
      </c>
      <c r="T239" s="21">
        <f>[2]底表!BD239</f>
        <v>1</v>
      </c>
      <c r="U239" s="21" t="str">
        <f>[2]底表!BE239</f>
        <v/>
      </c>
      <c r="V239" s="21">
        <f>[2]底表!BF239</f>
        <v>3</v>
      </c>
      <c r="W239" s="21">
        <f>[2]底表!BG239</f>
        <v>1</v>
      </c>
      <c r="X239" s="21">
        <f>[2]底表!BH239</f>
        <v>2</v>
      </c>
      <c r="Y239" s="21">
        <f>[2]底表!BI239</f>
        <v>2</v>
      </c>
      <c r="Z239" s="21">
        <f>[2]底表!BJ239</f>
        <v>0.5</v>
      </c>
      <c r="AA239" s="21">
        <f>[2]底表!BK239</f>
        <v>0.75</v>
      </c>
      <c r="AB239" s="21">
        <f>[2]底表!BL239</f>
        <v>2</v>
      </c>
      <c r="AC239" s="21">
        <f>[2]底表!BM239</f>
        <v>0</v>
      </c>
      <c r="AD239" s="21" t="str">
        <f>[2]底表!BN239</f>
        <v>多2起</v>
      </c>
      <c r="AE239" s="21">
        <f>[2]底表!BO239</f>
        <v>2</v>
      </c>
      <c r="AF239" s="21">
        <f>[2]底表!BP239</f>
        <v>0</v>
      </c>
      <c r="AG239" s="21">
        <f>[2]底表!BT239</f>
        <v>1</v>
      </c>
      <c r="AH239" s="21">
        <f>[2]底表!BU239</f>
        <v>0</v>
      </c>
      <c r="AI239" s="21">
        <f>[2]底表!BV239</f>
        <v>0.25</v>
      </c>
      <c r="AJ239" s="21">
        <f>[2]底表!BW239</f>
        <v>0.25</v>
      </c>
      <c r="AK239" s="21">
        <f>[2]底表!BX239</f>
        <v>1</v>
      </c>
      <c r="AL239" s="21" t="str">
        <f>[2]底表!BY239</f>
        <v/>
      </c>
      <c r="AM239" s="21">
        <f>[2]底表!BZ239</f>
        <v>0</v>
      </c>
      <c r="AN239" s="21">
        <f>[2]底表!CA239</f>
        <v>0</v>
      </c>
      <c r="AO239" s="21" t="str">
        <f>[2]底表!CB239</f>
        <v>持平</v>
      </c>
      <c r="AP239" s="21">
        <f>[2]底表!CC239</f>
        <v>0</v>
      </c>
      <c r="AQ239" s="21" t="str">
        <f>[2]底表!CD239</f>
        <v>持平</v>
      </c>
      <c r="AR239" s="21" t="str">
        <f>[2]底表!CE239</f>
        <v/>
      </c>
      <c r="AS239" s="21" t="str">
        <f>[2]底表!CF239</f>
        <v/>
      </c>
      <c r="AT239" s="21">
        <f>[2]底表!CG239</f>
        <v>3</v>
      </c>
      <c r="AU239" s="21">
        <f>[2]底表!CH239</f>
        <v>2</v>
      </c>
      <c r="AV239" s="21">
        <f>[2]底表!CI239</f>
        <v>0.5</v>
      </c>
      <c r="AW239" s="21">
        <f>[2]底表!CJ239</f>
        <v>5</v>
      </c>
      <c r="AX239" s="21">
        <f>[2]底表!CK239</f>
        <v>-0.4</v>
      </c>
      <c r="AY239" s="21">
        <f>[2]底表!CL239</f>
        <v>75</v>
      </c>
      <c r="AZ239" s="21">
        <f>[2]底表!CM239</f>
        <v>-125</v>
      </c>
      <c r="BA239" s="21">
        <f>[2]底表!CN239</f>
        <v>-0.625</v>
      </c>
      <c r="BB239" s="21">
        <f>[2]底表!CO239</f>
        <v>2</v>
      </c>
      <c r="BC239" s="21">
        <f>[2]底表!CP239</f>
        <v>2</v>
      </c>
      <c r="BD239" s="21">
        <f>[2]底表!CQ239</f>
        <v>0</v>
      </c>
      <c r="BE239" s="21">
        <f>[2]底表!CR239</f>
        <v>1</v>
      </c>
      <c r="BF239" s="21">
        <f>[2]底表!CS239</f>
        <v>1</v>
      </c>
      <c r="BG239" s="21">
        <f>[2]底表!CT239</f>
        <v>0.6667</v>
      </c>
      <c r="BH239" s="21">
        <f>[2]底表!CU239</f>
        <v>-0.3333</v>
      </c>
      <c r="BI239" s="21">
        <f>[2]底表!CV239</f>
        <v>50</v>
      </c>
      <c r="BJ239" s="21">
        <f>[2]底表!CW239</f>
        <v>-150</v>
      </c>
      <c r="BK239" s="21">
        <f>[2]底表!CX239</f>
        <v>-0.75</v>
      </c>
      <c r="BL239" s="21">
        <f>[2]底表!CY239</f>
        <v>2</v>
      </c>
      <c r="BM239" s="21">
        <f>[2]底表!CZ239</f>
        <v>2</v>
      </c>
      <c r="BN239" s="23">
        <f>[2]底表!DA239</f>
        <v>0</v>
      </c>
      <c r="BO239" s="21">
        <f>[2]底表!DB239</f>
        <v>1</v>
      </c>
      <c r="BP239" s="21">
        <f>[2]底表!DC239</f>
        <v>1</v>
      </c>
      <c r="BQ239" s="21">
        <f>[2]底表!DD239</f>
        <v>0.6667</v>
      </c>
      <c r="BR239" s="21">
        <f>[2]底表!DE239</f>
        <v>-0.3333</v>
      </c>
      <c r="BS239" s="21">
        <f>[2]底表!DF239</f>
        <v>50</v>
      </c>
      <c r="BT239" s="21">
        <f>[2]底表!DG239</f>
        <v>-150</v>
      </c>
      <c r="BU239" s="21">
        <f>[2]底表!DH239</f>
        <v>-0.75</v>
      </c>
      <c r="BV239" s="21">
        <f>[2]底表!DI239</f>
        <v>1</v>
      </c>
      <c r="BW239" s="21">
        <f>[2]底表!DJ239</f>
        <v>3</v>
      </c>
      <c r="BX239" s="23">
        <f>[2]底表!DK239</f>
        <v>-0.6667</v>
      </c>
      <c r="BY239" s="21">
        <f>[2]底表!DL239</f>
        <v>0</v>
      </c>
      <c r="BZ239" s="21" t="str">
        <f>[2]底表!DM239</f>
        <v>多1人</v>
      </c>
      <c r="CA239" s="21">
        <f>[2]底表!DN239</f>
        <v>4</v>
      </c>
      <c r="CB239" s="21">
        <f>[2]底表!DO239</f>
        <v>0</v>
      </c>
      <c r="CC239" s="21" t="str">
        <f>[2]底表!DP239</f>
        <v>多4人</v>
      </c>
      <c r="CD239" s="21">
        <f>[2]底表!DQ239</f>
        <v>3</v>
      </c>
      <c r="CE239" s="21">
        <f>[2]底表!DR239</f>
        <v>0.3333</v>
      </c>
      <c r="CF239" s="21">
        <f>[2]底表!DS239</f>
        <v>4</v>
      </c>
      <c r="CG239" s="21">
        <f>[2]底表!DT239</f>
        <v>0</v>
      </c>
      <c r="CH239" s="21" t="str">
        <f>[2]底表!DU239</f>
        <v>多4人</v>
      </c>
      <c r="CI239" s="21">
        <f>[2]底表!DV239</f>
        <v>3</v>
      </c>
      <c r="CJ239" s="21">
        <f>[2]底表!DW239</f>
        <v>0.3333</v>
      </c>
      <c r="CK239" s="21">
        <f>[2]底表!DX239</f>
        <v>1</v>
      </c>
      <c r="CL239" s="21">
        <f>[2]底表!DY239</f>
        <v>0</v>
      </c>
      <c r="CM239" s="21" t="str">
        <f>[2]底表!DZ239</f>
        <v>多1人</v>
      </c>
      <c r="CN239" s="21">
        <f>[2]底表!EA239</f>
        <v>1</v>
      </c>
      <c r="CO239" s="21">
        <f>[2]底表!EB239</f>
        <v>0</v>
      </c>
      <c r="CP239" s="21">
        <f>[2]底表!EC239</f>
        <v>0</v>
      </c>
      <c r="CQ239" s="21">
        <f>[2]底表!ED239</f>
        <v>0</v>
      </c>
      <c r="CR239" s="21" t="str">
        <f>[2]底表!EE239</f>
        <v>持平</v>
      </c>
      <c r="CS239" s="21">
        <f>[2]底表!EF239</f>
        <v>0</v>
      </c>
      <c r="CT239" s="21" t="str">
        <f>[2]底表!EG239</f>
        <v>持平</v>
      </c>
      <c r="CU239" s="21">
        <f>[2]底表!EH239</f>
        <v>0</v>
      </c>
      <c r="CV239" s="21">
        <f>[2]底表!EI239</f>
        <v>0</v>
      </c>
      <c r="CW239" s="21">
        <f>[2]底表!EJ239</f>
        <v>0</v>
      </c>
      <c r="CX239" s="21">
        <f>[2]底表!EK239</f>
        <v>0</v>
      </c>
      <c r="CY239" s="21" t="str">
        <f>[2]底表!EL239</f>
        <v/>
      </c>
      <c r="CZ239" s="21">
        <f>[2]底表!EM239</f>
        <v>0</v>
      </c>
      <c r="DA239" s="21">
        <f>[2]底表!EN239</f>
        <v>0</v>
      </c>
      <c r="DB239" s="21" t="str">
        <f>[2]底表!EO239</f>
        <v>持平</v>
      </c>
      <c r="DC239" s="21">
        <f>[2]底表!EP239</f>
        <v>0</v>
      </c>
      <c r="DD239" s="21" t="str">
        <f>[2]底表!EQ239</f>
        <v>持平</v>
      </c>
      <c r="DE239" s="21">
        <f>[2]底表!ER239</f>
        <v>1</v>
      </c>
      <c r="DF239" s="21">
        <f>[2]底表!ES239</f>
        <v>0</v>
      </c>
      <c r="DG239" s="23" t="str">
        <f>[2]底表!ET239</f>
        <v>多1人</v>
      </c>
      <c r="DH239" s="21">
        <f>[2]底表!EU239</f>
        <v>1</v>
      </c>
      <c r="DI239" s="21">
        <f>[2]底表!EV239</f>
        <v>0</v>
      </c>
      <c r="DJ239" s="21">
        <f>[2]底表!EW239</f>
        <v>0.5</v>
      </c>
      <c r="DK239" s="21">
        <f>[2]底表!EX239</f>
        <v>0.5</v>
      </c>
      <c r="DL239" s="21">
        <f>[2]底表!EY239</f>
        <v>25</v>
      </c>
      <c r="DM239" s="21">
        <f>[2]底表!EZ239</f>
        <v>25</v>
      </c>
      <c r="DN239" s="21" t="str">
        <f>[2]底表!FA239</f>
        <v/>
      </c>
      <c r="DO239" s="21">
        <f>[2]底表!BQ239</f>
        <v>1</v>
      </c>
      <c r="DP239" s="21">
        <f>[2]底表!BR239</f>
        <v>0</v>
      </c>
      <c r="DQ239" s="24" t="str">
        <f>[2]底表!BS239</f>
        <v>多1起</v>
      </c>
    </row>
    <row r="240" s="2" customFormat="1" ht="32" hidden="1" customHeight="1" spans="1:121">
      <c r="A240" s="29" t="str">
        <f>[2]底表!A240</f>
        <v>经济（含职务侵占、挪用资金）</v>
      </c>
      <c r="B240" s="28" t="str">
        <f>[2]底表!B240</f>
        <v>郁南县</v>
      </c>
      <c r="C240" s="21">
        <f>[2]底表!AM240</f>
        <v>4</v>
      </c>
      <c r="D240" s="21">
        <f>[2]底表!AN240</f>
        <v>1</v>
      </c>
      <c r="E240" s="23">
        <f>[2]底表!AO240</f>
        <v>3</v>
      </c>
      <c r="F240" s="21">
        <f>[2]底表!AP240</f>
        <v>3</v>
      </c>
      <c r="G240" s="21">
        <f>[2]底表!AQ240</f>
        <v>0.3333</v>
      </c>
      <c r="H240" s="21">
        <f>[2]底表!AR240</f>
        <v>2</v>
      </c>
      <c r="I240" s="21">
        <f>[2]底表!AS240</f>
        <v>1</v>
      </c>
      <c r="J240" s="21">
        <f>[2]底表!AT240</f>
        <v>2</v>
      </c>
      <c r="K240" s="21">
        <f>[2]底表!AU240</f>
        <v>0</v>
      </c>
      <c r="L240" s="21" t="str">
        <f>[2]底表!AV240</f>
        <v>多2起</v>
      </c>
      <c r="M240" s="21">
        <f>[2]底表!AW240</f>
        <v>4</v>
      </c>
      <c r="N240" s="21">
        <f>[2]底表!AX240</f>
        <v>-0.5</v>
      </c>
      <c r="O240" s="21">
        <f>[2]底表!AY240</f>
        <v>2</v>
      </c>
      <c r="P240" s="21">
        <f>[2]底表!AZ240</f>
        <v>0</v>
      </c>
      <c r="Q240" s="21" t="str">
        <f>[2]底表!BA240</f>
        <v>多2起</v>
      </c>
      <c r="R240" s="21">
        <f>[2]底表!BB240</f>
        <v>3</v>
      </c>
      <c r="S240" s="21">
        <f>[2]底表!BC240</f>
        <v>-0.3333</v>
      </c>
      <c r="T240" s="21">
        <f>[2]底表!BD240</f>
        <v>1</v>
      </c>
      <c r="U240" s="21" t="str">
        <f>[2]底表!BE240</f>
        <v/>
      </c>
      <c r="V240" s="21">
        <f>[2]底表!BF240</f>
        <v>0</v>
      </c>
      <c r="W240" s="21">
        <f>[2]底表!BG240</f>
        <v>1</v>
      </c>
      <c r="X240" s="21" t="str">
        <f>[2]底表!BH240</f>
        <v>少1起</v>
      </c>
      <c r="Y240" s="21">
        <f>[2]底表!BI240</f>
        <v>1</v>
      </c>
      <c r="Z240" s="21" t="str">
        <f>[2]底表!BJ240</f>
        <v>少1起</v>
      </c>
      <c r="AA240" s="21">
        <f>[2]底表!BK240</f>
        <v>0</v>
      </c>
      <c r="AB240" s="21">
        <f>[2]底表!BL240</f>
        <v>2</v>
      </c>
      <c r="AC240" s="21">
        <f>[2]底表!BM240</f>
        <v>1</v>
      </c>
      <c r="AD240" s="21">
        <f>[2]底表!BN240</f>
        <v>1</v>
      </c>
      <c r="AE240" s="21">
        <f>[2]底表!BO240</f>
        <v>0</v>
      </c>
      <c r="AF240" s="21" t="str">
        <f>[2]底表!BP240</f>
        <v>多2起</v>
      </c>
      <c r="AG240" s="21">
        <f>[2]底表!BT240</f>
        <v>5</v>
      </c>
      <c r="AH240" s="21">
        <f>[2]底表!BU240</f>
        <v>-0.6</v>
      </c>
      <c r="AI240" s="21">
        <f>[2]底表!BV240</f>
        <v>1</v>
      </c>
      <c r="AJ240" s="21">
        <f>[2]底表!BW240</f>
        <v>-1</v>
      </c>
      <c r="AK240" s="21">
        <f>[2]底表!BX240</f>
        <v>1</v>
      </c>
      <c r="AL240" s="21" t="str">
        <f>[2]底表!BY240</f>
        <v/>
      </c>
      <c r="AM240" s="21">
        <f>[2]底表!BZ240</f>
        <v>0</v>
      </c>
      <c r="AN240" s="21">
        <f>[2]底表!CA240</f>
        <v>0</v>
      </c>
      <c r="AO240" s="21" t="str">
        <f>[2]底表!CB240</f>
        <v>持平</v>
      </c>
      <c r="AP240" s="21">
        <f>[2]底表!CC240</f>
        <v>0</v>
      </c>
      <c r="AQ240" s="21" t="str">
        <f>[2]底表!CD240</f>
        <v>持平</v>
      </c>
      <c r="AR240" s="21" t="str">
        <f>[2]底表!CE240</f>
        <v/>
      </c>
      <c r="AS240" s="21" t="str">
        <f>[2]底表!CF240</f>
        <v/>
      </c>
      <c r="AT240" s="21">
        <f>[2]底表!CG240</f>
        <v>2</v>
      </c>
      <c r="AU240" s="21">
        <f>[2]底表!CH240</f>
        <v>0</v>
      </c>
      <c r="AV240" s="21" t="str">
        <f>[2]底表!CI240</f>
        <v>多2人</v>
      </c>
      <c r="AW240" s="21">
        <f>[2]底表!CJ240</f>
        <v>7</v>
      </c>
      <c r="AX240" s="21">
        <f>[2]底表!CK240</f>
        <v>-0.7143</v>
      </c>
      <c r="AY240" s="21">
        <f>[2]底表!CL240</f>
        <v>100</v>
      </c>
      <c r="AZ240" s="21">
        <f>[2]底表!CM240</f>
        <v>100</v>
      </c>
      <c r="BA240" s="21" t="str">
        <f>[2]底表!CN240</f>
        <v/>
      </c>
      <c r="BB240" s="21">
        <f>[2]底表!CO240</f>
        <v>4</v>
      </c>
      <c r="BC240" s="21">
        <f>[2]底表!CP240</f>
        <v>0</v>
      </c>
      <c r="BD240" s="21" t="str">
        <f>[2]底表!CQ240</f>
        <v>多4人</v>
      </c>
      <c r="BE240" s="21">
        <f>[2]底表!CR240</f>
        <v>6</v>
      </c>
      <c r="BF240" s="21">
        <f>[2]底表!CS240</f>
        <v>-0.3333</v>
      </c>
      <c r="BG240" s="21">
        <f>[2]底表!CT240</f>
        <v>2</v>
      </c>
      <c r="BH240" s="21" t="str">
        <f>[2]底表!CU240</f>
        <v/>
      </c>
      <c r="BI240" s="21">
        <f>[2]底表!CV240</f>
        <v>200</v>
      </c>
      <c r="BJ240" s="21">
        <f>[2]底表!CW240</f>
        <v>200</v>
      </c>
      <c r="BK240" s="21" t="str">
        <f>[2]底表!CX240</f>
        <v/>
      </c>
      <c r="BL240" s="21">
        <f>[2]底表!CY240</f>
        <v>4</v>
      </c>
      <c r="BM240" s="21">
        <f>[2]底表!CZ240</f>
        <v>0</v>
      </c>
      <c r="BN240" s="23" t="str">
        <f>[2]底表!DA240</f>
        <v>多4人</v>
      </c>
      <c r="BO240" s="21">
        <f>[2]底表!DB240</f>
        <v>6</v>
      </c>
      <c r="BP240" s="21">
        <f>[2]底表!DC240</f>
        <v>-0.3333</v>
      </c>
      <c r="BQ240" s="21">
        <f>[2]底表!DD240</f>
        <v>2</v>
      </c>
      <c r="BR240" s="21" t="str">
        <f>[2]底表!DE240</f>
        <v/>
      </c>
      <c r="BS240" s="21">
        <f>[2]底表!DF240</f>
        <v>200</v>
      </c>
      <c r="BT240" s="21">
        <f>[2]底表!DG240</f>
        <v>200</v>
      </c>
      <c r="BU240" s="21" t="str">
        <f>[2]底表!DH240</f>
        <v/>
      </c>
      <c r="BV240" s="21">
        <f>[2]底表!DI240</f>
        <v>4</v>
      </c>
      <c r="BW240" s="21">
        <f>[2]底表!DJ240</f>
        <v>0</v>
      </c>
      <c r="BX240" s="23" t="str">
        <f>[2]底表!DK240</f>
        <v>多4人</v>
      </c>
      <c r="BY240" s="21">
        <f>[2]底表!DL240</f>
        <v>5</v>
      </c>
      <c r="BZ240" s="21">
        <f>[2]底表!DM240</f>
        <v>-0.2</v>
      </c>
      <c r="CA240" s="21">
        <f>[2]底表!DN240</f>
        <v>4</v>
      </c>
      <c r="CB240" s="21">
        <f>[2]底表!DO240</f>
        <v>0</v>
      </c>
      <c r="CC240" s="21" t="str">
        <f>[2]底表!DP240</f>
        <v>多4人</v>
      </c>
      <c r="CD240" s="21">
        <f>[2]底表!DQ240</f>
        <v>5</v>
      </c>
      <c r="CE240" s="21">
        <f>[2]底表!DR240</f>
        <v>-0.2</v>
      </c>
      <c r="CF240" s="21">
        <f>[2]底表!DS240</f>
        <v>4</v>
      </c>
      <c r="CG240" s="21">
        <f>[2]底表!DT240</f>
        <v>0</v>
      </c>
      <c r="CH240" s="21" t="str">
        <f>[2]底表!DU240</f>
        <v>多4人</v>
      </c>
      <c r="CI240" s="21">
        <f>[2]底表!DV240</f>
        <v>5</v>
      </c>
      <c r="CJ240" s="21">
        <f>[2]底表!DW240</f>
        <v>-0.2</v>
      </c>
      <c r="CK240" s="21">
        <f>[2]底表!DX240</f>
        <v>2</v>
      </c>
      <c r="CL240" s="21">
        <f>[2]底表!DY240</f>
        <v>0</v>
      </c>
      <c r="CM240" s="21" t="str">
        <f>[2]底表!DZ240</f>
        <v>多2人</v>
      </c>
      <c r="CN240" s="21">
        <f>[2]底表!EA240</f>
        <v>8</v>
      </c>
      <c r="CO240" s="21">
        <f>[2]底表!EB240</f>
        <v>-0.75</v>
      </c>
      <c r="CP240" s="21">
        <f>[2]底表!EC240</f>
        <v>4</v>
      </c>
      <c r="CQ240" s="21">
        <f>[2]底表!ED240</f>
        <v>0</v>
      </c>
      <c r="CR240" s="21" t="str">
        <f>[2]底表!EE240</f>
        <v>多4人</v>
      </c>
      <c r="CS240" s="21">
        <f>[2]底表!EF240</f>
        <v>3</v>
      </c>
      <c r="CT240" s="21">
        <f>[2]底表!EG240</f>
        <v>0.3333</v>
      </c>
      <c r="CU240" s="21">
        <f>[2]底表!EH240</f>
        <v>1</v>
      </c>
      <c r="CV240" s="21" t="str">
        <f>[2]底表!EI240</f>
        <v/>
      </c>
      <c r="CW240" s="21">
        <f>[2]底表!EJ240</f>
        <v>200</v>
      </c>
      <c r="CX240" s="21">
        <f>[2]底表!EK240</f>
        <v>200</v>
      </c>
      <c r="CY240" s="21" t="str">
        <f>[2]底表!EL240</f>
        <v/>
      </c>
      <c r="CZ240" s="21">
        <f>[2]底表!EM240</f>
        <v>4</v>
      </c>
      <c r="DA240" s="21">
        <f>[2]底表!EN240</f>
        <v>0</v>
      </c>
      <c r="DB240" s="21" t="str">
        <f>[2]底表!EO240</f>
        <v>多4人</v>
      </c>
      <c r="DC240" s="21">
        <f>[2]底表!EP240</f>
        <v>3</v>
      </c>
      <c r="DD240" s="21">
        <f>[2]底表!EQ240</f>
        <v>0.3333</v>
      </c>
      <c r="DE240" s="21">
        <f>[2]底表!ER240</f>
        <v>2</v>
      </c>
      <c r="DF240" s="21">
        <f>[2]底表!ES240</f>
        <v>8</v>
      </c>
      <c r="DG240" s="23">
        <f>[2]底表!ET240</f>
        <v>-0.75</v>
      </c>
      <c r="DH240" s="21">
        <f>[2]底表!EU240</f>
        <v>11</v>
      </c>
      <c r="DI240" s="21">
        <f>[2]底表!EV240</f>
        <v>-0.8182</v>
      </c>
      <c r="DJ240" s="21">
        <f>[2]底表!EW240</f>
        <v>0.5</v>
      </c>
      <c r="DK240" s="21" t="str">
        <f>[2]底表!EX240</f>
        <v/>
      </c>
      <c r="DL240" s="21">
        <f>[2]底表!EY240</f>
        <v>100</v>
      </c>
      <c r="DM240" s="21">
        <f>[2]底表!EZ240</f>
        <v>-700</v>
      </c>
      <c r="DN240" s="21">
        <f>[2]底表!FA240</f>
        <v>-0.875</v>
      </c>
      <c r="DO240" s="21">
        <f>[2]底表!BQ240</f>
        <v>2</v>
      </c>
      <c r="DP240" s="21">
        <f>[2]底表!BR240</f>
        <v>2</v>
      </c>
      <c r="DQ240" s="24">
        <f>[2]底表!BS240</f>
        <v>0</v>
      </c>
    </row>
    <row r="241" s="2" customFormat="1" ht="32" hidden="1" customHeight="1" spans="1:121">
      <c r="A241" s="29" t="str">
        <f>[2]底表!A241</f>
        <v>经济（含职务侵占、挪用资金）</v>
      </c>
      <c r="B241" s="28" t="str">
        <f>[2]底表!B241</f>
        <v>罗定市</v>
      </c>
      <c r="C241" s="21">
        <f>[2]底表!AM241</f>
        <v>4</v>
      </c>
      <c r="D241" s="21">
        <f>[2]底表!AN241</f>
        <v>1</v>
      </c>
      <c r="E241" s="23">
        <f>[2]底表!AO241</f>
        <v>3</v>
      </c>
      <c r="F241" s="21">
        <f>[2]底表!AP241</f>
        <v>3</v>
      </c>
      <c r="G241" s="21">
        <f>[2]底表!AQ241</f>
        <v>0.3333</v>
      </c>
      <c r="H241" s="21">
        <f>[2]底表!AR241</f>
        <v>1.3333</v>
      </c>
      <c r="I241" s="21">
        <f>[2]底表!AS241</f>
        <v>0.8333</v>
      </c>
      <c r="J241" s="21">
        <f>[2]底表!AT241</f>
        <v>1</v>
      </c>
      <c r="K241" s="21">
        <f>[2]底表!AU241</f>
        <v>1</v>
      </c>
      <c r="L241" s="21">
        <f>[2]底表!AV241</f>
        <v>0</v>
      </c>
      <c r="M241" s="21">
        <f>[2]底表!AW241</f>
        <v>1</v>
      </c>
      <c r="N241" s="21">
        <f>[2]底表!AX241</f>
        <v>0</v>
      </c>
      <c r="O241" s="21">
        <f>[2]底表!AY241</f>
        <v>0</v>
      </c>
      <c r="P241" s="21">
        <f>[2]底表!AZ241</f>
        <v>0</v>
      </c>
      <c r="Q241" s="21" t="str">
        <f>[2]底表!BA241</f>
        <v>持平</v>
      </c>
      <c r="R241" s="21">
        <f>[2]底表!BB241</f>
        <v>3</v>
      </c>
      <c r="S241" s="21" t="str">
        <f>[2]底表!BC241</f>
        <v>少3起</v>
      </c>
      <c r="T241" s="21">
        <f>[2]底表!BD241</f>
        <v>0</v>
      </c>
      <c r="U241" s="21">
        <f>[2]底表!BE241</f>
        <v>0</v>
      </c>
      <c r="V241" s="21">
        <f>[2]底表!BF241</f>
        <v>2</v>
      </c>
      <c r="W241" s="21">
        <f>[2]底表!BG241</f>
        <v>1</v>
      </c>
      <c r="X241" s="21">
        <f>[2]底表!BH241</f>
        <v>1</v>
      </c>
      <c r="Y241" s="21">
        <f>[2]底表!BI241</f>
        <v>1</v>
      </c>
      <c r="Z241" s="21">
        <f>[2]底表!BJ241</f>
        <v>1</v>
      </c>
      <c r="AA241" s="21">
        <f>[2]底表!BK241</f>
        <v>0.6667</v>
      </c>
      <c r="AB241" s="21">
        <f>[2]底表!BL241</f>
        <v>4</v>
      </c>
      <c r="AC241" s="21">
        <f>[2]底表!BM241</f>
        <v>1</v>
      </c>
      <c r="AD241" s="21">
        <f>[2]底表!BN241</f>
        <v>3</v>
      </c>
      <c r="AE241" s="21">
        <f>[2]底表!BO241</f>
        <v>0</v>
      </c>
      <c r="AF241" s="21" t="str">
        <f>[2]底表!BP241</f>
        <v>多4起</v>
      </c>
      <c r="AG241" s="21">
        <f>[2]底表!BT241</f>
        <v>5</v>
      </c>
      <c r="AH241" s="21">
        <f>[2]底表!BU241</f>
        <v>-0.6</v>
      </c>
      <c r="AI241" s="21">
        <f>[2]底表!BV241</f>
        <v>0.6667</v>
      </c>
      <c r="AJ241" s="21">
        <f>[2]底表!BW241</f>
        <v>-0.8333</v>
      </c>
      <c r="AK241" s="21">
        <f>[2]底表!BX241</f>
        <v>2</v>
      </c>
      <c r="AL241" s="21">
        <f>[2]底表!BY241</f>
        <v>-1</v>
      </c>
      <c r="AM241" s="21">
        <f>[2]底表!BZ241</f>
        <v>0</v>
      </c>
      <c r="AN241" s="21">
        <f>[2]底表!CA241</f>
        <v>0</v>
      </c>
      <c r="AO241" s="21" t="str">
        <f>[2]底表!CB241</f>
        <v>持平</v>
      </c>
      <c r="AP241" s="21">
        <f>[2]底表!CC241</f>
        <v>0</v>
      </c>
      <c r="AQ241" s="21" t="str">
        <f>[2]底表!CD241</f>
        <v>持平</v>
      </c>
      <c r="AR241" s="21" t="str">
        <f>[2]底表!CE241</f>
        <v/>
      </c>
      <c r="AS241" s="21" t="str">
        <f>[2]底表!CF241</f>
        <v/>
      </c>
      <c r="AT241" s="21">
        <f>[2]底表!CG241</f>
        <v>1</v>
      </c>
      <c r="AU241" s="21">
        <f>[2]底表!CH241</f>
        <v>0</v>
      </c>
      <c r="AV241" s="21" t="str">
        <f>[2]底表!CI241</f>
        <v>多1人</v>
      </c>
      <c r="AW241" s="21">
        <f>[2]底表!CJ241</f>
        <v>5</v>
      </c>
      <c r="AX241" s="21">
        <f>[2]底表!CK241</f>
        <v>-0.8</v>
      </c>
      <c r="AY241" s="21">
        <f>[2]底表!CL241</f>
        <v>33</v>
      </c>
      <c r="AZ241" s="21">
        <f>[2]底表!CM241</f>
        <v>33</v>
      </c>
      <c r="BA241" s="21" t="str">
        <f>[2]底表!CN241</f>
        <v/>
      </c>
      <c r="BB241" s="21">
        <f>[2]底表!CO241</f>
        <v>4</v>
      </c>
      <c r="BC241" s="21">
        <f>[2]底表!CP241</f>
        <v>1</v>
      </c>
      <c r="BD241" s="21">
        <f>[2]底表!CQ241</f>
        <v>3</v>
      </c>
      <c r="BE241" s="21">
        <f>[2]底表!CR241</f>
        <v>3</v>
      </c>
      <c r="BF241" s="21">
        <f>[2]底表!CS241</f>
        <v>0.3333</v>
      </c>
      <c r="BG241" s="21">
        <f>[2]底表!CT241</f>
        <v>4</v>
      </c>
      <c r="BH241" s="21" t="str">
        <f>[2]底表!CU241</f>
        <v/>
      </c>
      <c r="BI241" s="21">
        <f>[2]底表!CV241</f>
        <v>133</v>
      </c>
      <c r="BJ241" s="21">
        <f>[2]底表!CW241</f>
        <v>83</v>
      </c>
      <c r="BK241" s="21">
        <f>[2]底表!CX241</f>
        <v>1.6667</v>
      </c>
      <c r="BL241" s="21">
        <f>[2]底表!CY241</f>
        <v>4</v>
      </c>
      <c r="BM241" s="21">
        <f>[2]底表!CZ241</f>
        <v>1</v>
      </c>
      <c r="BN241" s="23">
        <f>[2]底表!DA241</f>
        <v>3</v>
      </c>
      <c r="BO241" s="21">
        <f>[2]底表!DB241</f>
        <v>3</v>
      </c>
      <c r="BP241" s="21">
        <f>[2]底表!DC241</f>
        <v>0.3333</v>
      </c>
      <c r="BQ241" s="21">
        <f>[2]底表!DD241</f>
        <v>4</v>
      </c>
      <c r="BR241" s="21" t="str">
        <f>[2]底表!DE241</f>
        <v/>
      </c>
      <c r="BS241" s="21">
        <f>[2]底表!DF241</f>
        <v>133</v>
      </c>
      <c r="BT241" s="21">
        <f>[2]底表!DG241</f>
        <v>83</v>
      </c>
      <c r="BU241" s="21">
        <f>[2]底表!DH241</f>
        <v>1.6667</v>
      </c>
      <c r="BV241" s="21">
        <f>[2]底表!DI241</f>
        <v>3</v>
      </c>
      <c r="BW241" s="21">
        <f>[2]底表!DJ241</f>
        <v>0</v>
      </c>
      <c r="BX241" s="23" t="str">
        <f>[2]底表!DK241</f>
        <v>多3人</v>
      </c>
      <c r="BY241" s="21">
        <f>[2]底表!DL241</f>
        <v>3</v>
      </c>
      <c r="BZ241" s="21">
        <f>[2]底表!DM241</f>
        <v>0</v>
      </c>
      <c r="CA241" s="21">
        <f>[2]底表!DN241</f>
        <v>1</v>
      </c>
      <c r="CB241" s="21">
        <f>[2]底表!DO241</f>
        <v>0</v>
      </c>
      <c r="CC241" s="21" t="str">
        <f>[2]底表!DP241</f>
        <v>多1人</v>
      </c>
      <c r="CD241" s="21">
        <f>[2]底表!DQ241</f>
        <v>1</v>
      </c>
      <c r="CE241" s="21">
        <f>[2]底表!DR241</f>
        <v>0</v>
      </c>
      <c r="CF241" s="21">
        <f>[2]底表!DS241</f>
        <v>1</v>
      </c>
      <c r="CG241" s="21">
        <f>[2]底表!DT241</f>
        <v>0</v>
      </c>
      <c r="CH241" s="21" t="str">
        <f>[2]底表!DU241</f>
        <v>多1人</v>
      </c>
      <c r="CI241" s="21">
        <f>[2]底表!DV241</f>
        <v>1</v>
      </c>
      <c r="CJ241" s="21">
        <f>[2]底表!DW241</f>
        <v>0</v>
      </c>
      <c r="CK241" s="21">
        <f>[2]底表!DX241</f>
        <v>5</v>
      </c>
      <c r="CL241" s="21">
        <f>[2]底表!DY241</f>
        <v>0</v>
      </c>
      <c r="CM241" s="21" t="str">
        <f>[2]底表!DZ241</f>
        <v>多5人</v>
      </c>
      <c r="CN241" s="21">
        <f>[2]底表!EA241</f>
        <v>5</v>
      </c>
      <c r="CO241" s="21">
        <f>[2]底表!EB241</f>
        <v>0</v>
      </c>
      <c r="CP241" s="21">
        <f>[2]底表!EC241</f>
        <v>4</v>
      </c>
      <c r="CQ241" s="21">
        <f>[2]底表!ED241</f>
        <v>0</v>
      </c>
      <c r="CR241" s="21" t="str">
        <f>[2]底表!EE241</f>
        <v>多4人</v>
      </c>
      <c r="CS241" s="21">
        <f>[2]底表!EF241</f>
        <v>5</v>
      </c>
      <c r="CT241" s="21">
        <f>[2]底表!EG241</f>
        <v>-0.2</v>
      </c>
      <c r="CU241" s="21">
        <f>[2]底表!EH241</f>
        <v>1</v>
      </c>
      <c r="CV241" s="21">
        <f>[2]底表!EI241</f>
        <v>1</v>
      </c>
      <c r="CW241" s="21">
        <f>[2]底表!EJ241</f>
        <v>133</v>
      </c>
      <c r="CX241" s="21">
        <f>[2]底表!EK241</f>
        <v>133</v>
      </c>
      <c r="CY241" s="21" t="str">
        <f>[2]底表!EL241</f>
        <v/>
      </c>
      <c r="CZ241" s="21">
        <f>[2]底表!EM241</f>
        <v>4</v>
      </c>
      <c r="DA241" s="21">
        <f>[2]底表!EN241</f>
        <v>0</v>
      </c>
      <c r="DB241" s="21" t="str">
        <f>[2]底表!EO241</f>
        <v>多4人</v>
      </c>
      <c r="DC241" s="21">
        <f>[2]底表!EP241</f>
        <v>6</v>
      </c>
      <c r="DD241" s="21">
        <f>[2]底表!EQ241</f>
        <v>-0.3333</v>
      </c>
      <c r="DE241" s="21">
        <f>[2]底表!ER241</f>
        <v>3</v>
      </c>
      <c r="DF241" s="21">
        <f>[2]底表!ES241</f>
        <v>4</v>
      </c>
      <c r="DG241" s="23">
        <f>[2]底表!ET241</f>
        <v>-0.25</v>
      </c>
      <c r="DH241" s="21">
        <f>[2]底表!EU241</f>
        <v>11</v>
      </c>
      <c r="DI241" s="21">
        <f>[2]底表!EV241</f>
        <v>-0.7273</v>
      </c>
      <c r="DJ241" s="21">
        <f>[2]底表!EW241</f>
        <v>0.75</v>
      </c>
      <c r="DK241" s="21">
        <f>[2]底表!EX241</f>
        <v>-3.25</v>
      </c>
      <c r="DL241" s="21">
        <f>[2]底表!EY241</f>
        <v>100</v>
      </c>
      <c r="DM241" s="21">
        <f>[2]底表!EZ241</f>
        <v>-100</v>
      </c>
      <c r="DN241" s="21">
        <f>[2]底表!FA241</f>
        <v>-0.5</v>
      </c>
      <c r="DO241" s="21">
        <f>[2]底表!BQ241</f>
        <v>2</v>
      </c>
      <c r="DP241" s="21">
        <f>[2]底表!BR241</f>
        <v>3</v>
      </c>
      <c r="DQ241" s="24">
        <f>[2]底表!BS241</f>
        <v>-0.3333</v>
      </c>
    </row>
    <row r="242" s="2" customFormat="1" ht="32" hidden="1" customHeight="1" spans="1:121">
      <c r="A242" s="27" t="str">
        <f>[2]底表!A242</f>
        <v>经济</v>
      </c>
      <c r="B242" s="28" t="str">
        <f>[2]底表!B242</f>
        <v>全省</v>
      </c>
      <c r="C242" s="21">
        <f>[2]底表!AM242</f>
        <v>1282</v>
      </c>
      <c r="D242" s="21">
        <f>[2]底表!AN242</f>
        <v>600</v>
      </c>
      <c r="E242" s="23">
        <f>[2]底表!AO242</f>
        <v>1.1367</v>
      </c>
      <c r="F242" s="21">
        <f>[2]底表!AP242</f>
        <v>1420</v>
      </c>
      <c r="G242" s="21">
        <f>[2]底表!AQ242</f>
        <v>-0.0972</v>
      </c>
      <c r="H242" s="21">
        <f>[2]底表!AR242</f>
        <v>0.8319</v>
      </c>
      <c r="I242" s="21">
        <f>[2]底表!AS242</f>
        <v>0.1555</v>
      </c>
      <c r="J242" s="21">
        <f>[2]底表!AT242</f>
        <v>733</v>
      </c>
      <c r="K242" s="21">
        <f>[2]底表!AU242</f>
        <v>357</v>
      </c>
      <c r="L242" s="21">
        <f>[2]底表!AV242</f>
        <v>1.0532</v>
      </c>
      <c r="M242" s="21">
        <f>[2]底表!AW242</f>
        <v>1141</v>
      </c>
      <c r="N242" s="21">
        <f>[2]底表!AX242</f>
        <v>-0.3576</v>
      </c>
      <c r="O242" s="21">
        <f>[2]底表!AY242</f>
        <v>490</v>
      </c>
      <c r="P242" s="21">
        <f>[2]底表!AZ242</f>
        <v>170</v>
      </c>
      <c r="Q242" s="21">
        <f>[2]底表!BA242</f>
        <v>1.8824</v>
      </c>
      <c r="R242" s="21">
        <f>[2]底表!BB242</f>
        <v>838</v>
      </c>
      <c r="S242" s="21">
        <f>[2]底表!BC242</f>
        <v>-0.4153</v>
      </c>
      <c r="T242" s="21">
        <f>[2]底表!BD242</f>
        <v>0.6685</v>
      </c>
      <c r="U242" s="21">
        <f>[2]底表!BE242</f>
        <v>0.1923</v>
      </c>
      <c r="V242" s="21">
        <f>[2]底表!BF242</f>
        <v>808</v>
      </c>
      <c r="W242" s="21">
        <f>[2]底表!BG242</f>
        <v>530</v>
      </c>
      <c r="X242" s="21">
        <f>[2]底表!BH242</f>
        <v>0.5245</v>
      </c>
      <c r="Y242" s="21">
        <f>[2]底表!BI242</f>
        <v>344</v>
      </c>
      <c r="Z242" s="21">
        <f>[2]底表!BJ242</f>
        <v>1.3488</v>
      </c>
      <c r="AA242" s="21">
        <f>[2]底表!BK242</f>
        <v>0.5243</v>
      </c>
      <c r="AB242" s="21">
        <f>[2]底表!BL242</f>
        <v>792</v>
      </c>
      <c r="AC242" s="21">
        <f>[2]底表!BM242</f>
        <v>430</v>
      </c>
      <c r="AD242" s="21">
        <f>[2]底表!BN242</f>
        <v>0.8419</v>
      </c>
      <c r="AE242" s="21">
        <f>[2]底表!BO242</f>
        <v>582</v>
      </c>
      <c r="AF242" s="21">
        <f>[2]底表!BP242</f>
        <v>0.3608</v>
      </c>
      <c r="AG242" s="21">
        <f>[2]底表!BT242</f>
        <v>949</v>
      </c>
      <c r="AH242" s="21">
        <f>[2]底表!BU242</f>
        <v>-0.4373</v>
      </c>
      <c r="AI242" s="21">
        <f>[2]底表!BV242</f>
        <v>0.3465</v>
      </c>
      <c r="AJ242" s="21">
        <f>[2]底表!BW242</f>
        <v>-0.0605</v>
      </c>
      <c r="AK242" s="21">
        <f>[2]底表!BX242</f>
        <v>0.7285</v>
      </c>
      <c r="AL242" s="21">
        <f>[2]底表!BY242</f>
        <v>-0.2827</v>
      </c>
      <c r="AM242" s="21">
        <f>[2]底表!BZ242</f>
        <v>0</v>
      </c>
      <c r="AN242" s="21">
        <f>[2]底表!CA242</f>
        <v>1</v>
      </c>
      <c r="AO242" s="21" t="str">
        <f>[2]底表!CB242</f>
        <v>少1起</v>
      </c>
      <c r="AP242" s="21">
        <f>[2]底表!CC242</f>
        <v>24</v>
      </c>
      <c r="AQ242" s="21" t="str">
        <f>[2]底表!CD242</f>
        <v>少24起</v>
      </c>
      <c r="AR242" s="21" t="str">
        <f>[2]底表!CE242</f>
        <v/>
      </c>
      <c r="AS242" s="21" t="str">
        <f>[2]底表!CF242</f>
        <v/>
      </c>
      <c r="AT242" s="21">
        <f>[2]底表!CG242</f>
        <v>3148</v>
      </c>
      <c r="AU242" s="21">
        <f>[2]底表!CH242</f>
        <v>1344</v>
      </c>
      <c r="AV242" s="21">
        <f>[2]底表!CI242</f>
        <v>1.3423</v>
      </c>
      <c r="AW242" s="21">
        <f>[2]底表!CJ242</f>
        <v>2602</v>
      </c>
      <c r="AX242" s="21">
        <f>[2]底表!CK242</f>
        <v>0.2098</v>
      </c>
      <c r="AY242" s="21">
        <f>[2]底表!CL242</f>
        <v>204</v>
      </c>
      <c r="AZ242" s="21">
        <f>[2]底表!CM242</f>
        <v>53</v>
      </c>
      <c r="BA242" s="21">
        <f>[2]底表!CN242</f>
        <v>0.3482</v>
      </c>
      <c r="BB242" s="21">
        <f>[2]底表!CO242</f>
        <v>3127</v>
      </c>
      <c r="BC242" s="21">
        <f>[2]底表!CP242</f>
        <v>1083</v>
      </c>
      <c r="BD242" s="21">
        <f>[2]底表!CQ242</f>
        <v>1.8873</v>
      </c>
      <c r="BE242" s="21">
        <f>[2]底表!CR242</f>
        <v>2590</v>
      </c>
      <c r="BF242" s="21">
        <f>[2]底表!CS242</f>
        <v>0.2073</v>
      </c>
      <c r="BG242" s="21">
        <f>[2]底表!CT242</f>
        <v>0.9933</v>
      </c>
      <c r="BH242" s="21">
        <f>[2]底表!CU242</f>
        <v>0.1875</v>
      </c>
      <c r="BI242" s="21">
        <f>[2]底表!CV242</f>
        <v>203</v>
      </c>
      <c r="BJ242" s="21">
        <f>[2]底表!CW242</f>
        <v>81</v>
      </c>
      <c r="BK242" s="21">
        <f>[2]底表!CX242</f>
        <v>0.662</v>
      </c>
      <c r="BL242" s="21">
        <f>[2]底表!CY242</f>
        <v>3295</v>
      </c>
      <c r="BM242" s="21">
        <f>[2]底表!CZ242</f>
        <v>1304</v>
      </c>
      <c r="BN242" s="23">
        <f>[2]底表!DA242</f>
        <v>1.5268</v>
      </c>
      <c r="BO242" s="21">
        <f>[2]底表!DB242</f>
        <v>2799</v>
      </c>
      <c r="BP242" s="21">
        <f>[2]底表!DC242</f>
        <v>0.1772</v>
      </c>
      <c r="BQ242" s="21">
        <f>[2]底表!DD242</f>
        <v>1.0467</v>
      </c>
      <c r="BR242" s="21">
        <f>[2]底表!DE242</f>
        <v>0.0765</v>
      </c>
      <c r="BS242" s="21">
        <f>[2]底表!DF242</f>
        <v>214</v>
      </c>
      <c r="BT242" s="21">
        <f>[2]底表!DG242</f>
        <v>67</v>
      </c>
      <c r="BU242" s="21">
        <f>[2]底表!DH242</f>
        <v>0.4545</v>
      </c>
      <c r="BV242" s="21">
        <f>[2]底表!DI242</f>
        <v>3365</v>
      </c>
      <c r="BW242" s="21">
        <f>[2]底表!DJ242</f>
        <v>1541</v>
      </c>
      <c r="BX242" s="23">
        <f>[2]底表!DK242</f>
        <v>1.1836</v>
      </c>
      <c r="BY242" s="21">
        <f>[2]底表!DL242</f>
        <v>2775</v>
      </c>
      <c r="BZ242" s="21">
        <f>[2]底表!DM242</f>
        <v>0.2126</v>
      </c>
      <c r="CA242" s="21">
        <f>[2]底表!DN242</f>
        <v>1630</v>
      </c>
      <c r="CB242" s="21">
        <f>[2]底表!DO242</f>
        <v>1108</v>
      </c>
      <c r="CC242" s="21">
        <f>[2]底表!DP242</f>
        <v>0.4711</v>
      </c>
      <c r="CD242" s="21">
        <f>[2]底表!DQ242</f>
        <v>1591</v>
      </c>
      <c r="CE242" s="21">
        <f>[2]底表!DR242</f>
        <v>0.0245</v>
      </c>
      <c r="CF242" s="21">
        <f>[2]底表!DS242</f>
        <v>1631</v>
      </c>
      <c r="CG242" s="21">
        <f>[2]底表!DT242</f>
        <v>1108</v>
      </c>
      <c r="CH242" s="21">
        <f>[2]底表!DU242</f>
        <v>0.472</v>
      </c>
      <c r="CI242" s="21">
        <f>[2]底表!DV242</f>
        <v>1591</v>
      </c>
      <c r="CJ242" s="21">
        <f>[2]底表!DW242</f>
        <v>0.0251</v>
      </c>
      <c r="CK242" s="21">
        <f>[2]底表!DX242</f>
        <v>2380</v>
      </c>
      <c r="CL242" s="21">
        <f>[2]底表!DY242</f>
        <v>1293</v>
      </c>
      <c r="CM242" s="21">
        <f>[2]底表!DZ242</f>
        <v>0.8407</v>
      </c>
      <c r="CN242" s="21">
        <f>[2]底表!EA242</f>
        <v>1636</v>
      </c>
      <c r="CO242" s="21">
        <f>[2]底表!EB242</f>
        <v>0.4548</v>
      </c>
      <c r="CP242" s="21">
        <f>[2]底表!EC242</f>
        <v>872</v>
      </c>
      <c r="CQ242" s="21">
        <f>[2]底表!ED242</f>
        <v>702</v>
      </c>
      <c r="CR242" s="21">
        <f>[2]底表!EE242</f>
        <v>0.2422</v>
      </c>
      <c r="CS242" s="21">
        <f>[2]底表!EF242</f>
        <v>857</v>
      </c>
      <c r="CT242" s="21">
        <f>[2]底表!EG242</f>
        <v>0.0175</v>
      </c>
      <c r="CU242" s="21">
        <f>[2]底表!EH242</f>
        <v>0.2789</v>
      </c>
      <c r="CV242" s="21">
        <f>[2]底表!EI242</f>
        <v>-0.3693</v>
      </c>
      <c r="CW242" s="21">
        <f>[2]底表!EJ242</f>
        <v>57</v>
      </c>
      <c r="CX242" s="21">
        <f>[2]底表!EK242</f>
        <v>-23</v>
      </c>
      <c r="CY242" s="21">
        <f>[2]底表!EL242</f>
        <v>-0.285</v>
      </c>
      <c r="CZ242" s="21">
        <f>[2]底表!EM242</f>
        <v>914</v>
      </c>
      <c r="DA242" s="21">
        <f>[2]底表!EN242</f>
        <v>709</v>
      </c>
      <c r="DB242" s="21">
        <f>[2]底表!EO242</f>
        <v>0.2891</v>
      </c>
      <c r="DC242" s="21">
        <f>[2]底表!EP242</f>
        <v>876</v>
      </c>
      <c r="DD242" s="21">
        <f>[2]底表!EQ242</f>
        <v>0.0434</v>
      </c>
      <c r="DE242" s="21">
        <f>[2]底表!ER242</f>
        <v>1193</v>
      </c>
      <c r="DF242" s="21">
        <f>[2]底表!ES242</f>
        <v>862</v>
      </c>
      <c r="DG242" s="23">
        <f>[2]底表!ET242</f>
        <v>0.384</v>
      </c>
      <c r="DH242" s="21">
        <f>[2]底表!EU242</f>
        <v>1975</v>
      </c>
      <c r="DI242" s="21">
        <f>[2]底表!EV242</f>
        <v>-0.3959</v>
      </c>
      <c r="DJ242" s="21">
        <f>[2]底表!EW242</f>
        <v>0.3815</v>
      </c>
      <c r="DK242" s="21">
        <f>[2]底表!EX242</f>
        <v>-0.4144</v>
      </c>
      <c r="DL242" s="21">
        <f>[2]底表!EY242</f>
        <v>77</v>
      </c>
      <c r="DM242" s="21">
        <f>[2]底表!EZ242</f>
        <v>-20</v>
      </c>
      <c r="DN242" s="21">
        <f>[2]底表!FA242</f>
        <v>-0.2034</v>
      </c>
      <c r="DO242" s="21">
        <f>[2]底表!BQ242</f>
        <v>534</v>
      </c>
      <c r="DP242" s="21">
        <f>[2]底表!BR242</f>
        <v>361</v>
      </c>
      <c r="DQ242" s="24">
        <f>[2]底表!BS242</f>
        <v>0.4792</v>
      </c>
    </row>
    <row r="243" s="2" customFormat="1" ht="36" hidden="1" customHeight="1" spans="1:121">
      <c r="A243" s="30" t="str">
        <f>[2]底表!A243</f>
        <v>经济</v>
      </c>
      <c r="B243" s="31" t="str">
        <f>[2]底表!B243</f>
        <v>云浮</v>
      </c>
      <c r="C243" s="32">
        <f>[2]底表!AM243</f>
        <v>16</v>
      </c>
      <c r="D243" s="32">
        <f>[2]底表!AN243</f>
        <v>4</v>
      </c>
      <c r="E243" s="23">
        <f>[2]底表!AO243</f>
        <v>3</v>
      </c>
      <c r="F243" s="32">
        <f>[2]底表!AP243</f>
        <v>16</v>
      </c>
      <c r="G243" s="32">
        <f>[2]底表!AQ243</f>
        <v>0</v>
      </c>
      <c r="H243" s="32">
        <f>[2]底表!AR243</f>
        <v>1.0667</v>
      </c>
      <c r="I243" s="32">
        <f>[2]底表!AS243</f>
        <v>0.4952</v>
      </c>
      <c r="J243" s="32">
        <f>[2]底表!AT243</f>
        <v>8</v>
      </c>
      <c r="K243" s="32">
        <f>[2]底表!AU243</f>
        <v>3</v>
      </c>
      <c r="L243" s="32">
        <f>[2]底表!AV243</f>
        <v>1.6667</v>
      </c>
      <c r="M243" s="32">
        <f>[2]底表!AW243</f>
        <v>13</v>
      </c>
      <c r="N243" s="32">
        <f>[2]底表!AX243</f>
        <v>-0.3846</v>
      </c>
      <c r="O243" s="32">
        <f>[2]底表!AY243</f>
        <v>5</v>
      </c>
      <c r="P243" s="32">
        <f>[2]底表!AZ243</f>
        <v>1</v>
      </c>
      <c r="Q243" s="32">
        <f>[2]底表!BA243</f>
        <v>4</v>
      </c>
      <c r="R243" s="32">
        <f>[2]底表!BB243</f>
        <v>7</v>
      </c>
      <c r="S243" s="32">
        <f>[2]底表!BC243</f>
        <v>-0.2857</v>
      </c>
      <c r="T243" s="32">
        <f>[2]底表!BD243</f>
        <v>0.625</v>
      </c>
      <c r="U243" s="32">
        <f>[2]底表!BE243</f>
        <v>0.2917</v>
      </c>
      <c r="V243" s="32">
        <f>[2]底表!BF243</f>
        <v>7</v>
      </c>
      <c r="W243" s="32">
        <f>[2]底表!BG243</f>
        <v>4</v>
      </c>
      <c r="X243" s="32">
        <f>[2]底表!BH243</f>
        <v>0.75</v>
      </c>
      <c r="Y243" s="32">
        <f>[2]底表!BI243</f>
        <v>3</v>
      </c>
      <c r="Z243" s="32">
        <f>[2]底表!BJ243</f>
        <v>1.3333</v>
      </c>
      <c r="AA243" s="32">
        <f>[2]底表!BK243</f>
        <v>0.4667</v>
      </c>
      <c r="AB243" s="32">
        <f>[2]底表!BL243</f>
        <v>11</v>
      </c>
      <c r="AC243" s="32">
        <f>[2]底表!BM243</f>
        <v>3</v>
      </c>
      <c r="AD243" s="32">
        <f>[2]底表!BN243</f>
        <v>2.6667</v>
      </c>
      <c r="AE243" s="32">
        <f>[2]底表!BO243</f>
        <v>9</v>
      </c>
      <c r="AF243" s="32">
        <f>[2]底表!BP243</f>
        <v>0.2222</v>
      </c>
      <c r="AG243" s="32">
        <f>[2]底表!BT243</f>
        <v>15</v>
      </c>
      <c r="AH243" s="32">
        <f>[2]底表!BU243</f>
        <v>-0.5333</v>
      </c>
      <c r="AI243" s="32">
        <f>[2]底表!BV243</f>
        <v>0.4667</v>
      </c>
      <c r="AJ243" s="32">
        <f>[2]底表!BW243</f>
        <v>-0.5333</v>
      </c>
      <c r="AK243" s="32">
        <f>[2]底表!BX243</f>
        <v>0.875</v>
      </c>
      <c r="AL243" s="32">
        <f>[2]底表!BY243</f>
        <v>-1.4583</v>
      </c>
      <c r="AM243" s="32">
        <f>[2]底表!BZ243</f>
        <v>0</v>
      </c>
      <c r="AN243" s="32">
        <f>[2]底表!CA243</f>
        <v>0</v>
      </c>
      <c r="AO243" s="32" t="str">
        <f>[2]底表!CB243</f>
        <v>持平</v>
      </c>
      <c r="AP243" s="32">
        <f>[2]底表!CC243</f>
        <v>0</v>
      </c>
      <c r="AQ243" s="32" t="str">
        <f>[2]底表!CD243</f>
        <v>持平</v>
      </c>
      <c r="AR243" s="32" t="str">
        <f>[2]底表!CE243</f>
        <v/>
      </c>
      <c r="AS243" s="32" t="str">
        <f>[2]底表!CF243</f>
        <v/>
      </c>
      <c r="AT243" s="32">
        <f>[2]底表!CG243</f>
        <v>17</v>
      </c>
      <c r="AU243" s="32">
        <f>[2]底表!CH243</f>
        <v>6</v>
      </c>
      <c r="AV243" s="32">
        <f>[2]底表!CI243</f>
        <v>1.8333</v>
      </c>
      <c r="AW243" s="32">
        <f>[2]底表!CJ243</f>
        <v>39</v>
      </c>
      <c r="AX243" s="32">
        <f>[2]底表!CK243</f>
        <v>-0.5641</v>
      </c>
      <c r="AY243" s="32">
        <f>[2]底表!CL243</f>
        <v>113</v>
      </c>
      <c r="AZ243" s="32">
        <f>[2]底表!CM243</f>
        <v>28</v>
      </c>
      <c r="BA243" s="32">
        <f>[2]底表!CN243</f>
        <v>0.3222</v>
      </c>
      <c r="BB243" s="32">
        <f>[2]底表!CO243</f>
        <v>18</v>
      </c>
      <c r="BC243" s="32">
        <f>[2]底表!CP243</f>
        <v>8</v>
      </c>
      <c r="BD243" s="32">
        <f>[2]底表!CQ243</f>
        <v>1.25</v>
      </c>
      <c r="BE243" s="32">
        <f>[2]底表!CR243</f>
        <v>33</v>
      </c>
      <c r="BF243" s="32">
        <f>[2]底表!CS243</f>
        <v>-0.4545</v>
      </c>
      <c r="BG243" s="32">
        <f>[2]底表!CT243</f>
        <v>1.0588</v>
      </c>
      <c r="BH243" s="32">
        <f>[2]底表!CU243</f>
        <v>-0.2745</v>
      </c>
      <c r="BI243" s="32">
        <f>[2]底表!CV243</f>
        <v>120</v>
      </c>
      <c r="BJ243" s="32">
        <f>[2]底表!CW243</f>
        <v>6</v>
      </c>
      <c r="BK243" s="32">
        <f>[2]底表!CX243</f>
        <v>0.05</v>
      </c>
      <c r="BL243" s="32">
        <f>[2]底表!CY243</f>
        <v>19</v>
      </c>
      <c r="BM243" s="32">
        <f>[2]底表!CZ243</f>
        <v>8</v>
      </c>
      <c r="BN243" s="23">
        <f>[2]底表!DA243</f>
        <v>1.375</v>
      </c>
      <c r="BO243" s="32">
        <f>[2]底表!DB243</f>
        <v>41</v>
      </c>
      <c r="BP243" s="32">
        <f>[2]底表!DC243</f>
        <v>-0.5366</v>
      </c>
      <c r="BQ243" s="32">
        <f>[2]底表!DD243</f>
        <v>1.1176</v>
      </c>
      <c r="BR243" s="32">
        <f>[2]底表!DE243</f>
        <v>-0.2157</v>
      </c>
      <c r="BS243" s="32">
        <f>[2]底表!DF243</f>
        <v>127</v>
      </c>
      <c r="BT243" s="32">
        <f>[2]底表!DG243</f>
        <v>12</v>
      </c>
      <c r="BU243" s="32">
        <f>[2]底表!DH243</f>
        <v>0.1083</v>
      </c>
      <c r="BV243" s="32">
        <f>[2]底表!DI243</f>
        <v>15</v>
      </c>
      <c r="BW243" s="32">
        <f>[2]底表!DJ243</f>
        <v>10</v>
      </c>
      <c r="BX243" s="23">
        <f>[2]底表!DK243</f>
        <v>0.5</v>
      </c>
      <c r="BY243" s="32">
        <f>[2]底表!DL243</f>
        <v>38</v>
      </c>
      <c r="BZ243" s="32">
        <f>[2]底表!DM243</f>
        <v>-0.6053</v>
      </c>
      <c r="CA243" s="32">
        <f>[2]底表!DN243</f>
        <v>18</v>
      </c>
      <c r="CB243" s="32">
        <f>[2]底表!DO243</f>
        <v>3</v>
      </c>
      <c r="CC243" s="32">
        <f>[2]底表!DP243</f>
        <v>5</v>
      </c>
      <c r="CD243" s="32">
        <f>[2]底表!DQ243</f>
        <v>18</v>
      </c>
      <c r="CE243" s="32">
        <f>[2]底表!DR243</f>
        <v>0</v>
      </c>
      <c r="CF243" s="32">
        <f>[2]底表!DS243</f>
        <v>18</v>
      </c>
      <c r="CG243" s="32">
        <f>[2]底表!DT243</f>
        <v>3</v>
      </c>
      <c r="CH243" s="32">
        <f>[2]底表!DU243</f>
        <v>5</v>
      </c>
      <c r="CI243" s="32">
        <f>[2]底表!DV243</f>
        <v>18</v>
      </c>
      <c r="CJ243" s="32">
        <f>[2]底表!DW243</f>
        <v>0</v>
      </c>
      <c r="CK243" s="32">
        <f>[2]底表!DX243</f>
        <v>30</v>
      </c>
      <c r="CL243" s="32">
        <f>[2]底表!DY243</f>
        <v>6</v>
      </c>
      <c r="CM243" s="32">
        <f>[2]底表!DZ243</f>
        <v>4</v>
      </c>
      <c r="CN243" s="32">
        <f>[2]底表!EA243</f>
        <v>16</v>
      </c>
      <c r="CO243" s="32">
        <f>[2]底表!EB243</f>
        <v>0.875</v>
      </c>
      <c r="CP243" s="32">
        <f>[2]底表!EC243</f>
        <v>27</v>
      </c>
      <c r="CQ243" s="32">
        <f>[2]底表!ED243</f>
        <v>5</v>
      </c>
      <c r="CR243" s="32">
        <f>[2]底表!EE243</f>
        <v>4.4</v>
      </c>
      <c r="CS243" s="32">
        <f>[2]底表!EF243</f>
        <v>9</v>
      </c>
      <c r="CT243" s="32">
        <f>[2]底表!EG243</f>
        <v>2</v>
      </c>
      <c r="CU243" s="32">
        <f>[2]底表!EH243</f>
        <v>1.5</v>
      </c>
      <c r="CV243" s="32">
        <f>[2]底表!EI243</f>
        <v>0.875</v>
      </c>
      <c r="CW243" s="32">
        <f>[2]底表!EJ243</f>
        <v>180</v>
      </c>
      <c r="CX243" s="32">
        <f>[2]底表!EK243</f>
        <v>109</v>
      </c>
      <c r="CY243" s="32">
        <f>[2]底表!EL243</f>
        <v>1.52</v>
      </c>
      <c r="CZ243" s="32">
        <f>[2]底表!EM243</f>
        <v>28</v>
      </c>
      <c r="DA243" s="32">
        <f>[2]底表!EN243</f>
        <v>5</v>
      </c>
      <c r="DB243" s="32">
        <f>[2]底表!EO243</f>
        <v>4.6</v>
      </c>
      <c r="DC243" s="32">
        <f>[2]底表!EP243</f>
        <v>10</v>
      </c>
      <c r="DD243" s="32">
        <f>[2]底表!EQ243</f>
        <v>1.8</v>
      </c>
      <c r="DE243" s="32">
        <f>[2]底表!ER243</f>
        <v>12</v>
      </c>
      <c r="DF243" s="32">
        <f>[2]底表!ES243</f>
        <v>16</v>
      </c>
      <c r="DG243" s="23">
        <f>[2]底表!ET243</f>
        <v>-0.25</v>
      </c>
      <c r="DH243" s="32">
        <f>[2]底表!EU243</f>
        <v>30</v>
      </c>
      <c r="DI243" s="32">
        <f>[2]底表!EV243</f>
        <v>-0.6</v>
      </c>
      <c r="DJ243" s="32">
        <f>[2]底表!EW243</f>
        <v>0.6667</v>
      </c>
      <c r="DK243" s="32">
        <f>[2]底表!EX243</f>
        <v>-1.3333</v>
      </c>
      <c r="DL243" s="32">
        <f>[2]底表!EY243</f>
        <v>80</v>
      </c>
      <c r="DM243" s="32">
        <f>[2]底表!EZ243</f>
        <v>-149</v>
      </c>
      <c r="DN243" s="32">
        <f>[2]底表!FA243</f>
        <v>-0.65</v>
      </c>
      <c r="DO243" s="32">
        <f>[2]底表!BQ243</f>
        <v>7</v>
      </c>
      <c r="DP243" s="32">
        <f>[2]底表!BR243</f>
        <v>7</v>
      </c>
      <c r="DQ243" s="24">
        <f>[2]底表!BS243</f>
        <v>0</v>
      </c>
    </row>
    <row r="244" hidden="1" spans="1:121">
      <c r="A244" s="1" t="str">
        <f>[2]底表!A244</f>
        <v>经济</v>
      </c>
      <c r="B244" s="1" t="str">
        <f>[2]底表!B244</f>
        <v>云城区</v>
      </c>
      <c r="C244" s="1">
        <f>[2]底表!AM244</f>
        <v>2</v>
      </c>
      <c r="D244" s="1">
        <f>[2]底表!AN244</f>
        <v>0</v>
      </c>
      <c r="E244" s="3" t="str">
        <f>[2]底表!AO244</f>
        <v>多2起</v>
      </c>
      <c r="F244" s="1">
        <f>[2]底表!AP244</f>
        <v>3</v>
      </c>
      <c r="G244" s="1">
        <f>[2]底表!AQ244</f>
        <v>-0.3333</v>
      </c>
      <c r="H244" s="1">
        <f>[2]底表!AR244</f>
        <v>1</v>
      </c>
      <c r="I244" s="1">
        <f>[2]底表!AS244</f>
        <v>1</v>
      </c>
      <c r="J244" s="1">
        <f>[2]底表!AT244</f>
        <v>2</v>
      </c>
      <c r="K244" s="1">
        <f>[2]底表!AU244</f>
        <v>0</v>
      </c>
      <c r="L244" s="1" t="str">
        <f>[2]底表!AV244</f>
        <v>多2起</v>
      </c>
      <c r="M244" s="1">
        <f>[2]底表!AW244</f>
        <v>2</v>
      </c>
      <c r="N244" s="1">
        <f>[2]底表!AX244</f>
        <v>0</v>
      </c>
      <c r="O244" s="1">
        <f>[2]底表!AY244</f>
        <v>0</v>
      </c>
      <c r="P244" s="1">
        <f>[2]底表!AZ244</f>
        <v>0</v>
      </c>
      <c r="Q244" s="1" t="str">
        <f>[2]底表!BA244</f>
        <v>持平</v>
      </c>
      <c r="R244" s="1">
        <f>[2]底表!BB244</f>
        <v>1</v>
      </c>
      <c r="S244" s="1" t="str">
        <f>[2]底表!BC244</f>
        <v>少1起</v>
      </c>
      <c r="T244" s="1">
        <f>[2]底表!BD244</f>
        <v>0</v>
      </c>
      <c r="U244" s="1" t="str">
        <f>[2]底表!BE244</f>
        <v/>
      </c>
      <c r="V244" s="1">
        <f>[2]底表!BF244</f>
        <v>0</v>
      </c>
      <c r="W244" s="1">
        <f>[2]底表!BG244</f>
        <v>1</v>
      </c>
      <c r="X244" s="1" t="str">
        <f>[2]底表!BH244</f>
        <v>少1起</v>
      </c>
      <c r="Y244" s="1">
        <f>[2]底表!BI244</f>
        <v>0</v>
      </c>
      <c r="Z244" s="1" t="str">
        <f>[2]底表!BJ244</f>
        <v>持平</v>
      </c>
      <c r="AA244" s="1">
        <f>[2]底表!BK244</f>
        <v>0</v>
      </c>
      <c r="AB244" s="1">
        <f>[2]底表!BL244</f>
        <v>2</v>
      </c>
      <c r="AC244" s="1">
        <f>[2]底表!BM244</f>
        <v>0</v>
      </c>
      <c r="AD244" s="1" t="str">
        <f>[2]底表!BN244</f>
        <v>多2起</v>
      </c>
      <c r="AE244" s="1">
        <f>[2]底表!BO244</f>
        <v>2</v>
      </c>
      <c r="AF244" s="1">
        <f>[2]底表!BP244</f>
        <v>0</v>
      </c>
      <c r="AG244" s="1">
        <f>[2]底表!BT244</f>
        <v>1</v>
      </c>
      <c r="AH244" s="1" t="str">
        <f>[2]底表!BU244</f>
        <v>少1起</v>
      </c>
      <c r="AI244" s="1">
        <f>[2]底表!BV244</f>
        <v>0</v>
      </c>
      <c r="AJ244" s="1">
        <f>[2]底表!BW244</f>
        <v>-1</v>
      </c>
      <c r="AK244" s="1">
        <f>[2]底表!BX244</f>
        <v>0</v>
      </c>
      <c r="AL244" s="1" t="str">
        <f>[2]底表!BY244</f>
        <v/>
      </c>
      <c r="AM244" s="1">
        <f>[2]底表!BZ244</f>
        <v>0</v>
      </c>
      <c r="AN244" s="1">
        <f>[2]底表!CA244</f>
        <v>0</v>
      </c>
      <c r="AO244" s="1" t="str">
        <f>[2]底表!CB244</f>
        <v>持平</v>
      </c>
      <c r="AP244" s="1">
        <f>[2]底表!CC244</f>
        <v>0</v>
      </c>
      <c r="AQ244" s="1" t="str">
        <f>[2]底表!CD244</f>
        <v>持平</v>
      </c>
      <c r="AR244" s="1" t="str">
        <f>[2]底表!CE244</f>
        <v/>
      </c>
      <c r="AS244" s="1" t="str">
        <f>[2]底表!CF244</f>
        <v/>
      </c>
      <c r="AT244" s="1">
        <f>[2]底表!CG244</f>
        <v>1</v>
      </c>
      <c r="AU244" s="1">
        <f>[2]底表!CH244</f>
        <v>0</v>
      </c>
      <c r="AV244" s="1" t="str">
        <f>[2]底表!CI244</f>
        <v>多1人</v>
      </c>
      <c r="AW244" s="1">
        <f>[2]底表!CJ244</f>
        <v>20</v>
      </c>
      <c r="AX244" s="1">
        <f>[2]底表!CK244</f>
        <v>-0.95</v>
      </c>
      <c r="AY244" s="1">
        <f>[2]底表!CL244</f>
        <v>50</v>
      </c>
      <c r="AZ244" s="1">
        <f>[2]底表!CM244</f>
        <v>50</v>
      </c>
      <c r="BA244" s="1" t="str">
        <f>[2]底表!CN244</f>
        <v/>
      </c>
      <c r="BB244" s="1">
        <f>[2]底表!CO244</f>
        <v>0</v>
      </c>
      <c r="BC244" s="1">
        <f>[2]底表!CP244</f>
        <v>0</v>
      </c>
      <c r="BD244" s="1" t="str">
        <f>[2]底表!CQ244</f>
        <v>持平</v>
      </c>
      <c r="BE244" s="1">
        <f>[2]底表!CR244</f>
        <v>2</v>
      </c>
      <c r="BF244" s="1" t="str">
        <f>[2]底表!CS244</f>
        <v>少2人</v>
      </c>
      <c r="BG244" s="1">
        <f>[2]底表!CT244</f>
        <v>0</v>
      </c>
      <c r="BH244" s="1" t="str">
        <f>[2]底表!CU244</f>
        <v/>
      </c>
      <c r="BI244" s="1">
        <f>[2]底表!CV244</f>
        <v>0</v>
      </c>
      <c r="BJ244" s="1">
        <f>[2]底表!CW244</f>
        <v>0</v>
      </c>
      <c r="BK244" s="1" t="str">
        <f>[2]底表!CX244</f>
        <v/>
      </c>
      <c r="BL244" s="1">
        <f>[2]底表!CY244</f>
        <v>0</v>
      </c>
      <c r="BM244" s="1">
        <f>[2]底表!CZ244</f>
        <v>0</v>
      </c>
      <c r="BN244" s="3" t="str">
        <f>[2]底表!DA244</f>
        <v>持平</v>
      </c>
      <c r="BO244" s="1">
        <f>[2]底表!DB244</f>
        <v>2</v>
      </c>
      <c r="BP244" s="1" t="str">
        <f>[2]底表!DC244</f>
        <v>少2人</v>
      </c>
      <c r="BQ244" s="1">
        <f>[2]底表!DD244</f>
        <v>0</v>
      </c>
      <c r="BR244" s="1" t="str">
        <f>[2]底表!DE244</f>
        <v/>
      </c>
      <c r="BS244" s="1">
        <f>[2]底表!DF244</f>
        <v>0</v>
      </c>
      <c r="BT244" s="1">
        <f>[2]底表!DG244</f>
        <v>0</v>
      </c>
      <c r="BU244" s="1" t="str">
        <f>[2]底表!DH244</f>
        <v/>
      </c>
      <c r="BV244" s="1">
        <f>[2]底表!DI244</f>
        <v>0</v>
      </c>
      <c r="BW244" s="1">
        <f>[2]底表!DJ244</f>
        <v>0</v>
      </c>
      <c r="BX244" s="3" t="str">
        <f>[2]底表!DK244</f>
        <v>持平</v>
      </c>
      <c r="BY244" s="1">
        <f>[2]底表!DL244</f>
        <v>0</v>
      </c>
      <c r="BZ244" s="1" t="str">
        <f>[2]底表!DM244</f>
        <v>持平</v>
      </c>
      <c r="CA244" s="1">
        <f>[2]底表!DN244</f>
        <v>3</v>
      </c>
      <c r="CB244" s="1">
        <f>[2]底表!DO244</f>
        <v>0</v>
      </c>
      <c r="CC244" s="1" t="str">
        <f>[2]底表!DP244</f>
        <v>多3人</v>
      </c>
      <c r="CD244" s="1">
        <f>[2]底表!DQ244</f>
        <v>2</v>
      </c>
      <c r="CE244" s="1">
        <f>[2]底表!DR244</f>
        <v>0.5</v>
      </c>
      <c r="CF244" s="1">
        <f>[2]底表!DS244</f>
        <v>3</v>
      </c>
      <c r="CG244" s="1">
        <f>[2]底表!DT244</f>
        <v>0</v>
      </c>
      <c r="CH244" s="1" t="str">
        <f>[2]底表!DU244</f>
        <v>多3人</v>
      </c>
      <c r="CI244" s="1">
        <f>[2]底表!DV244</f>
        <v>2</v>
      </c>
      <c r="CJ244" s="1">
        <f>[2]底表!DW244</f>
        <v>0.5</v>
      </c>
      <c r="CK244" s="1">
        <f>[2]底表!DX244</f>
        <v>18</v>
      </c>
      <c r="CL244" s="1">
        <f>[2]底表!DY244</f>
        <v>1</v>
      </c>
      <c r="CM244" s="1">
        <f>[2]底表!DZ244</f>
        <v>17</v>
      </c>
      <c r="CN244" s="1">
        <f>[2]底表!EA244</f>
        <v>1</v>
      </c>
      <c r="CO244" s="1">
        <f>[2]底表!EB244</f>
        <v>17</v>
      </c>
      <c r="CP244" s="1">
        <f>[2]底表!EC244</f>
        <v>16</v>
      </c>
      <c r="CQ244" s="1">
        <f>[2]底表!ED244</f>
        <v>1</v>
      </c>
      <c r="CR244" s="1">
        <f>[2]底表!EE244</f>
        <v>15</v>
      </c>
      <c r="CS244" s="1">
        <f>[2]底表!EF244</f>
        <v>0</v>
      </c>
      <c r="CT244" s="1" t="str">
        <f>[2]底表!EG244</f>
        <v>多16人</v>
      </c>
      <c r="CU244" s="1" t="str">
        <f>[2]底表!EH244</f>
        <v/>
      </c>
      <c r="CV244" s="1" t="str">
        <f>[2]底表!EI244</f>
        <v/>
      </c>
      <c r="CW244" s="1">
        <f>[2]底表!EJ244</f>
        <v>800</v>
      </c>
      <c r="CX244" s="1">
        <f>[2]底表!EK244</f>
        <v>700</v>
      </c>
      <c r="CY244" s="1">
        <f>[2]底表!EL244</f>
        <v>7</v>
      </c>
      <c r="CZ244" s="1">
        <f>[2]底表!EM244</f>
        <v>17</v>
      </c>
      <c r="DA244" s="1">
        <f>[2]底表!EN244</f>
        <v>1</v>
      </c>
      <c r="DB244" s="1">
        <f>[2]底表!EO244</f>
        <v>16</v>
      </c>
      <c r="DC244" s="1">
        <f>[2]底表!EP244</f>
        <v>0</v>
      </c>
      <c r="DD244" s="1" t="str">
        <f>[2]底表!EQ244</f>
        <v>多17人</v>
      </c>
      <c r="DE244" s="1">
        <f>[2]底表!ER244</f>
        <v>0</v>
      </c>
      <c r="DF244" s="1">
        <f>[2]底表!ES244</f>
        <v>2</v>
      </c>
      <c r="DG244" s="3" t="str">
        <f>[2]底表!ET244</f>
        <v>少2人</v>
      </c>
      <c r="DH244" s="1">
        <f>[2]底表!EU244</f>
        <v>2</v>
      </c>
      <c r="DI244" s="1" t="str">
        <f>[2]底表!EV244</f>
        <v>少2人</v>
      </c>
      <c r="DJ244" s="1" t="str">
        <f>[2]底表!EW244</f>
        <v/>
      </c>
      <c r="DK244" s="1" t="str">
        <f>[2]底表!EX244</f>
        <v/>
      </c>
      <c r="DL244" s="1">
        <f>[2]底表!EY244</f>
        <v>0</v>
      </c>
      <c r="DM244" s="1">
        <f>[2]底表!EZ244</f>
        <v>-200</v>
      </c>
      <c r="DN244" s="1">
        <f>[2]底表!FA244</f>
        <v>-1</v>
      </c>
      <c r="DO244" s="1">
        <f>[2]底表!BQ244</f>
        <v>0</v>
      </c>
      <c r="DP244" s="1">
        <f>[2]底表!BR244</f>
        <v>1</v>
      </c>
      <c r="DQ244" s="3" t="str">
        <f>[2]底表!BS244</f>
        <v>少1起</v>
      </c>
    </row>
    <row r="245" hidden="1" spans="1:121">
      <c r="A245" s="1" t="str">
        <f>[2]底表!A245</f>
        <v>经济</v>
      </c>
      <c r="B245" s="1" t="str">
        <f>[2]底表!B245</f>
        <v>云安区</v>
      </c>
      <c r="C245" s="1">
        <f>[2]底表!AM245</f>
        <v>3</v>
      </c>
      <c r="D245" s="1">
        <f>[2]底表!AN245</f>
        <v>2</v>
      </c>
      <c r="E245" s="3">
        <f>[2]底表!AO245</f>
        <v>0.5</v>
      </c>
      <c r="F245" s="1">
        <f>[2]底表!AP245</f>
        <v>2</v>
      </c>
      <c r="G245" s="1">
        <f>[2]底表!AQ245</f>
        <v>0.5</v>
      </c>
      <c r="H245" s="1">
        <f>[2]底表!AR245</f>
        <v>0.75</v>
      </c>
      <c r="I245" s="1">
        <f>[2]底表!AS245</f>
        <v>0.0833</v>
      </c>
      <c r="J245" s="1">
        <f>[2]底表!AT245</f>
        <v>2</v>
      </c>
      <c r="K245" s="1">
        <f>[2]底表!AU245</f>
        <v>2</v>
      </c>
      <c r="L245" s="1">
        <f>[2]底表!AV245</f>
        <v>0</v>
      </c>
      <c r="M245" s="1">
        <f>[2]底表!AW245</f>
        <v>0</v>
      </c>
      <c r="N245" s="1" t="str">
        <f>[2]底表!AX245</f>
        <v>多2起</v>
      </c>
      <c r="O245" s="1">
        <f>[2]底表!AY245</f>
        <v>2</v>
      </c>
      <c r="P245" s="1">
        <f>[2]底表!AZ245</f>
        <v>1</v>
      </c>
      <c r="Q245" s="1">
        <f>[2]底表!BA245</f>
        <v>1</v>
      </c>
      <c r="R245" s="1">
        <f>[2]底表!BB245</f>
        <v>0</v>
      </c>
      <c r="S245" s="1" t="str">
        <f>[2]底表!BC245</f>
        <v>多2起</v>
      </c>
      <c r="T245" s="1">
        <f>[2]底表!BD245</f>
        <v>1</v>
      </c>
      <c r="U245" s="1">
        <f>[2]底表!BE245</f>
        <v>0.5</v>
      </c>
      <c r="V245" s="1">
        <f>[2]底表!BF245</f>
        <v>2</v>
      </c>
      <c r="W245" s="1">
        <f>[2]底表!BG245</f>
        <v>1</v>
      </c>
      <c r="X245" s="1">
        <f>[2]底表!BH245</f>
        <v>1</v>
      </c>
      <c r="Y245" s="1">
        <f>[2]底表!BI245</f>
        <v>0</v>
      </c>
      <c r="Z245" s="1" t="str">
        <f>[2]底表!BJ245</f>
        <v>多2起</v>
      </c>
      <c r="AA245" s="1">
        <f>[2]底表!BK245</f>
        <v>0.5</v>
      </c>
      <c r="AB245" s="1">
        <f>[2]底表!BL245</f>
        <v>1</v>
      </c>
      <c r="AC245" s="1">
        <f>[2]底表!BM245</f>
        <v>1</v>
      </c>
      <c r="AD245" s="1">
        <f>[2]底表!BN245</f>
        <v>0</v>
      </c>
      <c r="AE245" s="1">
        <f>[2]底表!BO245</f>
        <v>2</v>
      </c>
      <c r="AF245" s="1">
        <f>[2]底表!BP245</f>
        <v>-0.5</v>
      </c>
      <c r="AG245" s="1">
        <f>[2]底表!BT245</f>
        <v>4</v>
      </c>
      <c r="AH245" s="1">
        <f>[2]底表!BU245</f>
        <v>-0.75</v>
      </c>
      <c r="AI245" s="1">
        <f>[2]底表!BV245</f>
        <v>0.25</v>
      </c>
      <c r="AJ245" s="1">
        <f>[2]底表!BW245</f>
        <v>-0.0833</v>
      </c>
      <c r="AK245" s="1">
        <f>[2]底表!BX245</f>
        <v>0.5</v>
      </c>
      <c r="AL245" s="1">
        <f>[2]底表!BY245</f>
        <v>0</v>
      </c>
      <c r="AM245" s="1">
        <f>[2]底表!BZ245</f>
        <v>0</v>
      </c>
      <c r="AN245" s="1">
        <f>[2]底表!CA245</f>
        <v>0</v>
      </c>
      <c r="AO245" s="1" t="str">
        <f>[2]底表!CB245</f>
        <v>持平</v>
      </c>
      <c r="AP245" s="1">
        <f>[2]底表!CC245</f>
        <v>0</v>
      </c>
      <c r="AQ245" s="1" t="str">
        <f>[2]底表!CD245</f>
        <v>持平</v>
      </c>
      <c r="AR245" s="1" t="str">
        <f>[2]底表!CE245</f>
        <v/>
      </c>
      <c r="AS245" s="1" t="str">
        <f>[2]底表!CF245</f>
        <v/>
      </c>
      <c r="AT245" s="1">
        <f>[2]底表!CG245</f>
        <v>7</v>
      </c>
      <c r="AU245" s="1">
        <f>[2]底表!CH245</f>
        <v>4</v>
      </c>
      <c r="AV245" s="1">
        <f>[2]底表!CI245</f>
        <v>0.75</v>
      </c>
      <c r="AW245" s="1">
        <f>[2]底表!CJ245</f>
        <v>5</v>
      </c>
      <c r="AX245" s="1">
        <f>[2]底表!CK245</f>
        <v>0.4</v>
      </c>
      <c r="AY245" s="1">
        <f>[2]底表!CL245</f>
        <v>175</v>
      </c>
      <c r="AZ245" s="1">
        <f>[2]底表!CM245</f>
        <v>42</v>
      </c>
      <c r="BA245" s="1">
        <f>[2]底表!CN245</f>
        <v>0.3125</v>
      </c>
      <c r="BB245" s="1">
        <f>[2]底表!CO245</f>
        <v>8</v>
      </c>
      <c r="BC245" s="1">
        <f>[2]底表!CP245</f>
        <v>5</v>
      </c>
      <c r="BD245" s="1">
        <f>[2]底表!CQ245</f>
        <v>0.6</v>
      </c>
      <c r="BE245" s="1">
        <f>[2]底表!CR245</f>
        <v>3</v>
      </c>
      <c r="BF245" s="1">
        <f>[2]底表!CS245</f>
        <v>1.6667</v>
      </c>
      <c r="BG245" s="1">
        <f>[2]底表!CT245</f>
        <v>1.1429</v>
      </c>
      <c r="BH245" s="1">
        <f>[2]底表!CU245</f>
        <v>-0.1071</v>
      </c>
      <c r="BI245" s="1">
        <f>[2]底表!CV245</f>
        <v>200</v>
      </c>
      <c r="BJ245" s="1">
        <f>[2]底表!CW245</f>
        <v>33</v>
      </c>
      <c r="BK245" s="1">
        <f>[2]底表!CX245</f>
        <v>0.2</v>
      </c>
      <c r="BL245" s="1">
        <f>[2]底表!CY245</f>
        <v>8</v>
      </c>
      <c r="BM245" s="1">
        <f>[2]底表!CZ245</f>
        <v>5</v>
      </c>
      <c r="BN245" s="3">
        <f>[2]底表!DA245</f>
        <v>0.6</v>
      </c>
      <c r="BO245" s="1">
        <f>[2]底表!DB245</f>
        <v>3</v>
      </c>
      <c r="BP245" s="1">
        <f>[2]底表!DC245</f>
        <v>1.6667</v>
      </c>
      <c r="BQ245" s="1">
        <f>[2]底表!DD245</f>
        <v>1.1429</v>
      </c>
      <c r="BR245" s="1">
        <f>[2]底表!DE245</f>
        <v>-0.1071</v>
      </c>
      <c r="BS245" s="1">
        <f>[2]底表!DF245</f>
        <v>200</v>
      </c>
      <c r="BT245" s="1">
        <f>[2]底表!DG245</f>
        <v>33</v>
      </c>
      <c r="BU245" s="1">
        <f>[2]底表!DH245</f>
        <v>0.2</v>
      </c>
      <c r="BV245" s="1">
        <f>[2]底表!DI245</f>
        <v>0</v>
      </c>
      <c r="BW245" s="1">
        <f>[2]底表!DJ245</f>
        <v>0</v>
      </c>
      <c r="BX245" s="3" t="str">
        <f>[2]底表!DK245</f>
        <v>持平</v>
      </c>
      <c r="BY245" s="1">
        <f>[2]底表!DL245</f>
        <v>0</v>
      </c>
      <c r="BZ245" s="1" t="str">
        <f>[2]底表!DM245</f>
        <v>持平</v>
      </c>
      <c r="CA245" s="1">
        <f>[2]底表!DN245</f>
        <v>0</v>
      </c>
      <c r="CB245" s="1">
        <f>[2]底表!DO245</f>
        <v>2</v>
      </c>
      <c r="CC245" s="1" t="str">
        <f>[2]底表!DP245</f>
        <v>少2人</v>
      </c>
      <c r="CD245" s="1">
        <f>[2]底表!DQ245</f>
        <v>1</v>
      </c>
      <c r="CE245" s="1" t="str">
        <f>[2]底表!DR245</f>
        <v>少1人</v>
      </c>
      <c r="CF245" s="1">
        <f>[2]底表!DS245</f>
        <v>0</v>
      </c>
      <c r="CG245" s="1">
        <f>[2]底表!DT245</f>
        <v>2</v>
      </c>
      <c r="CH245" s="1" t="str">
        <f>[2]底表!DU245</f>
        <v>少2人</v>
      </c>
      <c r="CI245" s="1">
        <f>[2]底表!DV245</f>
        <v>1</v>
      </c>
      <c r="CJ245" s="1" t="str">
        <f>[2]底表!DW245</f>
        <v>少1人</v>
      </c>
      <c r="CK245" s="1">
        <f>[2]底表!DX245</f>
        <v>4</v>
      </c>
      <c r="CL245" s="1">
        <f>[2]底表!DY245</f>
        <v>5</v>
      </c>
      <c r="CM245" s="1">
        <f>[2]底表!DZ245</f>
        <v>-0.2</v>
      </c>
      <c r="CN245" s="1">
        <f>[2]底表!EA245</f>
        <v>3</v>
      </c>
      <c r="CO245" s="1">
        <f>[2]底表!EB245</f>
        <v>0.3333</v>
      </c>
      <c r="CP245" s="1">
        <f>[2]底表!EC245</f>
        <v>4</v>
      </c>
      <c r="CQ245" s="1">
        <f>[2]底表!ED245</f>
        <v>4</v>
      </c>
      <c r="CR245" s="1">
        <f>[2]底表!EE245</f>
        <v>0</v>
      </c>
      <c r="CS245" s="1">
        <f>[2]底表!EF245</f>
        <v>1</v>
      </c>
      <c r="CT245" s="1">
        <f>[2]底表!EG245</f>
        <v>3</v>
      </c>
      <c r="CU245" s="1">
        <f>[2]底表!EH245</f>
        <v>0.5</v>
      </c>
      <c r="CV245" s="1">
        <f>[2]底表!EI245</f>
        <v>-0.3</v>
      </c>
      <c r="CW245" s="1">
        <f>[2]底表!EJ245</f>
        <v>100</v>
      </c>
      <c r="CX245" s="1">
        <f>[2]底表!EK245</f>
        <v>-33</v>
      </c>
      <c r="CY245" s="1">
        <f>[2]底表!EL245</f>
        <v>-0.25</v>
      </c>
      <c r="CZ245" s="1">
        <f>[2]底表!EM245</f>
        <v>4</v>
      </c>
      <c r="DA245" s="1">
        <f>[2]底表!EN245</f>
        <v>4</v>
      </c>
      <c r="DB245" s="1">
        <f>[2]底表!EO245</f>
        <v>0</v>
      </c>
      <c r="DC245" s="1">
        <f>[2]底表!EP245</f>
        <v>1</v>
      </c>
      <c r="DD245" s="1">
        <f>[2]底表!EQ245</f>
        <v>3</v>
      </c>
      <c r="DE245" s="1">
        <f>[2]底表!ER245</f>
        <v>3</v>
      </c>
      <c r="DF245" s="1">
        <f>[2]底表!ES245</f>
        <v>2</v>
      </c>
      <c r="DG245" s="3">
        <f>[2]底表!ET245</f>
        <v>0.5</v>
      </c>
      <c r="DH245" s="1">
        <f>[2]底表!EU245</f>
        <v>6</v>
      </c>
      <c r="DI245" s="1">
        <f>[2]底表!EV245</f>
        <v>-0.5</v>
      </c>
      <c r="DJ245" s="1">
        <f>[2]底表!EW245</f>
        <v>0.375</v>
      </c>
      <c r="DK245" s="1">
        <f>[2]底表!EX245</f>
        <v>-0.025</v>
      </c>
      <c r="DL245" s="1">
        <f>[2]底表!EY245</f>
        <v>75</v>
      </c>
      <c r="DM245" s="1">
        <f>[2]底表!EZ245</f>
        <v>8</v>
      </c>
      <c r="DN245" s="1">
        <f>[2]底表!FA245</f>
        <v>0.125</v>
      </c>
      <c r="DO245" s="1">
        <f>[2]底表!BQ245</f>
        <v>1</v>
      </c>
      <c r="DP245" s="1">
        <f>[2]底表!BR245</f>
        <v>1</v>
      </c>
      <c r="DQ245" s="3">
        <f>[2]底表!BS245</f>
        <v>0</v>
      </c>
    </row>
    <row r="246" hidden="1" spans="1:121">
      <c r="A246" s="1" t="str">
        <f>[2]底表!A246</f>
        <v>经济</v>
      </c>
      <c r="B246" s="1" t="str">
        <f>[2]底表!B246</f>
        <v>新兴县</v>
      </c>
      <c r="C246" s="1">
        <f>[2]底表!AM246</f>
        <v>3</v>
      </c>
      <c r="D246" s="1">
        <f>[2]底表!AN246</f>
        <v>0</v>
      </c>
      <c r="E246" s="3" t="str">
        <f>[2]底表!AO246</f>
        <v>多3起</v>
      </c>
      <c r="F246" s="1">
        <f>[2]底表!AP246</f>
        <v>2</v>
      </c>
      <c r="G246" s="1">
        <f>[2]底表!AQ246</f>
        <v>0.5</v>
      </c>
      <c r="H246" s="1">
        <f>[2]底表!AR246</f>
        <v>1</v>
      </c>
      <c r="I246" s="1">
        <f>[2]底表!AS246</f>
        <v>1</v>
      </c>
      <c r="J246" s="1">
        <f>[2]底表!AT246</f>
        <v>1</v>
      </c>
      <c r="K246" s="1">
        <f>[2]底表!AU246</f>
        <v>0</v>
      </c>
      <c r="L246" s="1" t="str">
        <f>[2]底表!AV246</f>
        <v>多1起</v>
      </c>
      <c r="M246" s="1">
        <f>[2]底表!AW246</f>
        <v>4</v>
      </c>
      <c r="N246" s="1">
        <f>[2]底表!AX246</f>
        <v>-0.75</v>
      </c>
      <c r="O246" s="1">
        <f>[2]底表!AY246</f>
        <v>1</v>
      </c>
      <c r="P246" s="1">
        <f>[2]底表!AZ246</f>
        <v>0</v>
      </c>
      <c r="Q246" s="1" t="str">
        <f>[2]底表!BA246</f>
        <v>多1起</v>
      </c>
      <c r="R246" s="1">
        <f>[2]底表!BB246</f>
        <v>0</v>
      </c>
      <c r="S246" s="1" t="str">
        <f>[2]底表!BC246</f>
        <v>多1起</v>
      </c>
      <c r="T246" s="1">
        <f>[2]底表!BD246</f>
        <v>1</v>
      </c>
      <c r="U246" s="1" t="str">
        <f>[2]底表!BE246</f>
        <v/>
      </c>
      <c r="V246" s="1">
        <f>[2]底表!BF246</f>
        <v>2</v>
      </c>
      <c r="W246" s="1">
        <f>[2]底表!BG246</f>
        <v>1</v>
      </c>
      <c r="X246" s="1">
        <f>[2]底表!BH246</f>
        <v>1</v>
      </c>
      <c r="Y246" s="1">
        <f>[2]底表!BI246</f>
        <v>1</v>
      </c>
      <c r="Z246" s="1">
        <f>[2]底表!BJ246</f>
        <v>1</v>
      </c>
      <c r="AA246" s="1">
        <f>[2]底表!BK246</f>
        <v>0.6667</v>
      </c>
      <c r="AB246" s="1">
        <f>[2]底表!BL246</f>
        <v>2</v>
      </c>
      <c r="AC246" s="1">
        <f>[2]底表!BM246</f>
        <v>0</v>
      </c>
      <c r="AD246" s="1" t="str">
        <f>[2]底表!BN246</f>
        <v>多2起</v>
      </c>
      <c r="AE246" s="1">
        <f>[2]底表!BO246</f>
        <v>2</v>
      </c>
      <c r="AF246" s="1">
        <f>[2]底表!BP246</f>
        <v>0</v>
      </c>
      <c r="AG246" s="1">
        <f>[2]底表!BT246</f>
        <v>0</v>
      </c>
      <c r="AH246" s="1" t="str">
        <f>[2]底表!BU246</f>
        <v>多1起</v>
      </c>
      <c r="AI246" s="1">
        <f>[2]底表!BV246</f>
        <v>0.3333</v>
      </c>
      <c r="AJ246" s="1">
        <f>[2]底表!BW246</f>
        <v>0.3333</v>
      </c>
      <c r="AK246" s="1">
        <f>[2]底表!BX246</f>
        <v>1</v>
      </c>
      <c r="AL246" s="1" t="str">
        <f>[2]底表!BY246</f>
        <v/>
      </c>
      <c r="AM246" s="1">
        <f>[2]底表!BZ246</f>
        <v>0</v>
      </c>
      <c r="AN246" s="1">
        <f>[2]底表!CA246</f>
        <v>0</v>
      </c>
      <c r="AO246" s="1" t="str">
        <f>[2]底表!CB246</f>
        <v>持平</v>
      </c>
      <c r="AP246" s="1">
        <f>[2]底表!CC246</f>
        <v>0</v>
      </c>
      <c r="AQ246" s="1" t="str">
        <f>[2]底表!CD246</f>
        <v>持平</v>
      </c>
      <c r="AR246" s="1" t="str">
        <f>[2]底表!CE246</f>
        <v/>
      </c>
      <c r="AS246" s="1" t="str">
        <f>[2]底表!CF246</f>
        <v/>
      </c>
      <c r="AT246" s="1">
        <f>[2]底表!CG246</f>
        <v>3</v>
      </c>
      <c r="AU246" s="1">
        <f>[2]底表!CH246</f>
        <v>2</v>
      </c>
      <c r="AV246" s="1">
        <f>[2]底表!CI246</f>
        <v>0.5</v>
      </c>
      <c r="AW246" s="1">
        <f>[2]底表!CJ246</f>
        <v>2</v>
      </c>
      <c r="AX246" s="1">
        <f>[2]底表!CK246</f>
        <v>0.5</v>
      </c>
      <c r="AY246" s="1">
        <f>[2]底表!CL246</f>
        <v>100</v>
      </c>
      <c r="AZ246" s="1">
        <f>[2]底表!CM246</f>
        <v>-100</v>
      </c>
      <c r="BA246" s="1">
        <f>[2]底表!CN246</f>
        <v>-0.5</v>
      </c>
      <c r="BB246" s="1">
        <f>[2]底表!CO246</f>
        <v>1</v>
      </c>
      <c r="BC246" s="1">
        <f>[2]底表!CP246</f>
        <v>2</v>
      </c>
      <c r="BD246" s="1">
        <f>[2]底表!CQ246</f>
        <v>-0.5</v>
      </c>
      <c r="BE246" s="1">
        <f>[2]底表!CR246</f>
        <v>0</v>
      </c>
      <c r="BF246" s="1" t="str">
        <f>[2]底表!CS246</f>
        <v>多1人</v>
      </c>
      <c r="BG246" s="1">
        <f>[2]底表!CT246</f>
        <v>0.3333</v>
      </c>
      <c r="BH246" s="1">
        <f>[2]底表!CU246</f>
        <v>-0.6667</v>
      </c>
      <c r="BI246" s="1">
        <f>[2]底表!CV246</f>
        <v>33</v>
      </c>
      <c r="BJ246" s="1">
        <f>[2]底表!CW246</f>
        <v>-167</v>
      </c>
      <c r="BK246" s="1">
        <f>[2]底表!CX246</f>
        <v>-0.8333</v>
      </c>
      <c r="BL246" s="1">
        <f>[2]底表!CY246</f>
        <v>1</v>
      </c>
      <c r="BM246" s="1">
        <f>[2]底表!CZ246</f>
        <v>2</v>
      </c>
      <c r="BN246" s="3">
        <f>[2]底表!DA246</f>
        <v>-0.5</v>
      </c>
      <c r="BO246" s="1">
        <f>[2]底表!DB246</f>
        <v>0</v>
      </c>
      <c r="BP246" s="1" t="str">
        <f>[2]底表!DC246</f>
        <v>多1人</v>
      </c>
      <c r="BQ246" s="1">
        <f>[2]底表!DD246</f>
        <v>0.3333</v>
      </c>
      <c r="BR246" s="1">
        <f>[2]底表!DE246</f>
        <v>-0.6667</v>
      </c>
      <c r="BS246" s="1">
        <f>[2]底表!DF246</f>
        <v>33</v>
      </c>
      <c r="BT246" s="1">
        <f>[2]底表!DG246</f>
        <v>-167</v>
      </c>
      <c r="BU246" s="1">
        <f>[2]底表!DH246</f>
        <v>-0.8333</v>
      </c>
      <c r="BV246" s="1">
        <f>[2]底表!DI246</f>
        <v>1</v>
      </c>
      <c r="BW246" s="1">
        <f>[2]底表!DJ246</f>
        <v>3</v>
      </c>
      <c r="BX246" s="3">
        <f>[2]底表!DK246</f>
        <v>-0.6667</v>
      </c>
      <c r="BY246" s="1">
        <f>[2]底表!DL246</f>
        <v>0</v>
      </c>
      <c r="BZ246" s="1" t="str">
        <f>[2]底表!DM246</f>
        <v>多1人</v>
      </c>
      <c r="CA246" s="1">
        <f>[2]底表!DN246</f>
        <v>4</v>
      </c>
      <c r="CB246" s="1">
        <f>[2]底表!DO246</f>
        <v>0</v>
      </c>
      <c r="CC246" s="1" t="str">
        <f>[2]底表!DP246</f>
        <v>多4人</v>
      </c>
      <c r="CD246" s="1">
        <f>[2]底表!DQ246</f>
        <v>1</v>
      </c>
      <c r="CE246" s="1">
        <f>[2]底表!DR246</f>
        <v>3</v>
      </c>
      <c r="CF246" s="1">
        <f>[2]底表!DS246</f>
        <v>4</v>
      </c>
      <c r="CG246" s="1">
        <f>[2]底表!DT246</f>
        <v>0</v>
      </c>
      <c r="CH246" s="1" t="str">
        <f>[2]底表!DU246</f>
        <v>多4人</v>
      </c>
      <c r="CI246" s="1">
        <f>[2]底表!DV246</f>
        <v>1</v>
      </c>
      <c r="CJ246" s="1">
        <f>[2]底表!DW246</f>
        <v>3</v>
      </c>
      <c r="CK246" s="1">
        <f>[2]底表!DX246</f>
        <v>1</v>
      </c>
      <c r="CL246" s="1">
        <f>[2]底表!DY246</f>
        <v>0</v>
      </c>
      <c r="CM246" s="1" t="str">
        <f>[2]底表!DZ246</f>
        <v>多1人</v>
      </c>
      <c r="CN246" s="1">
        <f>[2]底表!EA246</f>
        <v>0</v>
      </c>
      <c r="CO246" s="1" t="str">
        <f>[2]底表!EB246</f>
        <v>多1人</v>
      </c>
      <c r="CP246" s="1">
        <f>[2]底表!EC246</f>
        <v>0</v>
      </c>
      <c r="CQ246" s="1">
        <f>[2]底表!ED246</f>
        <v>0</v>
      </c>
      <c r="CR246" s="1" t="str">
        <f>[2]底表!EE246</f>
        <v>持平</v>
      </c>
      <c r="CS246" s="1">
        <f>[2]底表!EF246</f>
        <v>0</v>
      </c>
      <c r="CT246" s="1" t="str">
        <f>[2]底表!EG246</f>
        <v>持平</v>
      </c>
      <c r="CU246" s="1">
        <f>[2]底表!EH246</f>
        <v>0</v>
      </c>
      <c r="CV246" s="1">
        <f>[2]底表!EI246</f>
        <v>0</v>
      </c>
      <c r="CW246" s="1">
        <f>[2]底表!EJ246</f>
        <v>0</v>
      </c>
      <c r="CX246" s="1">
        <f>[2]底表!EK246</f>
        <v>0</v>
      </c>
      <c r="CY246" s="1" t="str">
        <f>[2]底表!EL246</f>
        <v/>
      </c>
      <c r="CZ246" s="1">
        <f>[2]底表!EM246</f>
        <v>0</v>
      </c>
      <c r="DA246" s="1">
        <f>[2]底表!EN246</f>
        <v>0</v>
      </c>
      <c r="DB246" s="1" t="str">
        <f>[2]底表!EO246</f>
        <v>持平</v>
      </c>
      <c r="DC246" s="1">
        <f>[2]底表!EP246</f>
        <v>0</v>
      </c>
      <c r="DD246" s="1" t="str">
        <f>[2]底表!EQ246</f>
        <v>持平</v>
      </c>
      <c r="DE246" s="1">
        <f>[2]底表!ER246</f>
        <v>1</v>
      </c>
      <c r="DF246" s="1">
        <f>[2]底表!ES246</f>
        <v>0</v>
      </c>
      <c r="DG246" s="3" t="str">
        <f>[2]底表!ET246</f>
        <v>多1人</v>
      </c>
      <c r="DH246" s="1">
        <f>[2]底表!EU246</f>
        <v>0</v>
      </c>
      <c r="DI246" s="1" t="str">
        <f>[2]底表!EV246</f>
        <v>多1人</v>
      </c>
      <c r="DJ246" s="1">
        <f>[2]底表!EW246</f>
        <v>1</v>
      </c>
      <c r="DK246" s="1">
        <f>[2]底表!EX246</f>
        <v>1</v>
      </c>
      <c r="DL246" s="1">
        <f>[2]底表!EY246</f>
        <v>33</v>
      </c>
      <c r="DM246" s="1">
        <f>[2]底表!EZ246</f>
        <v>33</v>
      </c>
      <c r="DN246" s="1" t="str">
        <f>[2]底表!FA246</f>
        <v/>
      </c>
      <c r="DO246" s="1">
        <f>[2]底表!BQ246</f>
        <v>1</v>
      </c>
      <c r="DP246" s="1">
        <f>[2]底表!BR246</f>
        <v>0</v>
      </c>
      <c r="DQ246" s="3" t="str">
        <f>[2]底表!BS246</f>
        <v>多1起</v>
      </c>
    </row>
    <row r="247" hidden="1" spans="1:121">
      <c r="A247" s="1" t="str">
        <f>[2]底表!A247</f>
        <v>经济</v>
      </c>
      <c r="B247" s="1" t="str">
        <f>[2]底表!B247</f>
        <v>郁南县</v>
      </c>
      <c r="C247" s="1">
        <f>[2]底表!AM247</f>
        <v>3</v>
      </c>
      <c r="D247" s="1">
        <f>[2]底表!AN247</f>
        <v>1</v>
      </c>
      <c r="E247" s="3">
        <f>[2]底表!AO247</f>
        <v>2</v>
      </c>
      <c r="F247" s="1">
        <f>[2]底表!AP247</f>
        <v>3</v>
      </c>
      <c r="G247" s="1">
        <f>[2]底表!AQ247</f>
        <v>0</v>
      </c>
      <c r="H247" s="1">
        <f>[2]底表!AR247</f>
        <v>1.5</v>
      </c>
      <c r="I247" s="1">
        <f>[2]底表!AS247</f>
        <v>0.5</v>
      </c>
      <c r="J247" s="1">
        <f>[2]底表!AT247</f>
        <v>2</v>
      </c>
      <c r="K247" s="1">
        <f>[2]底表!AU247</f>
        <v>0</v>
      </c>
      <c r="L247" s="1" t="str">
        <f>[2]底表!AV247</f>
        <v>多2起</v>
      </c>
      <c r="M247" s="1">
        <f>[2]底表!AW247</f>
        <v>4</v>
      </c>
      <c r="N247" s="1">
        <f>[2]底表!AX247</f>
        <v>-0.5</v>
      </c>
      <c r="O247" s="1">
        <f>[2]底表!AY247</f>
        <v>2</v>
      </c>
      <c r="P247" s="1">
        <f>[2]底表!AZ247</f>
        <v>0</v>
      </c>
      <c r="Q247" s="1" t="str">
        <f>[2]底表!BA247</f>
        <v>多2起</v>
      </c>
      <c r="R247" s="1">
        <f>[2]底表!BB247</f>
        <v>3</v>
      </c>
      <c r="S247" s="1">
        <f>[2]底表!BC247</f>
        <v>-0.3333</v>
      </c>
      <c r="T247" s="1">
        <f>[2]底表!BD247</f>
        <v>1</v>
      </c>
      <c r="U247" s="1" t="str">
        <f>[2]底表!BE247</f>
        <v/>
      </c>
      <c r="V247" s="1">
        <f>[2]底表!BF247</f>
        <v>0</v>
      </c>
      <c r="W247" s="1">
        <f>[2]底表!BG247</f>
        <v>1</v>
      </c>
      <c r="X247" s="1" t="str">
        <f>[2]底表!BH247</f>
        <v>少1起</v>
      </c>
      <c r="Y247" s="1">
        <f>[2]底表!BI247</f>
        <v>1</v>
      </c>
      <c r="Z247" s="1" t="str">
        <f>[2]底表!BJ247</f>
        <v>少1起</v>
      </c>
      <c r="AA247" s="1">
        <f>[2]底表!BK247</f>
        <v>0</v>
      </c>
      <c r="AB247" s="1">
        <f>[2]底表!BL247</f>
        <v>1</v>
      </c>
      <c r="AC247" s="1">
        <f>[2]底表!BM247</f>
        <v>1</v>
      </c>
      <c r="AD247" s="1">
        <f>[2]底表!BN247</f>
        <v>0</v>
      </c>
      <c r="AE247" s="1">
        <f>[2]底表!BO247</f>
        <v>0</v>
      </c>
      <c r="AF247" s="1" t="str">
        <f>[2]底表!BP247</f>
        <v>多1起</v>
      </c>
      <c r="AG247" s="1">
        <f>[2]底表!BT247</f>
        <v>5</v>
      </c>
      <c r="AH247" s="1">
        <f>[2]底表!BU247</f>
        <v>-0.6</v>
      </c>
      <c r="AI247" s="1">
        <f>[2]底表!BV247</f>
        <v>1</v>
      </c>
      <c r="AJ247" s="1">
        <f>[2]底表!BW247</f>
        <v>-1</v>
      </c>
      <c r="AK247" s="1">
        <f>[2]底表!BX247</f>
        <v>1</v>
      </c>
      <c r="AL247" s="1" t="str">
        <f>[2]底表!BY247</f>
        <v/>
      </c>
      <c r="AM247" s="1">
        <f>[2]底表!BZ247</f>
        <v>0</v>
      </c>
      <c r="AN247" s="1">
        <f>[2]底表!CA247</f>
        <v>0</v>
      </c>
      <c r="AO247" s="1" t="str">
        <f>[2]底表!CB247</f>
        <v>持平</v>
      </c>
      <c r="AP247" s="1">
        <f>[2]底表!CC247</f>
        <v>0</v>
      </c>
      <c r="AQ247" s="1" t="str">
        <f>[2]底表!CD247</f>
        <v>持平</v>
      </c>
      <c r="AR247" s="1" t="str">
        <f>[2]底表!CE247</f>
        <v/>
      </c>
      <c r="AS247" s="1" t="str">
        <f>[2]底表!CF247</f>
        <v/>
      </c>
      <c r="AT247" s="1">
        <f>[2]底表!CG247</f>
        <v>2</v>
      </c>
      <c r="AU247" s="1">
        <f>[2]底表!CH247</f>
        <v>0</v>
      </c>
      <c r="AV247" s="1" t="str">
        <f>[2]底表!CI247</f>
        <v>多2人</v>
      </c>
      <c r="AW247" s="1">
        <f>[2]底表!CJ247</f>
        <v>7</v>
      </c>
      <c r="AX247" s="1">
        <f>[2]底表!CK247</f>
        <v>-0.7143</v>
      </c>
      <c r="AY247" s="1">
        <f>[2]底表!CL247</f>
        <v>100</v>
      </c>
      <c r="AZ247" s="1">
        <f>[2]底表!CM247</f>
        <v>100</v>
      </c>
      <c r="BA247" s="1" t="str">
        <f>[2]底表!CN247</f>
        <v/>
      </c>
      <c r="BB247" s="1">
        <f>[2]底表!CO247</f>
        <v>3</v>
      </c>
      <c r="BC247" s="1">
        <f>[2]底表!CP247</f>
        <v>0</v>
      </c>
      <c r="BD247" s="1" t="str">
        <f>[2]底表!CQ247</f>
        <v>多3人</v>
      </c>
      <c r="BE247" s="1">
        <f>[2]底表!CR247</f>
        <v>6</v>
      </c>
      <c r="BF247" s="1">
        <f>[2]底表!CS247</f>
        <v>-0.5</v>
      </c>
      <c r="BG247" s="1">
        <f>[2]底表!CT247</f>
        <v>1.5</v>
      </c>
      <c r="BH247" s="1" t="str">
        <f>[2]底表!CU247</f>
        <v/>
      </c>
      <c r="BI247" s="1">
        <f>[2]底表!CV247</f>
        <v>150</v>
      </c>
      <c r="BJ247" s="1">
        <f>[2]底表!CW247</f>
        <v>150</v>
      </c>
      <c r="BK247" s="1" t="str">
        <f>[2]底表!CX247</f>
        <v/>
      </c>
      <c r="BL247" s="1">
        <f>[2]底表!CY247</f>
        <v>3</v>
      </c>
      <c r="BM247" s="1">
        <f>[2]底表!CZ247</f>
        <v>0</v>
      </c>
      <c r="BN247" s="3" t="str">
        <f>[2]底表!DA247</f>
        <v>多3人</v>
      </c>
      <c r="BO247" s="1">
        <f>[2]底表!DB247</f>
        <v>6</v>
      </c>
      <c r="BP247" s="1">
        <f>[2]底表!DC247</f>
        <v>-0.5</v>
      </c>
      <c r="BQ247" s="1">
        <f>[2]底表!DD247</f>
        <v>1.5</v>
      </c>
      <c r="BR247" s="1" t="str">
        <f>[2]底表!DE247</f>
        <v/>
      </c>
      <c r="BS247" s="1">
        <f>[2]底表!DF247</f>
        <v>150</v>
      </c>
      <c r="BT247" s="1">
        <f>[2]底表!DG247</f>
        <v>150</v>
      </c>
      <c r="BU247" s="1" t="str">
        <f>[2]底表!DH247</f>
        <v/>
      </c>
      <c r="BV247" s="1">
        <f>[2]底表!DI247</f>
        <v>4</v>
      </c>
      <c r="BW247" s="1">
        <f>[2]底表!DJ247</f>
        <v>0</v>
      </c>
      <c r="BX247" s="3" t="str">
        <f>[2]底表!DK247</f>
        <v>多4人</v>
      </c>
      <c r="BY247" s="1">
        <f>[2]底表!DL247</f>
        <v>5</v>
      </c>
      <c r="BZ247" s="1">
        <f>[2]底表!DM247</f>
        <v>-0.2</v>
      </c>
      <c r="CA247" s="1">
        <f>[2]底表!DN247</f>
        <v>3</v>
      </c>
      <c r="CB247" s="1">
        <f>[2]底表!DO247</f>
        <v>0</v>
      </c>
      <c r="CC247" s="1" t="str">
        <f>[2]底表!DP247</f>
        <v>多3人</v>
      </c>
      <c r="CD247" s="1">
        <f>[2]底表!DQ247</f>
        <v>5</v>
      </c>
      <c r="CE247" s="1">
        <f>[2]底表!DR247</f>
        <v>-0.4</v>
      </c>
      <c r="CF247" s="1">
        <f>[2]底表!DS247</f>
        <v>3</v>
      </c>
      <c r="CG247" s="1">
        <f>[2]底表!DT247</f>
        <v>0</v>
      </c>
      <c r="CH247" s="1" t="str">
        <f>[2]底表!DU247</f>
        <v>多3人</v>
      </c>
      <c r="CI247" s="1">
        <f>[2]底表!DV247</f>
        <v>5</v>
      </c>
      <c r="CJ247" s="1">
        <f>[2]底表!DW247</f>
        <v>-0.4</v>
      </c>
      <c r="CK247" s="1">
        <f>[2]底表!DX247</f>
        <v>2</v>
      </c>
      <c r="CL247" s="1">
        <f>[2]底表!DY247</f>
        <v>0</v>
      </c>
      <c r="CM247" s="1" t="str">
        <f>[2]底表!DZ247</f>
        <v>多2人</v>
      </c>
      <c r="CN247" s="1">
        <f>[2]底表!EA247</f>
        <v>8</v>
      </c>
      <c r="CO247" s="1">
        <f>[2]底表!EB247</f>
        <v>-0.75</v>
      </c>
      <c r="CP247" s="1">
        <f>[2]底表!EC247</f>
        <v>4</v>
      </c>
      <c r="CQ247" s="1">
        <f>[2]底表!ED247</f>
        <v>0</v>
      </c>
      <c r="CR247" s="1" t="str">
        <f>[2]底表!EE247</f>
        <v>多4人</v>
      </c>
      <c r="CS247" s="1">
        <f>[2]底表!EF247</f>
        <v>3</v>
      </c>
      <c r="CT247" s="1">
        <f>[2]底表!EG247</f>
        <v>0.3333</v>
      </c>
      <c r="CU247" s="1">
        <f>[2]底表!EH247</f>
        <v>1.3333</v>
      </c>
      <c r="CV247" s="1" t="str">
        <f>[2]底表!EI247</f>
        <v/>
      </c>
      <c r="CW247" s="1">
        <f>[2]底表!EJ247</f>
        <v>200</v>
      </c>
      <c r="CX247" s="1">
        <f>[2]底表!EK247</f>
        <v>200</v>
      </c>
      <c r="CY247" s="1" t="str">
        <f>[2]底表!EL247</f>
        <v/>
      </c>
      <c r="CZ247" s="1">
        <f>[2]底表!EM247</f>
        <v>4</v>
      </c>
      <c r="DA247" s="1">
        <f>[2]底表!EN247</f>
        <v>0</v>
      </c>
      <c r="DB247" s="1" t="str">
        <f>[2]底表!EO247</f>
        <v>多4人</v>
      </c>
      <c r="DC247" s="1">
        <f>[2]底表!EP247</f>
        <v>3</v>
      </c>
      <c r="DD247" s="1">
        <f>[2]底表!EQ247</f>
        <v>0.3333</v>
      </c>
      <c r="DE247" s="1">
        <f>[2]底表!ER247</f>
        <v>2</v>
      </c>
      <c r="DF247" s="1">
        <f>[2]底表!ES247</f>
        <v>8</v>
      </c>
      <c r="DG247" s="3">
        <f>[2]底表!ET247</f>
        <v>-0.75</v>
      </c>
      <c r="DH247" s="1">
        <f>[2]底表!EU247</f>
        <v>11</v>
      </c>
      <c r="DI247" s="1">
        <f>[2]底表!EV247</f>
        <v>-0.8182</v>
      </c>
      <c r="DJ247" s="1">
        <f>[2]底表!EW247</f>
        <v>0.6667</v>
      </c>
      <c r="DK247" s="1" t="str">
        <f>[2]底表!EX247</f>
        <v/>
      </c>
      <c r="DL247" s="1">
        <f>[2]底表!EY247</f>
        <v>100</v>
      </c>
      <c r="DM247" s="1">
        <f>[2]底表!EZ247</f>
        <v>-700</v>
      </c>
      <c r="DN247" s="1">
        <f>[2]底表!FA247</f>
        <v>-0.875</v>
      </c>
      <c r="DO247" s="1">
        <f>[2]底表!BQ247</f>
        <v>2</v>
      </c>
      <c r="DP247" s="1">
        <f>[2]底表!BR247</f>
        <v>2</v>
      </c>
      <c r="DQ247" s="3">
        <f>[2]底表!BS247</f>
        <v>0</v>
      </c>
    </row>
    <row r="248" hidden="1" spans="1:121">
      <c r="A248" s="1" t="str">
        <f>[2]底表!A248</f>
        <v>经济</v>
      </c>
      <c r="B248" s="1" t="str">
        <f>[2]底表!B248</f>
        <v>罗定市</v>
      </c>
      <c r="C248" s="1">
        <f>[2]底表!AM248</f>
        <v>3</v>
      </c>
      <c r="D248" s="1">
        <f>[2]底表!AN248</f>
        <v>1</v>
      </c>
      <c r="E248" s="3">
        <f>[2]底表!AO248</f>
        <v>2</v>
      </c>
      <c r="F248" s="1">
        <f>[2]底表!AP248</f>
        <v>3</v>
      </c>
      <c r="G248" s="1">
        <f>[2]底表!AQ248</f>
        <v>0</v>
      </c>
      <c r="H248" s="1">
        <f>[2]底表!AR248</f>
        <v>1.5</v>
      </c>
      <c r="I248" s="1">
        <f>[2]底表!AS248</f>
        <v>0.5</v>
      </c>
      <c r="J248" s="1">
        <f>[2]底表!AT248</f>
        <v>1</v>
      </c>
      <c r="K248" s="1">
        <f>[2]底表!AU248</f>
        <v>1</v>
      </c>
      <c r="L248" s="1">
        <f>[2]底表!AV248</f>
        <v>0</v>
      </c>
      <c r="M248" s="1">
        <f>[2]底表!AW248</f>
        <v>1</v>
      </c>
      <c r="N248" s="1">
        <f>[2]底表!AX248</f>
        <v>0</v>
      </c>
      <c r="O248" s="1">
        <f>[2]底表!AY248</f>
        <v>0</v>
      </c>
      <c r="P248" s="1">
        <f>[2]底表!AZ248</f>
        <v>0</v>
      </c>
      <c r="Q248" s="1" t="str">
        <f>[2]底表!BA248</f>
        <v>持平</v>
      </c>
      <c r="R248" s="1">
        <f>[2]底表!BB248</f>
        <v>3</v>
      </c>
      <c r="S248" s="1" t="str">
        <f>[2]底表!BC248</f>
        <v>少3起</v>
      </c>
      <c r="T248" s="1">
        <f>[2]底表!BD248</f>
        <v>0</v>
      </c>
      <c r="U248" s="1">
        <f>[2]底表!BE248</f>
        <v>0</v>
      </c>
      <c r="V248" s="1">
        <f>[2]底表!BF248</f>
        <v>1</v>
      </c>
      <c r="W248" s="1">
        <f>[2]底表!BG248</f>
        <v>0</v>
      </c>
      <c r="X248" s="1" t="str">
        <f>[2]底表!BH248</f>
        <v>多1起</v>
      </c>
      <c r="Y248" s="1">
        <f>[2]底表!BI248</f>
        <v>1</v>
      </c>
      <c r="Z248" s="1">
        <f>[2]底表!BJ248</f>
        <v>0</v>
      </c>
      <c r="AA248" s="1">
        <f>[2]底表!BK248</f>
        <v>0.5</v>
      </c>
      <c r="AB248" s="1">
        <f>[2]底表!BL248</f>
        <v>3</v>
      </c>
      <c r="AC248" s="1">
        <f>[2]底表!BM248</f>
        <v>1</v>
      </c>
      <c r="AD248" s="1">
        <f>[2]底表!BN248</f>
        <v>2</v>
      </c>
      <c r="AE248" s="1">
        <f>[2]底表!BO248</f>
        <v>0</v>
      </c>
      <c r="AF248" s="1" t="str">
        <f>[2]底表!BP248</f>
        <v>多3起</v>
      </c>
      <c r="AG248" s="1">
        <f>[2]底表!BT248</f>
        <v>5</v>
      </c>
      <c r="AH248" s="1">
        <f>[2]底表!BU248</f>
        <v>-0.6</v>
      </c>
      <c r="AI248" s="1">
        <f>[2]底表!BV248</f>
        <v>1</v>
      </c>
      <c r="AJ248" s="1">
        <f>[2]底表!BW248</f>
        <v>-2</v>
      </c>
      <c r="AK248" s="1">
        <f>[2]底表!BX248</f>
        <v>2</v>
      </c>
      <c r="AL248" s="1">
        <f>[2]底表!BY248</f>
        <v>-1</v>
      </c>
      <c r="AM248" s="1">
        <f>[2]底表!BZ248</f>
        <v>0</v>
      </c>
      <c r="AN248" s="1">
        <f>[2]底表!CA248</f>
        <v>0</v>
      </c>
      <c r="AO248" s="1" t="str">
        <f>[2]底表!CB248</f>
        <v>持平</v>
      </c>
      <c r="AP248" s="1">
        <f>[2]底表!CC248</f>
        <v>0</v>
      </c>
      <c r="AQ248" s="1" t="str">
        <f>[2]底表!CD248</f>
        <v>持平</v>
      </c>
      <c r="AR248" s="1" t="str">
        <f>[2]底表!CE248</f>
        <v/>
      </c>
      <c r="AS248" s="1" t="str">
        <f>[2]底表!CF248</f>
        <v/>
      </c>
      <c r="AT248" s="1">
        <f>[2]底表!CG248</f>
        <v>1</v>
      </c>
      <c r="AU248" s="1">
        <f>[2]底表!CH248</f>
        <v>0</v>
      </c>
      <c r="AV248" s="1" t="str">
        <f>[2]底表!CI248</f>
        <v>多1人</v>
      </c>
      <c r="AW248" s="1">
        <f>[2]底表!CJ248</f>
        <v>5</v>
      </c>
      <c r="AX248" s="1">
        <f>[2]底表!CK248</f>
        <v>-0.8</v>
      </c>
      <c r="AY248" s="1">
        <f>[2]底表!CL248</f>
        <v>50</v>
      </c>
      <c r="AZ248" s="1">
        <f>[2]底表!CM248</f>
        <v>50</v>
      </c>
      <c r="BA248" s="1" t="str">
        <f>[2]底表!CN248</f>
        <v/>
      </c>
      <c r="BB248" s="1">
        <f>[2]底表!CO248</f>
        <v>2</v>
      </c>
      <c r="BC248" s="1">
        <f>[2]底表!CP248</f>
        <v>1</v>
      </c>
      <c r="BD248" s="1">
        <f>[2]底表!CQ248</f>
        <v>1</v>
      </c>
      <c r="BE248" s="1">
        <f>[2]底表!CR248</f>
        <v>3</v>
      </c>
      <c r="BF248" s="1">
        <f>[2]底表!CS248</f>
        <v>-0.3333</v>
      </c>
      <c r="BG248" s="1">
        <f>[2]底表!CT248</f>
        <v>2</v>
      </c>
      <c r="BH248" s="1" t="str">
        <f>[2]底表!CU248</f>
        <v/>
      </c>
      <c r="BI248" s="1">
        <f>[2]底表!CV248</f>
        <v>100</v>
      </c>
      <c r="BJ248" s="1">
        <f>[2]底表!CW248</f>
        <v>0</v>
      </c>
      <c r="BK248" s="1">
        <f>[2]底表!CX248</f>
        <v>0</v>
      </c>
      <c r="BL248" s="1">
        <f>[2]底表!CY248</f>
        <v>2</v>
      </c>
      <c r="BM248" s="1">
        <f>[2]底表!CZ248</f>
        <v>1</v>
      </c>
      <c r="BN248" s="3">
        <f>[2]底表!DA248</f>
        <v>1</v>
      </c>
      <c r="BO248" s="1">
        <f>[2]底表!DB248</f>
        <v>3</v>
      </c>
      <c r="BP248" s="1">
        <f>[2]底表!DC248</f>
        <v>-0.3333</v>
      </c>
      <c r="BQ248" s="1">
        <f>[2]底表!DD248</f>
        <v>2</v>
      </c>
      <c r="BR248" s="1" t="str">
        <f>[2]底表!DE248</f>
        <v/>
      </c>
      <c r="BS248" s="1">
        <f>[2]底表!DF248</f>
        <v>100</v>
      </c>
      <c r="BT248" s="1">
        <f>[2]底表!DG248</f>
        <v>0</v>
      </c>
      <c r="BU248" s="1">
        <f>[2]底表!DH248</f>
        <v>0</v>
      </c>
      <c r="BV248" s="1">
        <f>[2]底表!DI248</f>
        <v>1</v>
      </c>
      <c r="BW248" s="1">
        <f>[2]底表!DJ248</f>
        <v>0</v>
      </c>
      <c r="BX248" s="3" t="str">
        <f>[2]底表!DK248</f>
        <v>多1人</v>
      </c>
      <c r="BY248" s="1">
        <f>[2]底表!DL248</f>
        <v>3</v>
      </c>
      <c r="BZ248" s="1">
        <f>[2]底表!DM248</f>
        <v>-0.6667</v>
      </c>
      <c r="CA248" s="1">
        <f>[2]底表!DN248</f>
        <v>0</v>
      </c>
      <c r="CB248" s="1">
        <f>[2]底表!DO248</f>
        <v>0</v>
      </c>
      <c r="CC248" s="1" t="str">
        <f>[2]底表!DP248</f>
        <v>持平</v>
      </c>
      <c r="CD248" s="1">
        <f>[2]底表!DQ248</f>
        <v>1</v>
      </c>
      <c r="CE248" s="1" t="str">
        <f>[2]底表!DR248</f>
        <v>少1人</v>
      </c>
      <c r="CF248" s="1">
        <f>[2]底表!DS248</f>
        <v>0</v>
      </c>
      <c r="CG248" s="1">
        <f>[2]底表!DT248</f>
        <v>0</v>
      </c>
      <c r="CH248" s="1" t="str">
        <f>[2]底表!DU248</f>
        <v>持平</v>
      </c>
      <c r="CI248" s="1">
        <f>[2]底表!DV248</f>
        <v>1</v>
      </c>
      <c r="CJ248" s="1" t="str">
        <f>[2]底表!DW248</f>
        <v>少1人</v>
      </c>
      <c r="CK248" s="1">
        <f>[2]底表!DX248</f>
        <v>4</v>
      </c>
      <c r="CL248" s="1">
        <f>[2]底表!DY248</f>
        <v>0</v>
      </c>
      <c r="CM248" s="1" t="str">
        <f>[2]底表!DZ248</f>
        <v>多4人</v>
      </c>
      <c r="CN248" s="1">
        <f>[2]底表!EA248</f>
        <v>4</v>
      </c>
      <c r="CO248" s="1">
        <f>[2]底表!EB248</f>
        <v>0</v>
      </c>
      <c r="CP248" s="1">
        <f>[2]底表!EC248</f>
        <v>3</v>
      </c>
      <c r="CQ248" s="1">
        <f>[2]底表!ED248</f>
        <v>0</v>
      </c>
      <c r="CR248" s="1" t="str">
        <f>[2]底表!EE248</f>
        <v>多3人</v>
      </c>
      <c r="CS248" s="1">
        <f>[2]底表!EF248</f>
        <v>4</v>
      </c>
      <c r="CT248" s="1">
        <f>[2]底表!EG248</f>
        <v>-0.25</v>
      </c>
      <c r="CU248" s="1">
        <f>[2]底表!EH248</f>
        <v>1.5</v>
      </c>
      <c r="CV248" s="1">
        <f>[2]底表!EI248</f>
        <v>1.5</v>
      </c>
      <c r="CW248" s="1">
        <f>[2]底表!EJ248</f>
        <v>150</v>
      </c>
      <c r="CX248" s="1">
        <f>[2]底表!EK248</f>
        <v>150</v>
      </c>
      <c r="CY248" s="1" t="str">
        <f>[2]底表!EL248</f>
        <v/>
      </c>
      <c r="CZ248" s="1">
        <f>[2]底表!EM248</f>
        <v>3</v>
      </c>
      <c r="DA248" s="1">
        <f>[2]底表!EN248</f>
        <v>0</v>
      </c>
      <c r="DB248" s="1" t="str">
        <f>[2]底表!EO248</f>
        <v>多3人</v>
      </c>
      <c r="DC248" s="1">
        <f>[2]底表!EP248</f>
        <v>5</v>
      </c>
      <c r="DD248" s="1">
        <f>[2]底表!EQ248</f>
        <v>-0.4</v>
      </c>
      <c r="DE248" s="1">
        <f>[2]底表!ER248</f>
        <v>3</v>
      </c>
      <c r="DF248" s="1">
        <f>[2]底表!ES248</f>
        <v>4</v>
      </c>
      <c r="DG248" s="3">
        <f>[2]底表!ET248</f>
        <v>-0.25</v>
      </c>
      <c r="DH248" s="1">
        <f>[2]底表!EU248</f>
        <v>11</v>
      </c>
      <c r="DI248" s="1">
        <f>[2]底表!EV248</f>
        <v>-0.7273</v>
      </c>
      <c r="DJ248" s="1">
        <f>[2]底表!EW248</f>
        <v>1.5</v>
      </c>
      <c r="DK248" s="1">
        <f>[2]底表!EX248</f>
        <v>-2.5</v>
      </c>
      <c r="DL248" s="1">
        <f>[2]底表!EY248</f>
        <v>150</v>
      </c>
      <c r="DM248" s="1">
        <f>[2]底表!EZ248</f>
        <v>-250</v>
      </c>
      <c r="DN248" s="1">
        <f>[2]底表!FA248</f>
        <v>-0.625</v>
      </c>
      <c r="DO248" s="1">
        <f>[2]底表!BQ248</f>
        <v>2</v>
      </c>
      <c r="DP248" s="1">
        <f>[2]底表!BR248</f>
        <v>3</v>
      </c>
      <c r="DQ248" s="3">
        <f>[2]底表!BS248</f>
        <v>-0.3333</v>
      </c>
    </row>
  </sheetData>
  <mergeCells count="23">
    <mergeCell ref="A2:DQ2"/>
    <mergeCell ref="C3:I3"/>
    <mergeCell ref="J3:N3"/>
    <mergeCell ref="O3:U3"/>
    <mergeCell ref="V3:AA3"/>
    <mergeCell ref="AB3:AF3"/>
    <mergeCell ref="AM3:AQ3"/>
    <mergeCell ref="AT3:BA3"/>
    <mergeCell ref="BB3:BK3"/>
    <mergeCell ref="BL3:BU3"/>
    <mergeCell ref="BV3:BZ3"/>
    <mergeCell ref="CA3:CE3"/>
    <mergeCell ref="CF3:CJ3"/>
    <mergeCell ref="CK3:CO3"/>
    <mergeCell ref="CP3:CY3"/>
    <mergeCell ref="CZ3:DD3"/>
    <mergeCell ref="DE3:DG3"/>
    <mergeCell ref="DO3:DQ3"/>
    <mergeCell ref="A3:A4"/>
    <mergeCell ref="B3:B4"/>
    <mergeCell ref="B5:B8"/>
    <mergeCell ref="AR3:AR4"/>
    <mergeCell ref="AS3:AS4"/>
  </mergeCells>
  <conditionalFormatting sqref="E26">
    <cfRule type="expression" dxfId="0" priority="443" stopIfTrue="1">
      <formula>E26&gt;E25</formula>
    </cfRule>
    <cfRule type="cellIs" dxfId="1" priority="444" operator="greaterThan">
      <formula>0</formula>
    </cfRule>
    <cfRule type="cellIs" dxfId="2" priority="445" operator="lessThan">
      <formula>0</formula>
    </cfRule>
  </conditionalFormatting>
  <conditionalFormatting sqref="BN26">
    <cfRule type="expression" dxfId="0" priority="313" stopIfTrue="1">
      <formula>BN26&gt;BN25</formula>
    </cfRule>
    <cfRule type="cellIs" dxfId="1" priority="314" operator="greaterThan">
      <formula>0</formula>
    </cfRule>
    <cfRule type="cellIs" dxfId="2" priority="315" operator="lessThan">
      <formula>0</formula>
    </cfRule>
  </conditionalFormatting>
  <conditionalFormatting sqref="BX26">
    <cfRule type="expression" dxfId="0" priority="307" stopIfTrue="1">
      <formula>BX26&gt;BX25</formula>
    </cfRule>
    <cfRule type="cellIs" dxfId="1" priority="308" operator="greaterThan">
      <formula>0</formula>
    </cfRule>
    <cfRule type="cellIs" dxfId="2" priority="309" operator="lessThan">
      <formula>0</formula>
    </cfRule>
  </conditionalFormatting>
  <conditionalFormatting sqref="DG26">
    <cfRule type="expression" dxfId="0" priority="178" stopIfTrue="1">
      <formula>DG26&gt;DG25</formula>
    </cfRule>
    <cfRule type="cellIs" dxfId="1" priority="179" operator="greaterThan">
      <formula>0</formula>
    </cfRule>
    <cfRule type="cellIs" dxfId="2" priority="180" operator="lessThan">
      <formula>0</formula>
    </cfRule>
  </conditionalFormatting>
  <conditionalFormatting sqref="DQ26">
    <cfRule type="expression" dxfId="0" priority="169" stopIfTrue="1">
      <formula>DQ26&gt;DQ25</formula>
    </cfRule>
    <cfRule type="cellIs" dxfId="1" priority="170" operator="greaterThan">
      <formula>0</formula>
    </cfRule>
    <cfRule type="cellIs" dxfId="2" priority="171" operator="lessThan">
      <formula>0</formula>
    </cfRule>
  </conditionalFormatting>
  <conditionalFormatting sqref="E33">
    <cfRule type="expression" dxfId="0" priority="18" stopIfTrue="1">
      <formula>E33&gt;E32</formula>
    </cfRule>
    <cfRule type="cellIs" dxfId="1" priority="19" operator="greaterThan">
      <formula>0</formula>
    </cfRule>
    <cfRule type="cellIs" dxfId="2" priority="20" operator="lessThan">
      <formula>0</formula>
    </cfRule>
  </conditionalFormatting>
  <conditionalFormatting sqref="BN33">
    <cfRule type="expression" dxfId="0" priority="15" stopIfTrue="1">
      <formula>BN33&gt;BN32</formula>
    </cfRule>
    <cfRule type="cellIs" dxfId="1" priority="16" operator="greaterThan">
      <formula>0</formula>
    </cfRule>
    <cfRule type="cellIs" dxfId="2" priority="17" operator="lessThan">
      <formula>0</formula>
    </cfRule>
  </conditionalFormatting>
  <conditionalFormatting sqref="BX33">
    <cfRule type="expression" dxfId="0" priority="12" stopIfTrue="1">
      <formula>BX33&gt;BX32</formula>
    </cfRule>
    <cfRule type="cellIs" dxfId="1" priority="13" operator="greaterThan">
      <formula>0</formula>
    </cfRule>
    <cfRule type="cellIs" dxfId="2" priority="14" operator="lessThan">
      <formula>0</formula>
    </cfRule>
  </conditionalFormatting>
  <conditionalFormatting sqref="DG33">
    <cfRule type="expression" dxfId="0" priority="9" stopIfTrue="1">
      <formula>DG33&gt;DG32</formula>
    </cfRule>
    <cfRule type="cellIs" dxfId="1" priority="10" operator="greaterThan">
      <formula>0</formula>
    </cfRule>
    <cfRule type="cellIs" dxfId="2" priority="11" operator="lessThan">
      <formula>0</formula>
    </cfRule>
  </conditionalFormatting>
  <conditionalFormatting sqref="DQ33">
    <cfRule type="expression" dxfId="0" priority="6" stopIfTrue="1">
      <formula>DQ33&gt;DQ32</formula>
    </cfRule>
    <cfRule type="cellIs" dxfId="1" priority="7" operator="greaterThan">
      <formula>0</formula>
    </cfRule>
    <cfRule type="cellIs" dxfId="2" priority="8" operator="lessThan">
      <formula>0</formula>
    </cfRule>
  </conditionalFormatting>
  <conditionalFormatting sqref="E40">
    <cfRule type="expression" dxfId="0" priority="440" stopIfTrue="1">
      <formula>E40&gt;E39</formula>
    </cfRule>
    <cfRule type="cellIs" dxfId="1" priority="441" operator="greaterThan">
      <formula>0</formula>
    </cfRule>
    <cfRule type="cellIs" dxfId="2" priority="442" operator="lessThan">
      <formula>0</formula>
    </cfRule>
  </conditionalFormatting>
  <conditionalFormatting sqref="BN40">
    <cfRule type="expression" dxfId="0" priority="316" stopIfTrue="1">
      <formula>BN40&gt;BN39</formula>
    </cfRule>
    <cfRule type="cellIs" dxfId="1" priority="317" operator="greaterThan">
      <formula>0</formula>
    </cfRule>
    <cfRule type="cellIs" dxfId="2" priority="318" operator="lessThan">
      <formula>0</formula>
    </cfRule>
  </conditionalFormatting>
  <conditionalFormatting sqref="BX40">
    <cfRule type="expression" dxfId="0" priority="304" stopIfTrue="1">
      <formula>BX40&gt;BX39</formula>
    </cfRule>
    <cfRule type="cellIs" dxfId="1" priority="305" operator="greaterThan">
      <formula>0</formula>
    </cfRule>
    <cfRule type="cellIs" dxfId="2" priority="306" operator="lessThan">
      <formula>0</formula>
    </cfRule>
  </conditionalFormatting>
  <conditionalFormatting sqref="DG40">
    <cfRule type="expression" dxfId="0" priority="181" stopIfTrue="1">
      <formula>DG40&gt;DG39</formula>
    </cfRule>
    <cfRule type="cellIs" dxfId="1" priority="182" operator="greaterThan">
      <formula>0</formula>
    </cfRule>
    <cfRule type="cellIs" dxfId="2" priority="183" operator="lessThan">
      <formula>0</formula>
    </cfRule>
  </conditionalFormatting>
  <conditionalFormatting sqref="DQ40">
    <cfRule type="expression" dxfId="0" priority="166" stopIfTrue="1">
      <formula>DQ40&gt;DQ39</formula>
    </cfRule>
    <cfRule type="cellIs" dxfId="1" priority="167" operator="greaterThan">
      <formula>0</formula>
    </cfRule>
    <cfRule type="cellIs" dxfId="2" priority="168" operator="lessThan">
      <formula>0</formula>
    </cfRule>
  </conditionalFormatting>
  <conditionalFormatting sqref="E47">
    <cfRule type="expression" dxfId="0" priority="437" stopIfTrue="1">
      <formula>E47&gt;E46</formula>
    </cfRule>
    <cfRule type="cellIs" dxfId="1" priority="438" operator="greaterThan">
      <formula>0</formula>
    </cfRule>
    <cfRule type="cellIs" dxfId="2" priority="439" operator="lessThan">
      <formula>0</formula>
    </cfRule>
  </conditionalFormatting>
  <conditionalFormatting sqref="BN47">
    <cfRule type="expression" dxfId="0" priority="319" stopIfTrue="1">
      <formula>BN47&gt;BN46</formula>
    </cfRule>
    <cfRule type="cellIs" dxfId="1" priority="320" operator="greaterThan">
      <formula>0</formula>
    </cfRule>
    <cfRule type="cellIs" dxfId="2" priority="321" operator="lessThan">
      <formula>0</formula>
    </cfRule>
  </conditionalFormatting>
  <conditionalFormatting sqref="BX47">
    <cfRule type="expression" dxfId="0" priority="301" stopIfTrue="1">
      <formula>BX47&gt;BX46</formula>
    </cfRule>
    <cfRule type="cellIs" dxfId="1" priority="302" operator="greaterThan">
      <formula>0</formula>
    </cfRule>
    <cfRule type="cellIs" dxfId="2" priority="303" operator="lessThan">
      <formula>0</formula>
    </cfRule>
  </conditionalFormatting>
  <conditionalFormatting sqref="DG47">
    <cfRule type="expression" dxfId="0" priority="184" stopIfTrue="1">
      <formula>DG47&gt;DG46</formula>
    </cfRule>
    <cfRule type="cellIs" dxfId="1" priority="185" operator="greaterThan">
      <formula>0</formula>
    </cfRule>
    <cfRule type="cellIs" dxfId="2" priority="186" operator="lessThan">
      <formula>0</formula>
    </cfRule>
  </conditionalFormatting>
  <conditionalFormatting sqref="DQ47">
    <cfRule type="expression" dxfId="0" priority="163" stopIfTrue="1">
      <formula>DQ47&gt;DQ46</formula>
    </cfRule>
    <cfRule type="cellIs" dxfId="1" priority="164" operator="greaterThan">
      <formula>0</formula>
    </cfRule>
    <cfRule type="cellIs" dxfId="2" priority="165" operator="lessThan">
      <formula>0</formula>
    </cfRule>
  </conditionalFormatting>
  <conditionalFormatting sqref="E54">
    <cfRule type="expression" dxfId="0" priority="434" stopIfTrue="1">
      <formula>E54&gt;E53</formula>
    </cfRule>
    <cfRule type="cellIs" dxfId="1" priority="435" operator="greaterThan">
      <formula>0</formula>
    </cfRule>
    <cfRule type="cellIs" dxfId="2" priority="436" operator="lessThan">
      <formula>0</formula>
    </cfRule>
  </conditionalFormatting>
  <conditionalFormatting sqref="BN54">
    <cfRule type="expression" dxfId="0" priority="322" stopIfTrue="1">
      <formula>BN54&gt;BN53</formula>
    </cfRule>
    <cfRule type="cellIs" dxfId="1" priority="323" operator="greaterThan">
      <formula>0</formula>
    </cfRule>
    <cfRule type="cellIs" dxfId="2" priority="324" operator="lessThan">
      <formula>0</formula>
    </cfRule>
  </conditionalFormatting>
  <conditionalFormatting sqref="BX54">
    <cfRule type="expression" dxfId="0" priority="298" stopIfTrue="1">
      <formula>BX54&gt;BX53</formula>
    </cfRule>
    <cfRule type="cellIs" dxfId="1" priority="299" operator="greaterThan">
      <formula>0</formula>
    </cfRule>
    <cfRule type="cellIs" dxfId="2" priority="300" operator="lessThan">
      <formula>0</formula>
    </cfRule>
  </conditionalFormatting>
  <conditionalFormatting sqref="DG54">
    <cfRule type="expression" dxfId="0" priority="187" stopIfTrue="1">
      <formula>DG54&gt;DG53</formula>
    </cfRule>
    <cfRule type="cellIs" dxfId="1" priority="188" operator="greaterThan">
      <formula>0</formula>
    </cfRule>
    <cfRule type="cellIs" dxfId="2" priority="189" operator="lessThan">
      <formula>0</formula>
    </cfRule>
  </conditionalFormatting>
  <conditionalFormatting sqref="DQ54">
    <cfRule type="expression" dxfId="0" priority="160" stopIfTrue="1">
      <formula>DQ54&gt;DQ53</formula>
    </cfRule>
    <cfRule type="cellIs" dxfId="1" priority="161" operator="greaterThan">
      <formula>0</formula>
    </cfRule>
    <cfRule type="cellIs" dxfId="2" priority="162" operator="lessThan">
      <formula>0</formula>
    </cfRule>
  </conditionalFormatting>
  <conditionalFormatting sqref="E61">
    <cfRule type="expression" dxfId="0" priority="431" stopIfTrue="1">
      <formula>E61&gt;E60</formula>
    </cfRule>
    <cfRule type="cellIs" dxfId="1" priority="432" operator="greaterThan">
      <formula>0</formula>
    </cfRule>
    <cfRule type="cellIs" dxfId="2" priority="433" operator="lessThan">
      <formula>0</formula>
    </cfRule>
  </conditionalFormatting>
  <conditionalFormatting sqref="BN61">
    <cfRule type="expression" dxfId="0" priority="325" stopIfTrue="1">
      <formula>BN61&gt;BN60</formula>
    </cfRule>
    <cfRule type="cellIs" dxfId="1" priority="326" operator="greaterThan">
      <formula>0</formula>
    </cfRule>
    <cfRule type="cellIs" dxfId="2" priority="327" operator="lessThan">
      <formula>0</formula>
    </cfRule>
  </conditionalFormatting>
  <conditionalFormatting sqref="BX61">
    <cfRule type="expression" dxfId="0" priority="295" stopIfTrue="1">
      <formula>BX61&gt;BX60</formula>
    </cfRule>
    <cfRule type="cellIs" dxfId="1" priority="296" operator="greaterThan">
      <formula>0</formula>
    </cfRule>
    <cfRule type="cellIs" dxfId="2" priority="297" operator="lessThan">
      <formula>0</formula>
    </cfRule>
  </conditionalFormatting>
  <conditionalFormatting sqref="DG61">
    <cfRule type="expression" dxfId="0" priority="190" stopIfTrue="1">
      <formula>DG61&gt;DG60</formula>
    </cfRule>
    <cfRule type="cellIs" dxfId="1" priority="191" operator="greaterThan">
      <formula>0</formula>
    </cfRule>
    <cfRule type="cellIs" dxfId="2" priority="192" operator="lessThan">
      <formula>0</formula>
    </cfRule>
  </conditionalFormatting>
  <conditionalFormatting sqref="DQ61">
    <cfRule type="expression" dxfId="0" priority="157" stopIfTrue="1">
      <formula>DQ61&gt;DQ60</formula>
    </cfRule>
    <cfRule type="cellIs" dxfId="1" priority="158" operator="greaterThan">
      <formula>0</formula>
    </cfRule>
    <cfRule type="cellIs" dxfId="2" priority="159" operator="lessThan">
      <formula>0</formula>
    </cfRule>
  </conditionalFormatting>
  <conditionalFormatting sqref="E75">
    <cfRule type="expression" dxfId="0" priority="428" stopIfTrue="1">
      <formula>E75&gt;E74</formula>
    </cfRule>
    <cfRule type="cellIs" dxfId="1" priority="429" operator="greaterThan">
      <formula>0</formula>
    </cfRule>
    <cfRule type="cellIs" dxfId="2" priority="430" operator="lessThan">
      <formula>0</formula>
    </cfRule>
  </conditionalFormatting>
  <conditionalFormatting sqref="BN75">
    <cfRule type="expression" dxfId="0" priority="328" stopIfTrue="1">
      <formula>BN75&gt;BN74</formula>
    </cfRule>
    <cfRule type="cellIs" dxfId="1" priority="329" operator="greaterThan">
      <formula>0</formula>
    </cfRule>
    <cfRule type="cellIs" dxfId="2" priority="330" operator="lessThan">
      <formula>0</formula>
    </cfRule>
  </conditionalFormatting>
  <conditionalFormatting sqref="BX75">
    <cfRule type="expression" dxfId="0" priority="292" stopIfTrue="1">
      <formula>BX75&gt;BX74</formula>
    </cfRule>
    <cfRule type="cellIs" dxfId="1" priority="293" operator="greaterThan">
      <formula>0</formula>
    </cfRule>
    <cfRule type="cellIs" dxfId="2" priority="294" operator="lessThan">
      <formula>0</formula>
    </cfRule>
  </conditionalFormatting>
  <conditionalFormatting sqref="DG75">
    <cfRule type="expression" dxfId="0" priority="193" stopIfTrue="1">
      <formula>DG75&gt;DG74</formula>
    </cfRule>
    <cfRule type="cellIs" dxfId="1" priority="194" operator="greaterThan">
      <formula>0</formula>
    </cfRule>
    <cfRule type="cellIs" dxfId="2" priority="195" operator="lessThan">
      <formula>0</formula>
    </cfRule>
  </conditionalFormatting>
  <conditionalFormatting sqref="DQ75">
    <cfRule type="expression" dxfId="0" priority="154" stopIfTrue="1">
      <formula>DQ75&gt;DQ74</formula>
    </cfRule>
    <cfRule type="cellIs" dxfId="1" priority="155" operator="greaterThan">
      <formula>0</formula>
    </cfRule>
    <cfRule type="cellIs" dxfId="2" priority="156" operator="lessThan">
      <formula>0</formula>
    </cfRule>
  </conditionalFormatting>
  <conditionalFormatting sqref="E110">
    <cfRule type="expression" dxfId="0" priority="425" stopIfTrue="1">
      <formula>E110&gt;E109</formula>
    </cfRule>
    <cfRule type="cellIs" dxfId="1" priority="426" operator="greaterThan">
      <formula>0</formula>
    </cfRule>
    <cfRule type="cellIs" dxfId="2" priority="427" operator="lessThan">
      <formula>0</formula>
    </cfRule>
  </conditionalFormatting>
  <conditionalFormatting sqref="BN110">
    <cfRule type="expression" dxfId="0" priority="331" stopIfTrue="1">
      <formula>BN110&gt;BN109</formula>
    </cfRule>
    <cfRule type="cellIs" dxfId="1" priority="332" operator="greaterThan">
      <formula>0</formula>
    </cfRule>
    <cfRule type="cellIs" dxfId="2" priority="333" operator="lessThan">
      <formula>0</formula>
    </cfRule>
  </conditionalFormatting>
  <conditionalFormatting sqref="BX110">
    <cfRule type="expression" dxfId="0" priority="289" stopIfTrue="1">
      <formula>BX110&gt;BX109</formula>
    </cfRule>
    <cfRule type="cellIs" dxfId="1" priority="290" operator="greaterThan">
      <formula>0</formula>
    </cfRule>
    <cfRule type="cellIs" dxfId="2" priority="291" operator="lessThan">
      <formula>0</formula>
    </cfRule>
  </conditionalFormatting>
  <conditionalFormatting sqref="DG110">
    <cfRule type="expression" dxfId="0" priority="196" stopIfTrue="1">
      <formula>DG110&gt;DG109</formula>
    </cfRule>
    <cfRule type="cellIs" dxfId="1" priority="197" operator="greaterThan">
      <formula>0</formula>
    </cfRule>
    <cfRule type="cellIs" dxfId="2" priority="198" operator="lessThan">
      <formula>0</formula>
    </cfRule>
  </conditionalFormatting>
  <conditionalFormatting sqref="DQ110">
    <cfRule type="expression" dxfId="0" priority="151" stopIfTrue="1">
      <formula>DQ110&gt;DQ109</formula>
    </cfRule>
    <cfRule type="cellIs" dxfId="1" priority="152" operator="greaterThan">
      <formula>0</formula>
    </cfRule>
    <cfRule type="cellIs" dxfId="2" priority="153" operator="lessThan">
      <formula>0</formula>
    </cfRule>
  </conditionalFormatting>
  <conditionalFormatting sqref="E145">
    <cfRule type="expression" dxfId="0" priority="422" stopIfTrue="1">
      <formula>E145&gt;E144</formula>
    </cfRule>
    <cfRule type="cellIs" dxfId="1" priority="423" operator="greaterThan">
      <formula>0</formula>
    </cfRule>
    <cfRule type="cellIs" dxfId="2" priority="424" operator="lessThan">
      <formula>0</formula>
    </cfRule>
  </conditionalFormatting>
  <conditionalFormatting sqref="BN145">
    <cfRule type="expression" dxfId="0" priority="334" stopIfTrue="1">
      <formula>BN145&gt;BN144</formula>
    </cfRule>
    <cfRule type="cellIs" dxfId="1" priority="335" operator="greaterThan">
      <formula>0</formula>
    </cfRule>
    <cfRule type="cellIs" dxfId="2" priority="336" operator="lessThan">
      <formula>0</formula>
    </cfRule>
  </conditionalFormatting>
  <conditionalFormatting sqref="BX145">
    <cfRule type="expression" dxfId="0" priority="286" stopIfTrue="1">
      <formula>BX145&gt;BX144</formula>
    </cfRule>
    <cfRule type="cellIs" dxfId="1" priority="287" operator="greaterThan">
      <formula>0</formula>
    </cfRule>
    <cfRule type="cellIs" dxfId="2" priority="288" operator="lessThan">
      <formula>0</formula>
    </cfRule>
  </conditionalFormatting>
  <conditionalFormatting sqref="DG145">
    <cfRule type="expression" dxfId="0" priority="199" stopIfTrue="1">
      <formula>DG145&gt;DG144</formula>
    </cfRule>
    <cfRule type="cellIs" dxfId="1" priority="200" operator="greaterThan">
      <formula>0</formula>
    </cfRule>
    <cfRule type="cellIs" dxfId="2" priority="201" operator="lessThan">
      <formula>0</formula>
    </cfRule>
  </conditionalFormatting>
  <conditionalFormatting sqref="DQ145">
    <cfRule type="expression" dxfId="0" priority="148" stopIfTrue="1">
      <formula>DQ145&gt;DQ144</formula>
    </cfRule>
    <cfRule type="cellIs" dxfId="1" priority="149" operator="greaterThan">
      <formula>0</formula>
    </cfRule>
    <cfRule type="cellIs" dxfId="2" priority="150" operator="lessThan">
      <formula>0</formula>
    </cfRule>
  </conditionalFormatting>
  <conditionalFormatting sqref="E152">
    <cfRule type="expression" dxfId="0" priority="419" stopIfTrue="1">
      <formula>E152&gt;E151</formula>
    </cfRule>
    <cfRule type="cellIs" dxfId="1" priority="420" operator="greaterThan">
      <formula>0</formula>
    </cfRule>
    <cfRule type="cellIs" dxfId="2" priority="421" operator="lessThan">
      <formula>0</formula>
    </cfRule>
  </conditionalFormatting>
  <conditionalFormatting sqref="BN152">
    <cfRule type="expression" dxfId="0" priority="337" stopIfTrue="1">
      <formula>BN152&gt;BN151</formula>
    </cfRule>
    <cfRule type="cellIs" dxfId="1" priority="338" operator="greaterThan">
      <formula>0</formula>
    </cfRule>
    <cfRule type="cellIs" dxfId="2" priority="339" operator="lessThan">
      <formula>0</formula>
    </cfRule>
  </conditionalFormatting>
  <conditionalFormatting sqref="BX152">
    <cfRule type="expression" dxfId="0" priority="283" stopIfTrue="1">
      <formula>BX152&gt;BX151</formula>
    </cfRule>
    <cfRule type="cellIs" dxfId="1" priority="284" operator="greaterThan">
      <formula>0</formula>
    </cfRule>
    <cfRule type="cellIs" dxfId="2" priority="285" operator="lessThan">
      <formula>0</formula>
    </cfRule>
  </conditionalFormatting>
  <conditionalFormatting sqref="DG152">
    <cfRule type="expression" dxfId="0" priority="202" stopIfTrue="1">
      <formula>DG152&gt;DG151</formula>
    </cfRule>
    <cfRule type="cellIs" dxfId="1" priority="203" operator="greaterThan">
      <formula>0</formula>
    </cfRule>
    <cfRule type="cellIs" dxfId="2" priority="204" operator="lessThan">
      <formula>0</formula>
    </cfRule>
  </conditionalFormatting>
  <conditionalFormatting sqref="DQ152">
    <cfRule type="expression" dxfId="0" priority="145" stopIfTrue="1">
      <formula>DQ152&gt;DQ151</formula>
    </cfRule>
    <cfRule type="cellIs" dxfId="1" priority="146" operator="greaterThan">
      <formula>0</formula>
    </cfRule>
    <cfRule type="cellIs" dxfId="2" priority="147" operator="lessThan">
      <formula>0</formula>
    </cfRule>
  </conditionalFormatting>
  <conditionalFormatting sqref="E159">
    <cfRule type="expression" dxfId="0" priority="416" stopIfTrue="1">
      <formula>E159&gt;E158</formula>
    </cfRule>
    <cfRule type="cellIs" dxfId="1" priority="417" operator="greaterThan">
      <formula>0</formula>
    </cfRule>
    <cfRule type="cellIs" dxfId="2" priority="418" operator="lessThan">
      <formula>0</formula>
    </cfRule>
  </conditionalFormatting>
  <conditionalFormatting sqref="BN159">
    <cfRule type="expression" dxfId="0" priority="340" stopIfTrue="1">
      <formula>BN159&gt;BN158</formula>
    </cfRule>
    <cfRule type="cellIs" dxfId="1" priority="341" operator="greaterThan">
      <formula>0</formula>
    </cfRule>
    <cfRule type="cellIs" dxfId="2" priority="342" operator="lessThan">
      <formula>0</formula>
    </cfRule>
  </conditionalFormatting>
  <conditionalFormatting sqref="BX159">
    <cfRule type="expression" dxfId="0" priority="280" stopIfTrue="1">
      <formula>BX159&gt;BX158</formula>
    </cfRule>
    <cfRule type="cellIs" dxfId="1" priority="281" operator="greaterThan">
      <formula>0</formula>
    </cfRule>
    <cfRule type="cellIs" dxfId="2" priority="282" operator="lessThan">
      <formula>0</formula>
    </cfRule>
  </conditionalFormatting>
  <conditionalFormatting sqref="DG159">
    <cfRule type="expression" dxfId="0" priority="205" stopIfTrue="1">
      <formula>DG159&gt;DG158</formula>
    </cfRule>
    <cfRule type="cellIs" dxfId="1" priority="206" operator="greaterThan">
      <formula>0</formula>
    </cfRule>
    <cfRule type="cellIs" dxfId="2" priority="207" operator="lessThan">
      <formula>0</formula>
    </cfRule>
  </conditionalFormatting>
  <conditionalFormatting sqref="DQ159">
    <cfRule type="expression" dxfId="0" priority="142" stopIfTrue="1">
      <formula>DQ159&gt;DQ158</formula>
    </cfRule>
    <cfRule type="cellIs" dxfId="1" priority="143" operator="greaterThan">
      <formula>0</formula>
    </cfRule>
    <cfRule type="cellIs" dxfId="2" priority="144" operator="lessThan">
      <formula>0</formula>
    </cfRule>
  </conditionalFormatting>
  <conditionalFormatting sqref="E166">
    <cfRule type="expression" dxfId="0" priority="413" stopIfTrue="1">
      <formula>E166&gt;E165</formula>
    </cfRule>
    <cfRule type="cellIs" dxfId="1" priority="414" operator="greaterThan">
      <formula>0</formula>
    </cfRule>
    <cfRule type="cellIs" dxfId="2" priority="415" operator="lessThan">
      <formula>0</formula>
    </cfRule>
  </conditionalFormatting>
  <conditionalFormatting sqref="BN166">
    <cfRule type="expression" dxfId="0" priority="343" stopIfTrue="1">
      <formula>BN166&gt;BN165</formula>
    </cfRule>
    <cfRule type="cellIs" dxfId="1" priority="344" operator="greaterThan">
      <formula>0</formula>
    </cfRule>
    <cfRule type="cellIs" dxfId="2" priority="345" operator="lessThan">
      <formula>0</formula>
    </cfRule>
  </conditionalFormatting>
  <conditionalFormatting sqref="BX166">
    <cfRule type="expression" dxfId="0" priority="277" stopIfTrue="1">
      <formula>BX166&gt;BX165</formula>
    </cfRule>
    <cfRule type="cellIs" dxfId="1" priority="278" operator="greaterThan">
      <formula>0</formula>
    </cfRule>
    <cfRule type="cellIs" dxfId="2" priority="279" operator="lessThan">
      <formula>0</formula>
    </cfRule>
  </conditionalFormatting>
  <conditionalFormatting sqref="DG166">
    <cfRule type="expression" dxfId="0" priority="208" stopIfTrue="1">
      <formula>DG166&gt;DG165</formula>
    </cfRule>
    <cfRule type="cellIs" dxfId="1" priority="209" operator="greaterThan">
      <formula>0</formula>
    </cfRule>
    <cfRule type="cellIs" dxfId="2" priority="210" operator="lessThan">
      <formula>0</formula>
    </cfRule>
  </conditionalFormatting>
  <conditionalFormatting sqref="DQ166">
    <cfRule type="expression" dxfId="0" priority="139" stopIfTrue="1">
      <formula>DQ166&gt;DQ165</formula>
    </cfRule>
    <cfRule type="cellIs" dxfId="1" priority="140" operator="greaterThan">
      <formula>0</formula>
    </cfRule>
    <cfRule type="cellIs" dxfId="2" priority="141" operator="lessThan">
      <formula>0</formula>
    </cfRule>
  </conditionalFormatting>
  <conditionalFormatting sqref="E173">
    <cfRule type="expression" dxfId="0" priority="410" stopIfTrue="1">
      <formula>E173&gt;E172</formula>
    </cfRule>
    <cfRule type="cellIs" dxfId="1" priority="411" operator="greaterThan">
      <formula>0</formula>
    </cfRule>
    <cfRule type="cellIs" dxfId="2" priority="412" operator="lessThan">
      <formula>0</formula>
    </cfRule>
  </conditionalFormatting>
  <conditionalFormatting sqref="BN173">
    <cfRule type="expression" dxfId="0" priority="346" stopIfTrue="1">
      <formula>BN173&gt;BN172</formula>
    </cfRule>
    <cfRule type="cellIs" dxfId="1" priority="347" operator="greaterThan">
      <formula>0</formula>
    </cfRule>
    <cfRule type="cellIs" dxfId="2" priority="348" operator="lessThan">
      <formula>0</formula>
    </cfRule>
  </conditionalFormatting>
  <conditionalFormatting sqref="BX173">
    <cfRule type="expression" dxfId="0" priority="274" stopIfTrue="1">
      <formula>BX173&gt;BX172</formula>
    </cfRule>
    <cfRule type="cellIs" dxfId="1" priority="275" operator="greaterThan">
      <formula>0</formula>
    </cfRule>
    <cfRule type="cellIs" dxfId="2" priority="276" operator="lessThan">
      <formula>0</formula>
    </cfRule>
  </conditionalFormatting>
  <conditionalFormatting sqref="DG173">
    <cfRule type="expression" dxfId="0" priority="211" stopIfTrue="1">
      <formula>DG173&gt;DG172</formula>
    </cfRule>
    <cfRule type="cellIs" dxfId="1" priority="212" operator="greaterThan">
      <formula>0</formula>
    </cfRule>
    <cfRule type="cellIs" dxfId="2" priority="213" operator="lessThan">
      <formula>0</formula>
    </cfRule>
  </conditionalFormatting>
  <conditionalFormatting sqref="DQ173">
    <cfRule type="expression" dxfId="0" priority="136" stopIfTrue="1">
      <formula>DQ173&gt;DQ172</formula>
    </cfRule>
    <cfRule type="cellIs" dxfId="1" priority="137" operator="greaterThan">
      <formula>0</formula>
    </cfRule>
    <cfRule type="cellIs" dxfId="2" priority="138" operator="lessThan">
      <formula>0</formula>
    </cfRule>
  </conditionalFormatting>
  <conditionalFormatting sqref="E180">
    <cfRule type="expression" dxfId="0" priority="407" stopIfTrue="1">
      <formula>E180&gt;E179</formula>
    </cfRule>
    <cfRule type="cellIs" dxfId="1" priority="408" operator="greaterThan">
      <formula>0</formula>
    </cfRule>
    <cfRule type="cellIs" dxfId="2" priority="409" operator="lessThan">
      <formula>0</formula>
    </cfRule>
  </conditionalFormatting>
  <conditionalFormatting sqref="BN180">
    <cfRule type="expression" dxfId="0" priority="349" stopIfTrue="1">
      <formula>BN180&gt;BN179</formula>
    </cfRule>
    <cfRule type="cellIs" dxfId="1" priority="350" operator="greaterThan">
      <formula>0</formula>
    </cfRule>
    <cfRule type="cellIs" dxfId="2" priority="351" operator="lessThan">
      <formula>0</formula>
    </cfRule>
  </conditionalFormatting>
  <conditionalFormatting sqref="BX180">
    <cfRule type="expression" dxfId="0" priority="271" stopIfTrue="1">
      <formula>BX180&gt;BX179</formula>
    </cfRule>
    <cfRule type="cellIs" dxfId="1" priority="272" operator="greaterThan">
      <formula>0</formula>
    </cfRule>
    <cfRule type="cellIs" dxfId="2" priority="273" operator="lessThan">
      <formula>0</formula>
    </cfRule>
  </conditionalFormatting>
  <conditionalFormatting sqref="DG180">
    <cfRule type="expression" dxfId="0" priority="214" stopIfTrue="1">
      <formula>DG180&gt;DG179</formula>
    </cfRule>
    <cfRule type="cellIs" dxfId="1" priority="215" operator="greaterThan">
      <formula>0</formula>
    </cfRule>
    <cfRule type="cellIs" dxfId="2" priority="216" operator="lessThan">
      <formula>0</formula>
    </cfRule>
  </conditionalFormatting>
  <conditionalFormatting sqref="DQ180">
    <cfRule type="expression" dxfId="0" priority="133" stopIfTrue="1">
      <formula>DQ180&gt;DQ179</formula>
    </cfRule>
    <cfRule type="cellIs" dxfId="1" priority="134" operator="greaterThan">
      <formula>0</formula>
    </cfRule>
    <cfRule type="cellIs" dxfId="2" priority="135" operator="lessThan">
      <formula>0</formula>
    </cfRule>
  </conditionalFormatting>
  <conditionalFormatting sqref="E187">
    <cfRule type="expression" dxfId="0" priority="404" stopIfTrue="1">
      <formula>E187&gt;E186</formula>
    </cfRule>
    <cfRule type="cellIs" dxfId="1" priority="405" operator="greaterThan">
      <formula>0</formula>
    </cfRule>
    <cfRule type="cellIs" dxfId="2" priority="406" operator="lessThan">
      <formula>0</formula>
    </cfRule>
  </conditionalFormatting>
  <conditionalFormatting sqref="BN187">
    <cfRule type="expression" dxfId="0" priority="352" stopIfTrue="1">
      <formula>BN187&gt;BN186</formula>
    </cfRule>
    <cfRule type="cellIs" dxfId="1" priority="353" operator="greaterThan">
      <formula>0</formula>
    </cfRule>
    <cfRule type="cellIs" dxfId="2" priority="354" operator="lessThan">
      <formula>0</formula>
    </cfRule>
  </conditionalFormatting>
  <conditionalFormatting sqref="BX187">
    <cfRule type="expression" dxfId="0" priority="268" stopIfTrue="1">
      <formula>BX187&gt;BX186</formula>
    </cfRule>
    <cfRule type="cellIs" dxfId="1" priority="269" operator="greaterThan">
      <formula>0</formula>
    </cfRule>
    <cfRule type="cellIs" dxfId="2" priority="270" operator="lessThan">
      <formula>0</formula>
    </cfRule>
  </conditionalFormatting>
  <conditionalFormatting sqref="DG187">
    <cfRule type="expression" dxfId="0" priority="217" stopIfTrue="1">
      <formula>DG187&gt;DG186</formula>
    </cfRule>
    <cfRule type="cellIs" dxfId="1" priority="218" operator="greaterThan">
      <formula>0</formula>
    </cfRule>
    <cfRule type="cellIs" dxfId="2" priority="219" operator="lessThan">
      <formula>0</formula>
    </cfRule>
  </conditionalFormatting>
  <conditionalFormatting sqref="DQ187">
    <cfRule type="expression" dxfId="0" priority="130" stopIfTrue="1">
      <formula>DQ187&gt;DQ186</formula>
    </cfRule>
    <cfRule type="cellIs" dxfId="1" priority="131" operator="greaterThan">
      <formula>0</formula>
    </cfRule>
    <cfRule type="cellIs" dxfId="2" priority="132" operator="lessThan">
      <formula>0</formula>
    </cfRule>
  </conditionalFormatting>
  <conditionalFormatting sqref="E194">
    <cfRule type="expression" dxfId="0" priority="401" stopIfTrue="1">
      <formula>E194&gt;E193</formula>
    </cfRule>
    <cfRule type="cellIs" dxfId="1" priority="402" operator="greaterThan">
      <formula>0</formula>
    </cfRule>
    <cfRule type="cellIs" dxfId="2" priority="403" operator="lessThan">
      <formula>0</formula>
    </cfRule>
  </conditionalFormatting>
  <conditionalFormatting sqref="BN194">
    <cfRule type="expression" dxfId="0" priority="355" stopIfTrue="1">
      <formula>BN194&gt;BN193</formula>
    </cfRule>
    <cfRule type="cellIs" dxfId="1" priority="356" operator="greaterThan">
      <formula>0</formula>
    </cfRule>
    <cfRule type="cellIs" dxfId="2" priority="357" operator="lessThan">
      <formula>0</formula>
    </cfRule>
  </conditionalFormatting>
  <conditionalFormatting sqref="BX194">
    <cfRule type="expression" dxfId="0" priority="265" stopIfTrue="1">
      <formula>BX194&gt;BX193</formula>
    </cfRule>
    <cfRule type="cellIs" dxfId="1" priority="266" operator="greaterThan">
      <formula>0</formula>
    </cfRule>
    <cfRule type="cellIs" dxfId="2" priority="267" operator="lessThan">
      <formula>0</formula>
    </cfRule>
  </conditionalFormatting>
  <conditionalFormatting sqref="DG194">
    <cfRule type="expression" dxfId="0" priority="220" stopIfTrue="1">
      <formula>DG194&gt;DG193</formula>
    </cfRule>
    <cfRule type="cellIs" dxfId="1" priority="221" operator="greaterThan">
      <formula>0</formula>
    </cfRule>
    <cfRule type="cellIs" dxfId="2" priority="222" operator="lessThan">
      <formula>0</formula>
    </cfRule>
  </conditionalFormatting>
  <conditionalFormatting sqref="DQ194">
    <cfRule type="expression" dxfId="0" priority="127" stopIfTrue="1">
      <formula>DQ194&gt;DQ193</formula>
    </cfRule>
    <cfRule type="cellIs" dxfId="1" priority="128" operator="greaterThan">
      <formula>0</formula>
    </cfRule>
    <cfRule type="cellIs" dxfId="2" priority="129" operator="lessThan">
      <formula>0</formula>
    </cfRule>
  </conditionalFormatting>
  <conditionalFormatting sqref="E201">
    <cfRule type="expression" dxfId="0" priority="398" stopIfTrue="1">
      <formula>E201&gt;E200</formula>
    </cfRule>
    <cfRule type="cellIs" dxfId="1" priority="399" operator="greaterThan">
      <formula>0</formula>
    </cfRule>
    <cfRule type="cellIs" dxfId="2" priority="400" operator="lessThan">
      <formula>0</formula>
    </cfRule>
  </conditionalFormatting>
  <conditionalFormatting sqref="BN201">
    <cfRule type="expression" dxfId="0" priority="358" stopIfTrue="1">
      <formula>BN201&gt;BN200</formula>
    </cfRule>
    <cfRule type="cellIs" dxfId="1" priority="359" operator="greaterThan">
      <formula>0</formula>
    </cfRule>
    <cfRule type="cellIs" dxfId="2" priority="360" operator="lessThan">
      <formula>0</formula>
    </cfRule>
  </conditionalFormatting>
  <conditionalFormatting sqref="BX201">
    <cfRule type="expression" dxfId="0" priority="262" stopIfTrue="1">
      <formula>BX201&gt;BX200</formula>
    </cfRule>
    <cfRule type="cellIs" dxfId="1" priority="263" operator="greaterThan">
      <formula>0</formula>
    </cfRule>
    <cfRule type="cellIs" dxfId="2" priority="264" operator="lessThan">
      <formula>0</formula>
    </cfRule>
  </conditionalFormatting>
  <conditionalFormatting sqref="DG201">
    <cfRule type="expression" dxfId="0" priority="223" stopIfTrue="1">
      <formula>DG201&gt;DG200</formula>
    </cfRule>
    <cfRule type="cellIs" dxfId="1" priority="224" operator="greaterThan">
      <formula>0</formula>
    </cfRule>
    <cfRule type="cellIs" dxfId="2" priority="225" operator="lessThan">
      <formula>0</formula>
    </cfRule>
  </conditionalFormatting>
  <conditionalFormatting sqref="DQ201">
    <cfRule type="expression" dxfId="0" priority="124" stopIfTrue="1">
      <formula>DQ201&gt;DQ200</formula>
    </cfRule>
    <cfRule type="cellIs" dxfId="1" priority="125" operator="greaterThan">
      <formula>0</formula>
    </cfRule>
    <cfRule type="cellIs" dxfId="2" priority="126" operator="lessThan">
      <formula>0</formula>
    </cfRule>
  </conditionalFormatting>
  <conditionalFormatting sqref="E208">
    <cfRule type="expression" dxfId="0" priority="395" stopIfTrue="1">
      <formula>E208&gt;E207</formula>
    </cfRule>
    <cfRule type="cellIs" dxfId="1" priority="396" operator="greaterThan">
      <formula>0</formula>
    </cfRule>
    <cfRule type="cellIs" dxfId="2" priority="397" operator="lessThan">
      <formula>0</formula>
    </cfRule>
  </conditionalFormatting>
  <conditionalFormatting sqref="BN208">
    <cfRule type="expression" dxfId="0" priority="361" stopIfTrue="1">
      <formula>BN208&gt;BN207</formula>
    </cfRule>
    <cfRule type="cellIs" dxfId="1" priority="362" operator="greaterThan">
      <formula>0</formula>
    </cfRule>
    <cfRule type="cellIs" dxfId="2" priority="363" operator="lessThan">
      <formula>0</formula>
    </cfRule>
  </conditionalFormatting>
  <conditionalFormatting sqref="BX208">
    <cfRule type="expression" dxfId="0" priority="259" stopIfTrue="1">
      <formula>BX208&gt;BX207</formula>
    </cfRule>
    <cfRule type="cellIs" dxfId="1" priority="260" operator="greaterThan">
      <formula>0</formula>
    </cfRule>
    <cfRule type="cellIs" dxfId="2" priority="261" operator="lessThan">
      <formula>0</formula>
    </cfRule>
  </conditionalFormatting>
  <conditionalFormatting sqref="DG208">
    <cfRule type="expression" dxfId="0" priority="226" stopIfTrue="1">
      <formula>DG208&gt;DG207</formula>
    </cfRule>
    <cfRule type="cellIs" dxfId="1" priority="227" operator="greaterThan">
      <formula>0</formula>
    </cfRule>
    <cfRule type="cellIs" dxfId="2" priority="228" operator="lessThan">
      <formula>0</formula>
    </cfRule>
  </conditionalFormatting>
  <conditionalFormatting sqref="DQ208">
    <cfRule type="expression" dxfId="0" priority="121" stopIfTrue="1">
      <formula>DQ208&gt;DQ207</formula>
    </cfRule>
    <cfRule type="cellIs" dxfId="1" priority="122" operator="greaterThan">
      <formula>0</formula>
    </cfRule>
    <cfRule type="cellIs" dxfId="2" priority="123" operator="lessThan">
      <formula>0</formula>
    </cfRule>
  </conditionalFormatting>
  <conditionalFormatting sqref="E215">
    <cfRule type="expression" dxfId="0" priority="392" stopIfTrue="1">
      <formula>E215&gt;E214</formula>
    </cfRule>
    <cfRule type="cellIs" dxfId="1" priority="393" operator="greaterThan">
      <formula>0</formula>
    </cfRule>
    <cfRule type="cellIs" dxfId="2" priority="394" operator="lessThan">
      <formula>0</formula>
    </cfRule>
  </conditionalFormatting>
  <conditionalFormatting sqref="BN215">
    <cfRule type="expression" dxfId="0" priority="364" stopIfTrue="1">
      <formula>BN215&gt;BN214</formula>
    </cfRule>
    <cfRule type="cellIs" dxfId="1" priority="365" operator="greaterThan">
      <formula>0</formula>
    </cfRule>
    <cfRule type="cellIs" dxfId="2" priority="366" operator="lessThan">
      <formula>0</formula>
    </cfRule>
  </conditionalFormatting>
  <conditionalFormatting sqref="BX215">
    <cfRule type="expression" dxfId="0" priority="256" stopIfTrue="1">
      <formula>BX215&gt;BX214</formula>
    </cfRule>
    <cfRule type="cellIs" dxfId="1" priority="257" operator="greaterThan">
      <formula>0</formula>
    </cfRule>
    <cfRule type="cellIs" dxfId="2" priority="258" operator="lessThan">
      <formula>0</formula>
    </cfRule>
  </conditionalFormatting>
  <conditionalFormatting sqref="DG215">
    <cfRule type="expression" dxfId="0" priority="229" stopIfTrue="1">
      <formula>DG215&gt;DG214</formula>
    </cfRule>
    <cfRule type="cellIs" dxfId="1" priority="230" operator="greaterThan">
      <formula>0</formula>
    </cfRule>
    <cfRule type="cellIs" dxfId="2" priority="231" operator="lessThan">
      <formula>0</formula>
    </cfRule>
  </conditionalFormatting>
  <conditionalFormatting sqref="DQ215">
    <cfRule type="expression" dxfId="0" priority="118" stopIfTrue="1">
      <formula>DQ215&gt;DQ214</formula>
    </cfRule>
    <cfRule type="cellIs" dxfId="1" priority="119" operator="greaterThan">
      <formula>0</formula>
    </cfRule>
    <cfRule type="cellIs" dxfId="2" priority="120" operator="lessThan">
      <formula>0</formula>
    </cfRule>
  </conditionalFormatting>
  <conditionalFormatting sqref="E222">
    <cfRule type="expression" dxfId="0" priority="389" stopIfTrue="1">
      <formula>E222&gt;E221</formula>
    </cfRule>
    <cfRule type="cellIs" dxfId="1" priority="390" operator="greaterThan">
      <formula>0</formula>
    </cfRule>
    <cfRule type="cellIs" dxfId="2" priority="391" operator="lessThan">
      <formula>0</formula>
    </cfRule>
  </conditionalFormatting>
  <conditionalFormatting sqref="BN222">
    <cfRule type="expression" dxfId="0" priority="367" stopIfTrue="1">
      <formula>BN222&gt;BN221</formula>
    </cfRule>
    <cfRule type="cellIs" dxfId="1" priority="368" operator="greaterThan">
      <formula>0</formula>
    </cfRule>
    <cfRule type="cellIs" dxfId="2" priority="369" operator="lessThan">
      <formula>0</formula>
    </cfRule>
  </conditionalFormatting>
  <conditionalFormatting sqref="BX222">
    <cfRule type="expression" dxfId="0" priority="253" stopIfTrue="1">
      <formula>BX222&gt;BX221</formula>
    </cfRule>
    <cfRule type="cellIs" dxfId="1" priority="254" operator="greaterThan">
      <formula>0</formula>
    </cfRule>
    <cfRule type="cellIs" dxfId="2" priority="255" operator="lessThan">
      <formula>0</formula>
    </cfRule>
  </conditionalFormatting>
  <conditionalFormatting sqref="DG222">
    <cfRule type="expression" dxfId="0" priority="232" stopIfTrue="1">
      <formula>DG222&gt;DG221</formula>
    </cfRule>
    <cfRule type="cellIs" dxfId="1" priority="233" operator="greaterThan">
      <formula>0</formula>
    </cfRule>
    <cfRule type="cellIs" dxfId="2" priority="234" operator="lessThan">
      <formula>0</formula>
    </cfRule>
  </conditionalFormatting>
  <conditionalFormatting sqref="DQ222">
    <cfRule type="expression" dxfId="0" priority="115" stopIfTrue="1">
      <formula>DQ222&gt;DQ221</formula>
    </cfRule>
    <cfRule type="cellIs" dxfId="1" priority="116" operator="greaterThan">
      <formula>0</formula>
    </cfRule>
    <cfRule type="cellIs" dxfId="2" priority="117" operator="lessThan">
      <formula>0</formula>
    </cfRule>
  </conditionalFormatting>
  <conditionalFormatting sqref="E229">
    <cfRule type="expression" dxfId="0" priority="386" stopIfTrue="1">
      <formula>E229&gt;E228</formula>
    </cfRule>
    <cfRule type="cellIs" dxfId="1" priority="387" operator="greaterThan">
      <formula>0</formula>
    </cfRule>
    <cfRule type="cellIs" dxfId="2" priority="388" operator="lessThan">
      <formula>0</formula>
    </cfRule>
  </conditionalFormatting>
  <conditionalFormatting sqref="BN229">
    <cfRule type="expression" dxfId="0" priority="370" stopIfTrue="1">
      <formula>BN229&gt;BN228</formula>
    </cfRule>
    <cfRule type="cellIs" dxfId="1" priority="371" operator="greaterThan">
      <formula>0</formula>
    </cfRule>
    <cfRule type="cellIs" dxfId="2" priority="372" operator="lessThan">
      <formula>0</formula>
    </cfRule>
  </conditionalFormatting>
  <conditionalFormatting sqref="BX229">
    <cfRule type="expression" dxfId="0" priority="250" stopIfTrue="1">
      <formula>BX229&gt;BX228</formula>
    </cfRule>
    <cfRule type="cellIs" dxfId="1" priority="251" operator="greaterThan">
      <formula>0</formula>
    </cfRule>
    <cfRule type="cellIs" dxfId="2" priority="252" operator="lessThan">
      <formula>0</formula>
    </cfRule>
  </conditionalFormatting>
  <conditionalFormatting sqref="DG229">
    <cfRule type="expression" dxfId="0" priority="235" stopIfTrue="1">
      <formula>DG229&gt;DG228</formula>
    </cfRule>
    <cfRule type="cellIs" dxfId="1" priority="236" operator="greaterThan">
      <formula>0</formula>
    </cfRule>
    <cfRule type="cellIs" dxfId="2" priority="237" operator="lessThan">
      <formula>0</formula>
    </cfRule>
  </conditionalFormatting>
  <conditionalFormatting sqref="DQ229">
    <cfRule type="expression" dxfId="0" priority="112" stopIfTrue="1">
      <formula>DQ229&gt;DQ228</formula>
    </cfRule>
    <cfRule type="cellIs" dxfId="1" priority="113" operator="greaterThan">
      <formula>0</formula>
    </cfRule>
    <cfRule type="cellIs" dxfId="2" priority="114" operator="lessThan">
      <formula>0</formula>
    </cfRule>
  </conditionalFormatting>
  <conditionalFormatting sqref="E236">
    <cfRule type="expression" dxfId="0" priority="382" stopIfTrue="1">
      <formula>E236&gt;E235</formula>
    </cfRule>
    <cfRule type="cellIs" dxfId="1" priority="383" operator="greaterThan">
      <formula>0</formula>
    </cfRule>
    <cfRule type="cellIs" dxfId="2" priority="384" operator="lessThan">
      <formula>0</formula>
    </cfRule>
  </conditionalFormatting>
  <conditionalFormatting sqref="BN236">
    <cfRule type="expression" dxfId="0" priority="373" stopIfTrue="1">
      <formula>BN236&gt;BN235</formula>
    </cfRule>
    <cfRule type="cellIs" dxfId="1" priority="374" operator="greaterThan">
      <formula>0</formula>
    </cfRule>
    <cfRule type="cellIs" dxfId="2" priority="375" operator="lessThan">
      <formula>0</formula>
    </cfRule>
  </conditionalFormatting>
  <conditionalFormatting sqref="BX236">
    <cfRule type="expression" dxfId="0" priority="247" stopIfTrue="1">
      <formula>BX236&gt;BX235</formula>
    </cfRule>
    <cfRule type="cellIs" dxfId="1" priority="248" operator="greaterThan">
      <formula>0</formula>
    </cfRule>
    <cfRule type="cellIs" dxfId="2" priority="249" operator="lessThan">
      <formula>0</formula>
    </cfRule>
  </conditionalFormatting>
  <conditionalFormatting sqref="DG236">
    <cfRule type="expression" dxfId="0" priority="238" stopIfTrue="1">
      <formula>DG236&gt;DG235</formula>
    </cfRule>
    <cfRule type="cellIs" dxfId="1" priority="239" operator="greaterThan">
      <formula>0</formula>
    </cfRule>
    <cfRule type="cellIs" dxfId="2" priority="240" operator="lessThan">
      <formula>0</formula>
    </cfRule>
  </conditionalFormatting>
  <conditionalFormatting sqref="DQ236">
    <cfRule type="expression" dxfId="0" priority="109" stopIfTrue="1">
      <formula>DQ236&gt;DQ235</formula>
    </cfRule>
    <cfRule type="cellIs" dxfId="1" priority="110" operator="greaterThan">
      <formula>0</formula>
    </cfRule>
    <cfRule type="cellIs" dxfId="2" priority="111" operator="lessThan">
      <formula>0</formula>
    </cfRule>
  </conditionalFormatting>
  <conditionalFormatting sqref="E237">
    <cfRule type="expression" dxfId="3" priority="385">
      <formula>E237&lt;E236</formula>
    </cfRule>
  </conditionalFormatting>
  <conditionalFormatting sqref="E243">
    <cfRule type="expression" dxfId="0" priority="379" stopIfTrue="1">
      <formula>E243&gt;E242</formula>
    </cfRule>
    <cfRule type="cellIs" dxfId="1" priority="380" operator="greaterThan">
      <formula>0</formula>
    </cfRule>
    <cfRule type="cellIs" dxfId="2" priority="381" operator="lessThan">
      <formula>0</formula>
    </cfRule>
  </conditionalFormatting>
  <conditionalFormatting sqref="BN243">
    <cfRule type="expression" dxfId="0" priority="376" stopIfTrue="1">
      <formula>BN243&gt;BN242</formula>
    </cfRule>
    <cfRule type="cellIs" dxfId="1" priority="377" operator="greaterThan">
      <formula>0</formula>
    </cfRule>
    <cfRule type="cellIs" dxfId="2" priority="378" operator="lessThan">
      <formula>0</formula>
    </cfRule>
  </conditionalFormatting>
  <conditionalFormatting sqref="BX243">
    <cfRule type="expression" dxfId="0" priority="244" stopIfTrue="1">
      <formula>BX243&gt;BX242</formula>
    </cfRule>
    <cfRule type="cellIs" dxfId="1" priority="245" operator="greaterThan">
      <formula>0</formula>
    </cfRule>
    <cfRule type="cellIs" dxfId="2" priority="246" operator="lessThan">
      <formula>0</formula>
    </cfRule>
  </conditionalFormatting>
  <conditionalFormatting sqref="DG243">
    <cfRule type="expression" dxfId="0" priority="241" stopIfTrue="1">
      <formula>DG243&gt;DG242</formula>
    </cfRule>
    <cfRule type="cellIs" dxfId="1" priority="242" operator="greaterThan">
      <formula>0</formula>
    </cfRule>
    <cfRule type="cellIs" dxfId="2" priority="243" operator="lessThan">
      <formula>0</formula>
    </cfRule>
  </conditionalFormatting>
  <conditionalFormatting sqref="DQ243">
    <cfRule type="expression" dxfId="0" priority="106" stopIfTrue="1">
      <formula>DQ243&gt;DQ242</formula>
    </cfRule>
    <cfRule type="cellIs" dxfId="1" priority="107" operator="greaterThan">
      <formula>0</formula>
    </cfRule>
    <cfRule type="cellIs" dxfId="2" priority="108" operator="lessThan">
      <formula>0</formula>
    </cfRule>
  </conditionalFormatting>
  <conditionalFormatting sqref="E8 BN8 BX8 DG8 DQ8">
    <cfRule type="cellIs" dxfId="2" priority="1" operator="lessThan">
      <formula>1</formula>
    </cfRule>
    <cfRule type="cellIs" dxfId="4" priority="2" operator="greaterThan">
      <formula>1</formula>
    </cfRule>
  </conditionalFormatting>
  <printOptions horizontalCentered="1"/>
  <pageMargins left="0.432638888888889" right="0.393055555555556" top="0.511805555555556" bottom="0.236111111111111" header="0.5" footer="0.472222222222222"/>
  <pageSetup paperSize="8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警情数据</vt:lpstr>
      <vt:lpstr>附件3</vt:lpstr>
      <vt:lpstr>页面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云浮基础管控中心（停用）</cp:lastModifiedBy>
  <dcterms:created xsi:type="dcterms:W3CDTF">2026-02-07T04:06:00Z</dcterms:created>
  <dcterms:modified xsi:type="dcterms:W3CDTF">2026-02-07T05:38:22Z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3E8A2F6D21FB46C0AA8960A5C4477FC2_13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